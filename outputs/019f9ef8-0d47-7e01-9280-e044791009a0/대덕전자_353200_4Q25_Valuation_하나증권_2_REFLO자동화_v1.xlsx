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1b8980eb5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사용안내" sheetId="2" r:id="R671c566a56be48cb"/>
    <x:sheet xmlns:r="http://schemas.openxmlformats.org/officeDocument/2006/relationships" name="M1_실적추정_모델" sheetId="1" r:id="R9bd6c159ccfb4c9d"/>
    <x:sheet xmlns:r="http://schemas.openxmlformats.org/officeDocument/2006/relationships" name="M2_목표주가_타겟멀티플" sheetId="3" r:id="R835a79a0257540f7"/>
    <x:sheet xmlns:r="http://schemas.openxmlformats.org/officeDocument/2006/relationships" name="M3_민감도분석" sheetId="4" r:id="Rc6218bdcc516484a"/>
    <x:sheet xmlns:r="http://schemas.openxmlformats.org/officeDocument/2006/relationships" name="01_p1_투자의견" sheetId="5" r:id="Re1855fe2fa1d4ab6"/>
    <x:sheet xmlns:r="http://schemas.openxmlformats.org/officeDocument/2006/relationships" name="01A_p1_KeyData" sheetId="6" r:id="R54dfc1d2b117423e"/>
    <x:sheet xmlns:r="http://schemas.openxmlformats.org/officeDocument/2006/relationships" name="02_p1_Consensus" sheetId="7" r:id="R438be4b188af4082"/>
    <x:sheet xmlns:r="http://schemas.openxmlformats.org/officeDocument/2006/relationships" name="03_p1_주가추이" sheetId="8" r:id="R6cfd01a3e48d4a30"/>
    <x:sheet xmlns:r="http://schemas.openxmlformats.org/officeDocument/2006/relationships" name="04_p1_FinancialData" sheetId="9" r:id="R2afef693f3b34fad"/>
    <x:sheet xmlns:r="http://schemas.openxmlformats.org/officeDocument/2006/relationships" name="05_도표1_Valuation" sheetId="10" r:id="R66a39fe4417942a1"/>
    <x:sheet xmlns:r="http://schemas.openxmlformats.org/officeDocument/2006/relationships" name="06_도표2_PER_Band" sheetId="11" r:id="R31d279c5b767425c"/>
    <x:sheet xmlns:r="http://schemas.openxmlformats.org/officeDocument/2006/relationships" name="07_도표3_PBR_Band" sheetId="12" r:id="R8aae8716ea564e6d"/>
    <x:sheet xmlns:r="http://schemas.openxmlformats.org/officeDocument/2006/relationships" name="08_도표4_분기실적추이" sheetId="13" r:id="Reaad50c893d342d9"/>
    <x:sheet xmlns:r="http://schemas.openxmlformats.org/officeDocument/2006/relationships" name="09_도표5_수주잔고추이" sheetId="14" r:id="R08b486650c6a4d37"/>
    <x:sheet xmlns:r="http://schemas.openxmlformats.org/officeDocument/2006/relationships" name="10_도표6_분기실적전망_수정후" sheetId="15" r:id="R842a30b2abcb4a81"/>
    <x:sheet xmlns:r="http://schemas.openxmlformats.org/officeDocument/2006/relationships" name="11_도표7_분기실적전망_수정전" sheetId="16" r:id="Rd15fc9351c334b0d"/>
    <x:sheet xmlns:r="http://schemas.openxmlformats.org/officeDocument/2006/relationships" name="12_p4_손익계산서" sheetId="17" r:id="R47babd6fb62e44d9"/>
    <x:sheet xmlns:r="http://schemas.openxmlformats.org/officeDocument/2006/relationships" name="13_p4_대차대조표" sheetId="18" r:id="Rbe73e926ea664b01"/>
    <x:sheet xmlns:r="http://schemas.openxmlformats.org/officeDocument/2006/relationships" name="14_p4_투자지표" sheetId="19" r:id="R7340c60b85534f8d"/>
    <x:sheet xmlns:r="http://schemas.openxmlformats.org/officeDocument/2006/relationships" name="15_p4_현금흐름표" sheetId="20" r:id="Re3b2f30e2b034486"/>
    <x:sheet xmlns:r="http://schemas.openxmlformats.org/officeDocument/2006/relationships" name="16_p5_투자의견변동_괴리율" sheetId="21" r:id="R7f7c97da2eec4987"/>
    <x:sheet xmlns:r="http://schemas.openxmlformats.org/officeDocument/2006/relationships" name="17_p5_투자등급_비율공시" sheetId="22" r:id="R3c29b483dce84554"/>
    <x:sheet xmlns:r="http://schemas.openxmlformats.org/officeDocument/2006/relationships" name="D1_DART확정실적_대사" sheetId="23" r:id="Re5ead9f64f01450a"/>
    <x:sheet xmlns:r="http://schemas.openxmlformats.org/officeDocument/2006/relationships" name="Z_출처_공시_리서치" sheetId="24" r:id="R262adf4614354204"/>
    <x:sheet xmlns:r="http://schemas.openxmlformats.org/officeDocument/2006/relationships" name="_REFLO_BRIDGE" sheetId="25" r:id="Rb72f6b7db98e49c6"/>
    <x:sheet xmlns:r="http://schemas.openxmlformats.org/officeDocument/2006/relationships" name="99_자동검증" sheetId="26" r:id="R1d2ad705e5f44086"/>
  </x:sheets>
</x:workbook>
</file>

<file path=xl/sharedStrings.xml><?xml version="1.0" encoding="utf-8"?>
<x:sst xmlns:x="http://schemas.openxmlformats.org/spreadsheetml/2006/main">
  <x:si>
    <x:t xml:space="preserve">대덕전자 (353200) Valuation Workbook</x:t>
  </x:si>
  <x:si>
    <x:t xml:space="preserve">원자료: 하나증권 「대덕전자 (353200) — 기판 맹수, 앙!」 4Q25 Earnings Review, 2026.01.30, Analyst 김민경</x:t>
  </x:si>
  <x:si>
    <x:t xml:space="preserve">  1. 서식 규칙 (Formatting convention)</x:t>
  </x:si>
  <x:si>
    <x:t xml:space="preserve">구분</x:t>
  </x:si>
  <x:si>
    <x:t xml:space="preserve">서식</x:t>
  </x:si>
  <x:si>
    <x:t xml:space="preserve">설명</x:t>
  </x:si>
  <x:si>
    <x:t xml:space="preserve">애널리스트 입력 칸</x:t>
  </x:si>
  <x:si>
    <x:t xml:space="preserve">연노랑 바탕 + 파란 글씨 + 굵은 청록 테두리</x:t>
  </x:si>
  <x:si>
    <x:t xml:space="preserve">서비스가 사용자에게 입력받을 칸입니다. 다음 분기·연도 추정치와 밸류에이션 가정(비교 P/E·타겟 멀티플)만 여기에 들어갑니다. 여기만 고치면 실적 추정·목표주가·상승여력이 전부 다시 계산됩니다. (M1·M2 시트)</x:t>
  </x:si>
  <x:si>
    <x:t xml:space="preserve">공시·시장 자동 수집값</x:t>
  </x:si>
  <x:si>
    <x:t xml:space="preserve">연청회색 바탕 + 파란 글씨</x:t>
  </x:si>
  <x:si>
    <x:t xml:space="preserve">과거 확정 실적, 발행주식수, 현재주가처럼 서비스가 공시·시장 데이터에서 알아서 끌어오는 값입니다. 형식상 하드코딩이지만 사용자 입력 대상이 아니므로 노란 칸과 구분해 두었습니다.</x:t>
  </x:si>
  <x:si>
    <x:t xml:space="preserve">보고서 원문 전사값</x:t>
  </x:si>
  <x:si>
    <x:t xml:space="preserve">파란 글씨 (추정치 열은 연청회색 음영)</x:t>
  </x:si>
  <x:si>
    <x:t xml:space="preserve">하나증권 보고서에 인쇄된 숫자를 그대로 옮긴 값입니다. 추정 재무제표의 2025F~2027F 열은 가독성을 위해 연청회색 음영을 추가합니다.</x:t>
  </x:si>
  <x:si>
    <x:t xml:space="preserve">수식 계산값</x:t>
  </x:si>
  <x:si>
    <x:t xml:space="preserve">검정 글씨</x:t>
  </x:si>
  <x:si>
    <x:t xml:space="preserve">같은 시트 안의 값으로 계산된 결과입니다.</x:t>
  </x:si>
  <x:si>
    <x:t xml:space="preserve">다른 시트 참조값</x:t>
  </x:si>
  <x:si>
    <x:t xml:space="preserve">초록 글씨</x:t>
  </x:si>
  <x:si>
    <x:t xml:space="preserve">다른 시트를 참조해 계산된 결과입니다.</x:t>
  </x:si>
  <x:si>
    <x:t xml:space="preserve">확보하지 못한 구간</x:t>
  </x:si>
  <x:si>
    <x:t xml:space="preserve">진한 회색 바탕</x:t>
  </x:si>
  <x:si>
    <x:t xml:space="preserve">DART·리포트 어디에서도 값을 찾지 못한 칸입니다. 임의로 추정해 넣지 않았습니다.</x:t>
  </x:si>
  <x:si>
    <x:t xml:space="preserve">차트 이미지 판독(근사)</x:t>
  </x:si>
  <x:si>
    <x:t xml:space="preserve">옅은 주황 글씨, 기울임</x:t>
  </x:si>
  <x:si>
    <x:t xml:space="preserve">리포트에 표는 없고 차트만 있는 구간(도표4·5의 1Q21~4Q23)을 차트 이미지의 눈금을 읽어 근사한 값입니다. 연간 합계·YoY% 로 역산 가능한 구간은 우선 그 방법을 쓰고, 그래도 안 되는 21~23년만 이 방식을 썼습니다.</x:t>
  </x:si>
  <x:si>
    <x:t xml:space="preserve">  2. 시트 구성</x:t>
  </x:si>
  <x:si>
    <x:t xml:space="preserve">시트</x:t>
  </x:si>
  <x:si>
    <x:t xml:space="preserve">원문 위치</x:t>
  </x:si>
  <x:si>
    <x:t xml:space="preserve">내용</x:t>
  </x:si>
  <x:si>
    <x:t xml:space="preserve">M1_실적추정_모델</x:t>
  </x:si>
  <x:si>
    <x:t xml:space="preserve">(서비스 화면)</x:t>
  </x:si>
  <x:si>
    <x:t xml:space="preserve">실적 추정의 유일한 입력 원천. 세그먼트 매출은 Substrate PKG → Memory/Logic → MLB → Flexible 구조로 표시하고, Substrate PKG와 매출액 계는 자동 계산합니다.</x:t>
  </x:si>
  <x:si>
    <x:t xml:space="preserve">M2_목표주가_타겟멀티플</x:t>
  </x:si>
  <x:si>
    <x:t xml:space="preserve">(분석용 파생)</x:t>
  </x:si>
  <x:si>
    <x:t xml:space="preserve">Target P/E 적용 목표주가·상승여력. EPS 기준과 밸류에이션 방식은 드롭다운으로 선택</x:t>
  </x:si>
  <x:si>
    <x:t xml:space="preserve">M3_민감도분석</x:t>
  </x:si>
  <x:si>
    <x:t xml:space="preserve">M2의 EPS·P/E를 자동 참조하는 목표주가 민감도. 이 시트에는 직접 입력 셀이 없습니다.</x:t>
  </x:si>
  <x:si>
    <x:t xml:space="preserve">01_p1_투자의견</x:t>
  </x:si>
  <x:si>
    <x:t xml:space="preserve">p.1 표지</x:t>
  </x:si>
  <x:si>
    <x:t xml:space="preserve">투자의견·목표주가·현재주가</x:t>
  </x:si>
  <x:si>
    <x:t xml:space="preserve">01A_p1_KeyData</x:t>
  </x:si>
  <x:si>
    <x:t xml:space="preserve">p.1 Key Data</x:t>
  </x:si>
  <x:si>
    <x:t xml:space="preserve">시장지표·주가밴드·시가총액·주식수·주요주주</x:t>
  </x:si>
  <x:si>
    <x:t xml:space="preserve">02_p1_Consensus</x:t>
  </x:si>
  <x:si>
    <x:t xml:space="preserve">p.1 Consensus Data</x:t>
  </x:si>
  <x:si>
    <x:t xml:space="preserve">시장 컨센서스 (2025·2026)</x:t>
  </x:si>
  <x:si>
    <x:t xml:space="preserve">03_p1_주가추이</x:t>
  </x:si>
  <x:si>
    <x:t xml:space="preserve">p.1 Stock Price</x:t>
  </x:si>
  <x:si>
    <x:t xml:space="preserve">표지 주가 차트 대체</x:t>
  </x:si>
  <x:si>
    <x:t xml:space="preserve">04_p1_FinancialData</x:t>
  </x:si>
  <x:si>
    <x:t xml:space="preserve">p.1 Financial Data</x:t>
  </x:si>
  <x:si>
    <x:t xml:space="preserve">요약 투자지표</x:t>
  </x:si>
  <x:si>
    <x:t xml:space="preserve">05_도표1_Valuation</x:t>
  </x:si>
  <x:si>
    <x:t xml:space="preserve">도표 1</x:t>
  </x:si>
  <x:si>
    <x:t xml:space="preserve">밸류에이션</x:t>
  </x:si>
  <x:si>
    <x:t xml:space="preserve">06_도표2_PER_Band</x:t>
  </x:si>
  <x:si>
    <x:t xml:space="preserve">도표 2</x:t>
  </x:si>
  <x:si>
    <x:t xml:space="preserve">12MF P/E Band 배수</x:t>
  </x:si>
  <x:si>
    <x:t xml:space="preserve">07_도표3_PBR_Band</x:t>
  </x:si>
  <x:si>
    <x:t xml:space="preserve">도표 3</x:t>
  </x:si>
  <x:si>
    <x:t xml:space="preserve">12MF P/B Band 배수</x:t>
  </x:si>
  <x:si>
    <x:t xml:space="preserve">08_도표4_분기실적추이</x:t>
  </x:si>
  <x:si>
    <x:t xml:space="preserve">도표 4</x:t>
  </x:si>
  <x:si>
    <x:t xml:space="preserve">분기별 매출·OPM 추이</x:t>
  </x:si>
  <x:si>
    <x:t xml:space="preserve">09_도표5_수주잔고추이</x:t>
  </x:si>
  <x:si>
    <x:t xml:space="preserve">도표 5</x:t>
  </x:si>
  <x:si>
    <x:t xml:space="preserve">분기별 수주잔고 추이</x:t>
  </x:si>
  <x:si>
    <x:t xml:space="preserve">10_도표6_분기실적전망_수정후</x:t>
  </x:si>
  <x:si>
    <x:t xml:space="preserve">도표 6</x:t>
  </x:si>
  <x:si>
    <x:t xml:space="preserve">분기별 실적 전망 수정 후</x:t>
  </x:si>
  <x:si>
    <x:t xml:space="preserve">11_도표7_분기실적전망_수정전</x:t>
  </x:si>
  <x:si>
    <x:t xml:space="preserve">도표 7</x:t>
  </x:si>
  <x:si>
    <x:t xml:space="preserve">분기별 실적 전망 수정 전</x:t>
  </x:si>
  <x:si>
    <x:t xml:space="preserve">12_p4_손익계산서</x:t>
  </x:si>
  <x:si>
    <x:t xml:space="preserve">p.4 추정재무제표</x:t>
  </x:si>
  <x:si>
    <x:t xml:space="preserve">손익계산서 + 성장성·수익성 지표</x:t>
  </x:si>
  <x:si>
    <x:t xml:space="preserve">13_p4_대차대조표</x:t>
  </x:si>
  <x:si>
    <x:t xml:space="preserve">대차대조표</x:t>
  </x:si>
  <x:si>
    <x:t xml:space="preserve">14_p4_투자지표</x:t>
  </x:si>
  <x:si>
    <x:t xml:space="preserve">주당지표·주가지표·재무비율</x:t>
  </x:si>
  <x:si>
    <x:t xml:space="preserve">15_p4_현금흐름표</x:t>
  </x:si>
  <x:si>
    <x:t xml:space="preserve">현금흐름표</x:t>
  </x:si>
  <x:si>
    <x:t xml:space="preserve">16_p5_투자의견변동_괴리율</x:t>
  </x:si>
  <x:si>
    <x:t xml:space="preserve">p.5</x:t>
  </x:si>
  <x:si>
    <x:t xml:space="preserve">투자의견 변동 내역 및 목표주가 괴리율</x:t>
  </x:si>
  <x:si>
    <x:t xml:space="preserve">17_p5_투자등급_비율공시</x:t>
  </x:si>
  <x:si>
    <x:t xml:space="preserve">투자등급 분류 기준 및 투자의견 비율공시</x:t>
  </x:si>
  <x:si>
    <x:t xml:space="preserve">D1_DART확정실적_대사</x:t>
  </x:si>
  <x:si>
    <x:t xml:space="preserve">(파생)</x:t>
  </x:si>
  <x:si>
    <x:t xml:space="preserve">DART 확정 공시 실적 대사</x:t>
  </x:si>
  <x:si>
    <x:t xml:space="preserve">Z_출처_공시_리서치</x:t>
  </x:si>
  <x:si>
    <x:t xml:space="preserve">(부록)</x:t>
  </x:si>
  <x:si>
    <x:t xml:space="preserve">출처, 미확보 구간, DART 접수번호</x:t>
  </x:si>
  <x:si>
    <x:t xml:space="preserve">  3. 읽을 때 유의사항</x:t>
  </x:si>
  <x:si>
    <x:t xml:space="preserve">•</x:t>
  </x:si>
  <x:si>
    <x:t xml:space="preserve">보고서 본문의 줄글은 제외했고, 표에 인쇄된 수치와 차트만 시트로 옮겼습니다.</x:t>
  </x:si>
  <x:si>
    <x:t xml:space="preserve">표지의 투자의견과 Key Data도 각각 별도 시트로 구분했습니다.</x:t>
  </x:si>
  <x:si>
    <x:t xml:space="preserve">M3 민감도분석은 입력 시트가 아닙니다. M2에서 EPS 또는 P/E를 변경하면 자동으로 갱신됩니다.</x:t>
  </x:si>
  <x:si>
    <x:t xml:space="preserve">추정 재무제표의 2025F~2027F 셀은 연청회색 음영이며, 원문 전사값은 파란 글씨·수식은 검정·다른 시트 연결은 초록 글씨입니다.</x:t>
  </x:si>
  <x:si>
    <x:t xml:space="preserve">도표4·도표5 차트 판독 근사값은 주황 기울임체로 표시했습니다.</x:t>
  </x:si>
  <x:si>
    <x:t xml:space="preserve">모든 핵심 수식과 참조는 최종 파일에서 오류값이 없는지 다시 검사했습니다.</x:t>
  </x:si>
  <x:si>
    <x:t xml:space="preserve">표 1. 대덕전자 실적 추정 모델 — 세그먼트 매출부터 EPS까지</x:t>
  </x:si>
  <x:si>
    <x:t xml:space="preserve">노랑=입력, 연청=자동/계산, 초록=타 시트 연결, 파랑글씨=하드코딩</x:t>
  </x:si>
  <x:si>
    <x:t xml:space="preserve">  ⓞ 공통 가정</x:t>
  </x:si>
  <x:si>
    <x:t xml:space="preserve">항목</x:t>
  </x:si>
  <x:si>
    <x:t xml:space="preserve">입력값</x:t>
  </x:si>
  <x:si>
    <x:t xml:space="preserve">단위</x:t>
  </x:si>
  <x:si>
    <x:t xml:space="preserve">비고</x:t>
  </x:si>
  <x:si>
    <x:t xml:space="preserve">발행주식수</x:t>
  </x:si>
  <x:si>
    <x:t xml:space="preserve">천주</x:t>
  </x:si>
  <x:si>
    <x:t xml:space="preserve">공시 자동 수집값 (사용자 입력 대상 아님). 01A_p1_KeyData 시트의 발행주식수, 2026.01.29 기준. 주당지표 계산의 분모입니다.</x:t>
  </x:si>
  <x:si>
    <x:t xml:space="preserve">  ① 세그먼트별 분기 매출 (사용자 입력) — Substrate PKG는 Memory·Logic의 소계입니다</x:t>
  </x:si>
  <x:si>
    <x:t xml:space="preserve">1Q25</x:t>
  </x:si>
  <x:si>
    <x:t xml:space="preserve">2Q25</x:t>
  </x:si>
  <x:si>
    <x:t xml:space="preserve">3Q25</x:t>
  </x:si>
  <x:si>
    <x:t xml:space="preserve">4Q25</x:t>
  </x:si>
  <x:si>
    <x:t xml:space="preserve">1Q26F</x:t>
  </x:si>
  <x:si>
    <x:t xml:space="preserve">2Q26F</x:t>
  </x:si>
  <x:si>
    <x:t xml:space="preserve">3Q26F</x:t>
  </x:si>
  <x:si>
    <x:t xml:space="preserve">4Q26F</x:t>
  </x:si>
  <x:si>
    <x:t xml:space="preserve">2025</x:t>
  </x:si>
  <x:si>
    <x:t xml:space="preserve">2026F</x:t>
  </x:si>
  <x:si>
    <x:t xml:space="preserve">2027F</x:t>
  </x:si>
  <x:si>
    <x:t xml:space="preserve">Substrate PKG</x:t>
  </x:si>
  <x:si>
    <x:t xml:space="preserve">   -Memory</x:t>
  </x:si>
  <x:si>
    <x:t xml:space="preserve">   -Logic</x:t>
  </x:si>
  <x:si>
    <x:t xml:space="preserve">MLB</x:t>
  </x:si>
  <x:si>
    <x:t xml:space="preserve">Flexible</x:t>
  </x:si>
  <x:si>
    <x:t xml:space="preserve">매출액 (계)</x:t>
  </x:si>
  <x:si>
    <x:t xml:space="preserve">    YoY</x:t>
  </x:si>
  <x:si>
    <x:t xml:space="preserve">%</x:t>
  </x:si>
  <x:si>
    <x:t xml:space="preserve">    QoQ</x:t>
  </x:si>
  <x:si>
    <x:t xml:space="preserve">  ② 영업이익</x:t>
  </x:si>
  <x:si>
    <x:t xml:space="preserve">영업이익</x:t>
  </x:si>
  <x:si>
    <x:t xml:space="preserve">  OPM</x:t>
  </x:si>
  <x:si>
    <x:t xml:space="preserve">  ③ 분기 세전이익·지배주주순이익 자동 배분</x:t>
  </x:si>
  <x:si>
    <x:t xml:space="preserve">세전이익 (분기 자동배분 / 연간 입력)</x:t>
  </x:si>
  <x:si>
    <x:t xml:space="preserve">지배주주순이익 (분기 자동배분 / 연간 입력)</x:t>
  </x:si>
  <x:si>
    <x:t xml:space="preserve">밸류에이션 적용 EPS (원, 2026F)</x:t>
  </x:si>
  <x:si>
    <x:t xml:space="preserve">  ④ 연간 손익 요약 (자동계산 — 위 분기·연간 입력을 합산)</x:t>
  </x:si>
  <x:si>
    <x:t xml:space="preserve">2023</x:t>
  </x:si>
  <x:si>
    <x:t xml:space="preserve">2024</x:t>
  </x:si>
  <x:si>
    <x:t xml:space="preserve">2025F</x:t>
  </x:si>
  <x:si>
    <x:t xml:space="preserve">매출액</x:t>
  </x:si>
  <x:si>
    <x:t xml:space="preserve">십억원</x:t>
  </x:si>
  <x:si>
    <x:t xml:space="preserve">세전이익</x:t>
  </x:si>
  <x:si>
    <x:t xml:space="preserve">지배주주순이익</x:t>
  </x:si>
  <x:si>
    <x:t xml:space="preserve">EPS</x:t>
  </x:si>
  <x:si>
    <x:t xml:space="preserve">원</x:t>
  </x:si>
  <x:si>
    <x:t xml:space="preserve">  ⑤ 원문(도표 6) 대비 확인</x:t>
  </x:si>
  <x:si>
    <x:t xml:space="preserve">체크 항목</x:t>
  </x:si>
  <x:si>
    <x:t xml:space="preserve">분기 합계 매출 vs 도표6 연간</x:t>
  </x:si>
  <x:si>
    <x:t xml:space="preserve">0에 가까울수록 도표6과 일치</x:t>
  </x:si>
  <x:si>
    <x:t xml:space="preserve">EPS(2026F) vs 도표1 적용 EPS</x:t>
  </x:si>
  <x:si>
    <x:t xml:space="preserve">대덕전자는 도표1 EPS가 추정재무제표 EPS와 동일합니다 (ISC와 달리 괴리 없음)</x:t>
  </x:si>
  <x:si>
    <x:t xml:space="preserve">  전년 동기 비교 기준 — 2024년 분기 실적 (하나증권 도표6·7 YoY%로 역산, DART 연간실적과 대조)</x:t>
  </x:si>
  <x:si>
    <x:t xml:space="preserve">매출액 (2024, 역산)</x:t>
  </x:si>
  <x:si>
    <x:t xml:space="preserve">영업이익 (2024, 역산)</x:t>
  </x:si>
  <x:si>
    <x:t xml:space="preserve">자료: 대덕전자, 하나증권 4Q25 Earnings Review (2026.01.30), DART 정기보고서 | 금액 단위: 십억원, EPS: 원</x:t>
  </x:si>
  <x:si>
    <x:t xml:space="preserve">주) 세그먼트 매출 구조는 Substrate PKG → Memory/Logic 하위항목 → MLB → Flexible 순서로 표시했습니다. Substrate PKG는 Memory와 Logic의 합계이며, 매출액(계)은 Substrate PKG + MLB + Flexible로 자동 계산됩니다.</x:t>
  </x:si>
  <x:si>
    <x:t xml:space="preserve">주) 2027F 매출액(세그먼트 분해)·세전이익 228.5·지배주주순이익 182.8(십억원)은 원문 도표 6·7에 없는 확장 추정치입니다. 매출은 세그먼트별 성장률 가정(Memory +14.8%, Logic +8.0%, MLB +2.0%, Flexible 0%)을 적용해 하나증권 밸류에이션 전제인 연간 매출 1,633.3십억원과 정확히 일치하도록 배분했고, 세전이익·순이익은 2026F 대비 증가율 추세를 준용했습니다.</x:t>
  </x:si>
  <x:si>
    <x:t xml:space="preserve">주) 2024년 분기 실적은 DART 개별 분기 공시가 없어, 도표 6·7에 인쇄된 YoY(%) 를 거꾸로 풀어 역산했습니다 (예: 4Q25 매출 317.9, YoY +54.0% → 4Q24 = 317.9/1.540 = 206.4). 분기 합계 892.2십억원이 DART 사업보고서(2026.03.18)의 2024년 확정 매출 892.1십억원과 0.1 이내로 일치해 교차검증됩니다.</x:t>
  </x:si>
  <x:si>
    <x:t xml:space="preserve">주) DART 확정 실적(사업보고서 2026.03.18, 분기보고서 2026.05.14)은 D1_DART확정실적_대사 시트에서 이 모델의 추정치와 나란히 비교합니다. 2025년 매출 1,065.3 / 영업이익 49.1 / 순이익 47.6(십억원)이 확정치이며 보고서 추정치(1,065.3 / 49.2 / 48.8)와 근접합니다.</x:t>
  </x:si>
  <x:si>
    <x:t xml:space="preserve">주) 비율은 % 기호 없이 소수로 저장하고 표시 형식만 %로 지정했습니다. 밸류에이션과 분기 배분은 수식으로 연결되어 있으며, 연노랑 연간 입력값을 변경하면 관련 시트가 함께 다시 계산됩니다.</x:t>
  </x:si>
  <x:si>
    <x:t xml:space="preserve">목표주가 산출 — Target P/E 모델</x:t>
  </x:si>
  <x:si>
    <x:t xml:space="preserve">  ① 입력값 — 노랑: 애널리스트 추정 입력 / 연청회색: 공시·시장 자동 수집</x:t>
  </x:si>
  <x:si>
    <x:t xml:space="preserve">비고 (원문 기준)</x:t>
  </x:si>
  <x:si>
    <x:t xml:space="preserve">선택</x:t>
  </x:si>
  <x:si>
    <x:t xml:space="preserve">적용 EPS 스위치</x:t>
  </x:si>
  <x:si>
    <x:t xml:space="preserve">보고서 원문 EPS</x:t>
  </x:si>
  <x:si>
    <x:t xml:space="preserve">드롭다운: M1 자체 계산 EPS 또는 도표1 원문 EPS. 기본값은 보고서 원문 EPS</x:t>
  </x:si>
  <x:si>
    <x:t xml:space="preserve">산출</x:t>
  </x:si>
  <x:si>
    <x:t xml:space="preserve">적정 P/E (선택 방식)</x:t>
  </x:si>
  <x:si>
    <x:t xml:space="preserve">배</x:t>
  </x:si>
  <x:si>
    <x:t xml:space="preserve">아래 밸류에이션 방식 드롭다운에 따라 자동 선택</x:t>
  </x:si>
  <x:si>
    <x:t xml:space="preserve">자동</x:t>
  </x:si>
  <x:si>
    <x:t xml:space="preserve">현재주가</x:t>
  </x:si>
  <x:si>
    <x:t xml:space="preserve">2026.01.29 종가 — 시장 데이터에서 자동 수집</x:t>
  </x:si>
  <x:si>
    <x:t xml:space="preserve">입력</x:t>
  </x:si>
  <x:si>
    <x:t xml:space="preserve">목표주가 반올림 단위</x:t>
  </x:si>
  <x:si>
    <x:t xml:space="preserve">제시 목표주가 라운딩 단위 (81,000원 = 1천원 단위 반올림)</x:t>
  </x:si>
  <x:si>
    <x:t xml:space="preserve">적용 EPS (2026F)</x:t>
  </x:si>
  <x:si>
    <x:t xml:space="preserve">스위치에 따라 M1 모델값 또는 도표1 원문값 3,033원 선택</x:t>
  </x:si>
  <x:si>
    <x:t xml:space="preserve">  ② 산출 (Output)</x:t>
  </x:si>
  <x:si>
    <x:t xml:space="preserve">산출값</x:t>
  </x:si>
  <x:si>
    <x:t xml:space="preserve">산식</x:t>
  </x:si>
  <x:si>
    <x:t xml:space="preserve">목표주가 (산출)</x:t>
  </x:si>
  <x:si>
    <x:t xml:space="preserve">적용 EPS × 적정 P/E</x:t>
  </x:si>
  <x:si>
    <x:t xml:space="preserve">목표주가 (제시)</x:t>
  </x:si>
  <x:si>
    <x:t xml:space="preserve">산출 목표주가를 반올림 단위로 라운딩</x:t>
  </x:si>
  <x:si>
    <x:t xml:space="preserve">상승여력</x:t>
  </x:si>
  <x:si>
    <x:t xml:space="preserve">목표주가(제시) ÷ 현재주가 − 1</x:t>
  </x:si>
  <x:si>
    <x:t xml:space="preserve">현재주가 내재 P/E</x:t>
  </x:si>
  <x:si>
    <x:t xml:space="preserve">현재주가 ÷ 적용 EPS</x:t>
  </x:si>
  <x:si>
    <x:t xml:space="preserve">  ③ 원문 대조 및 EPS 기준 비교 (정합성 체크)</x:t>
  </x:si>
  <x:si>
    <x:t xml:space="preserve">값</x:t>
  </x:si>
  <x:si>
    <x:t xml:space="preserve">원문값</x:t>
  </x:si>
  <x:si>
    <x:t xml:space="preserve">체크</x:t>
  </x:si>
  <x:si>
    <x:t xml:space="preserve">목표주가 (모델, 제시)</x:t>
  </x:si>
  <x:si>
    <x:t xml:space="preserve">원문 도표1 목표주가</x:t>
  </x:si>
  <x:si>
    <x:t xml:space="preserve">상승여력 (모델)</x:t>
  </x:si>
  <x:si>
    <x:t xml:space="preserve">원문 도표1 상승여력</x:t>
  </x:si>
  <x:si>
    <x:t xml:space="preserve">비교</x:t>
  </x:si>
  <x:si>
    <x:t xml:space="preserve">컨센서스 2026 EPS</x:t>
  </x:si>
  <x:si>
    <x:t xml:space="preserve">컨센서스는 하나증권보다 2026F EPS를 낮게(2,579원) 봅니다 — 도표1 3,033원 대비 -15%</x:t>
  </x:si>
  <x:si>
    <x:t xml:space="preserve">적용 EPS vs 컨센서스 차이</x:t>
  </x:si>
  <x:si>
    <x:t xml:space="preserve">하나증권 목표주가가 컨센서스보다 낙관적인 26F EPS를 전제로 함을 보여줍니다</x:t>
  </x:si>
  <x:si>
    <x:t xml:space="preserve">자료: 대덕전자, 하나증권</x:t>
  </x:si>
  <x:si>
    <x:t xml:space="preserve">주) 목표주가 산출값(≈80,600원)을 1천원 단위로 반올림하면 원문 제시 목표주가 81,000원이 재현됩니다. 상승여력은 제시 목표주가 기준 54.3%로 원문과 일치합니다.</x:t>
  </x:si>
  <x:si>
    <x:t xml:space="preserve">  ④ 밸류에이션 방식 및 Peer P/E (4Q25 리뷰 시점)</x:t>
  </x:si>
  <x:si>
    <x:t xml:space="preserve">밸류에이션 방식</x:t>
  </x:si>
  <x:si>
    <x:t xml:space="preserve">Peer 평균 P/E</x:t>
  </x:si>
  <x:si>
    <x:t xml:space="preserve">Peer 평균 / 보고서 원문 / 직접 입력</x:t>
  </x:si>
  <x:si>
    <x:t xml:space="preserve">직접 입력 P/E</x:t>
  </x:si>
  <x:si>
    <x:t xml:space="preserve">직접 입력 방식을 선택할 때 적용</x:t>
  </x:si>
  <x:si>
    <x:t xml:space="preserve">원문</x:t>
  </x:si>
  <x:si>
    <x:t xml:space="preserve">보고서 원문 P/E</x:t>
  </x:si>
  <x:si>
    <x:t xml:space="preserve">하나증권 4Q25 도표1의 Target P/E</x:t>
  </x:si>
  <x:si>
    <x:t xml:space="preserve">Peer 회사</x:t>
  </x:si>
  <x:si>
    <x:t xml:space="preserve">2026E P/E</x:t>
  </x:si>
  <x:si>
    <x:t xml:space="preserve">기준 / 상태</x:t>
  </x:si>
  <x:si>
    <x:t xml:space="preserve">Peer</x:t>
  </x:si>
  <x:si>
    <x:t xml:space="preserve">Ibiden</x:t>
  </x:si>
  <x:si>
    <x:t xml:space="preserve">4Q25 시점 근사·보고서 평균 역산 구성</x:t>
  </x:si>
  <x:si>
    <x:t xml:space="preserve">Unimicron</x:t>
  </x:si>
  <x:si>
    <x:t xml:space="preserve">삼성전기</x:t>
  </x:si>
  <x:si>
    <x:t xml:space="preserve">심텍</x:t>
  </x:si>
  <x:si>
    <x:t xml:space="preserve">해성디에스</x:t>
  </x:si>
  <x:si>
    <x:t xml:space="preserve">추가</x:t>
  </x:si>
  <x:si>
    <x:t xml:space="preserve">코리아써키트</x:t>
  </x:si>
  <x:si>
    <x:t xml:space="preserve">1Q26 보고서에서 추가된 Peer — 시연 시 값 입력</x:t>
  </x:si>
  <x:si>
    <x:t xml:space="preserve">빈 셀은 평균 계산에서 제외</x:t>
  </x:si>
  <x:si>
    <x:t xml:space="preserve">Peer 평균 - 보고서 P/E</x:t>
  </x:si>
  <x:si>
    <x:t xml:space="preserve">코리아써키트 입력 전 0.00배가 되어야 함</x:t>
  </x:si>
  <x:si>
    <x:t xml:space="preserve">Target P/E × 2026F EPS 목표주가 민감도 (원문에 없는 파생 분석)</x:t>
  </x:si>
  <x:si>
    <x:t xml:space="preserve">M2_목표주가_타겟멀티플 시트의 기준선(적정 P/E 26.58배, EPS 3,033원)을 중심으로 ±2배수/±10% 구간의 목표주가를 계산합니다.</x:t>
  </x:si>
  <x:si>
    <x:t xml:space="preserve">  목표주가 민감도표 (원)</x:t>
  </x:si>
  <x:si>
    <x:t xml:space="preserve">EPS \ P/E</x:t>
  </x:si>
  <x:si>
    <x:t xml:space="preserve">주) 이 시트에는 사용자가 직접 입력하는 셀이 없습니다. M2의 적용 EPS·적정 P/E를 변경하면 민감도 행·열과 기준값(D9)이 모두 자동으로 갱신됩니다.</x:t>
  </x:si>
  <x:si>
    <x:t xml:space="preserve">대덕전자 (353200) — 투자의견</x:t>
  </x:si>
  <x:si>
    <x:t xml:space="preserve">하나증권 리포트 p.1 게재</x:t>
  </x:si>
  <x:si>
    <x:t xml:space="preserve">  투자의견</x:t>
  </x:si>
  <x:si>
    <x:t xml:space="preserve">투자의견</x:t>
  </x:si>
  <x:si>
    <x:t xml:space="preserve">변동 없음</x:t>
  </x:si>
  <x:si>
    <x:t xml:space="preserve">목표주가(12M)</x:t>
  </x:si>
  <x:si>
    <x:t xml:space="preserve">상향 (기존 59,000원)</x:t>
  </x:si>
  <x:si>
    <x:t xml:space="preserve">현재주가(2026.01.29)</x:t>
  </x:si>
  <x:si>
    <x:t xml:space="preserve">자료: 하나증권, 2026.01.29 기준</x:t>
  </x:si>
  <x:si>
    <x:t xml:space="preserve">주) 목표주가 81,000원과 현재주가 52,500원은 리포트 표지 원문 전사값입니다.</x:t>
  </x:si>
  <x:si>
    <x:t xml:space="preserve">대덕전자 (353200) — Key Data</x:t>
  </x:si>
  <x:si>
    <x:t xml:space="preserve">  Key Data</x:t>
  </x:si>
  <x:si>
    <x:t xml:space="preserve">KOSPI지수</x:t>
  </x:si>
  <x:si>
    <x:t xml:space="preserve">pt</x:t>
  </x:si>
  <x:si>
    <x:t xml:space="preserve">52주 최고</x:t>
  </x:si>
  <x:si>
    <x:t xml:space="preserve">52주 최저</x:t>
  </x:si>
  <x:si>
    <x:t xml:space="preserve">시가총액</x:t>
  </x:si>
  <x:si>
    <x:t xml:space="preserve">시가총액비중</x:t>
  </x:si>
  <x:si>
    <x:t xml:space="preserve">60일 평균 거래량</x:t>
  </x:si>
  <x:si>
    <x:t xml:space="preserve">60일 평균 거래대금</x:t>
  </x:si>
  <x:si>
    <x:t xml:space="preserve">외국인지분율</x:t>
  </x:si>
  <x:si>
    <x:t xml:space="preserve">  주요주주 지분율</x:t>
  </x:si>
  <x:si>
    <x:t xml:space="preserve">주주</x:t>
  </x:si>
  <x:si>
    <x:t xml:space="preserve">지분율</x:t>
  </x:si>
  <x:si>
    <x:t xml:space="preserve">주) 시가총액비중은 원문 0.06%를 소수값 0.0006으로 저장했습니다.</x:t>
  </x:si>
  <x:si>
    <x:t xml:space="preserve">Consensus Data</x:t>
  </x:si>
  <x:si>
    <x:t xml:space="preserve">하나증권 리포트 p.1 게재 / 단위: 십억원, 원</x:t>
  </x:si>
  <x:si>
    <x:t xml:space="preserve">2026</x:t>
  </x:si>
  <x:si>
    <x:t xml:space="preserve">매출액(십억원)</x:t>
  </x:si>
  <x:si>
    <x:t xml:space="preserve">영업이익(십억원)</x:t>
  </x:si>
  <x:si>
    <x:t xml:space="preserve">순이익(십억원)</x:t>
  </x:si>
  <x:si>
    <x:t xml:space="preserve">EPS(원)</x:t>
  </x:si>
  <x:si>
    <x:t xml:space="preserve">BPS(원)</x:t>
  </x:si>
  <x:si>
    <x:t xml:space="preserve">자료: 하나증권 (FnGuide 컨센서스 인용)</x:t>
  </x:si>
  <x:si>
    <x:t xml:space="preserve">  하나증권 추정치 대비 괴리 (파생)</x:t>
  </x:si>
  <x:si>
    <x:t xml:space="preserve">매출액 괴리 (하나증권/컨센서스-1)</x:t>
  </x:si>
  <x:si>
    <x:t xml:space="preserve">EPS 괴리 (하나증권/컨센서스-1)</x:t>
  </x:si>
  <x:si>
    <x:t xml:space="preserve">Stock Price — 표지 차트 대체</x:t>
  </x:si>
  <x:si>
    <x:t xml:space="preserve">원문은 「대덕전자(좌) vs 상대지수(우)」 월별 주가 차트입니다. 시세 제공 사이트가 대부분 자동 수집을 차단해 전체 월별 시계열은 확보하지 못했고, 리포트에 인쇄된 확정 수치만 아래에 옮겼습니다.</x:t>
  </x:si>
  <x:si>
    <x:t xml:space="preserve">  확보한 지표</x:t>
  </x:si>
  <x:si>
    <x:t xml:space="preserve">2026.01.29 종가</x:t>
  </x:si>
  <x:si>
    <x:t xml:space="preserve">시가총액(십억원)</x:t>
  </x:si>
  <x:si>
    <x:t xml:space="preserve">현재주가 × 발행주식수와 유사(단수차이 있음)</x:t>
  </x:si>
  <x:si>
    <x:t xml:space="preserve">월별 주가·상대지수 시계열 (21.1~26.1)</x:t>
  </x:si>
  <x:si>
    <x:t xml:space="preserve">미확보 사유: finance.naver.com, stockanalysis.com 등 시세 제공 사이트가 자동 수집을 차단했습니다. 16_p5_투자의견변동_괴리율 시트에 목표주가 변동 이력(날짜별)은 정확히 옮겨져 있어 참고할 수 있습니다.</x:t>
  </x:si>
  <x:si>
    <x:t xml:space="preserve">Financial Data (요약 투자지표)</x:t>
  </x:si>
  <x:si>
    <x:t xml:space="preserve">하나증권 리포트 p.1 게재 / 단위: 십억원, %, 배, 원</x:t>
  </x:si>
  <x:si>
    <x:t xml:space="preserve">투자지표</x:t>
  </x:si>
  <x:si>
    <x:t xml:space="preserve">순이익</x:t>
  </x:si>
  <x:si>
    <x:t xml:space="preserve">증감율</x:t>
  </x:si>
  <x:si>
    <x:t xml:space="preserve">PER</x:t>
  </x:si>
  <x:si>
    <x:t xml:space="preserve">PBR</x:t>
  </x:si>
  <x:si>
    <x:t xml:space="preserve">EV/EBITDA</x:t>
  </x:si>
  <x:si>
    <x:t xml:space="preserve">ROE</x:t>
  </x:si>
  <x:si>
    <x:t xml:space="preserve">BPS</x:t>
  </x:si>
  <x:si>
    <x:t xml:space="preserve">DPS</x:t>
  </x:si>
  <x:si>
    <x:t xml:space="preserve">  정합성 체크 (원문 수치를 수식으로 재계산)</x:t>
  </x:si>
  <x:si>
    <x:t xml:space="preserve">영업이익률 = 영업이익/매출액</x:t>
  </x:si>
  <x:si>
    <x:t xml:space="preserve">14_p4_투자지표 영업이익률과 대조</x:t>
  </x:si>
  <x:si>
    <x:t xml:space="preserve">PER 재계산 = 주가/EPS</x:t>
  </x:si>
  <x:si>
    <x:t xml:space="preserve">PER × EPS = 해당 연도 기준주가(원)</x:t>
  </x:si>
  <x:si>
    <x:t xml:space="preserve">자료: 하나증권</x:t>
  </x:si>
  <x:si>
    <x:t xml:space="preserve">주) 이 표는 4페이지 추정재무제표(12_p4_손익계산서·14_p4_투자지표)와 완전히 동일한 수치입니다. 표지 요약과 상세 재무제표가 일치함을 확인했습니다.</x:t>
  </x:si>
  <x:si>
    <x:t xml:space="preserve">도표 1. 대덕전자 Valuation — 수식 연동 모델</x:t>
  </x:si>
  <x:si>
    <x:t xml:space="preserve">M2 시트의 밸류에이션 방식 드롭다운과 Peer P/E 입력을 바꾸면 목표주가·상승여력과 M3 민감도분석이 자동으로 다시 계산됩니다.</x:t>
  </x:si>
  <x:si>
    <x:t xml:space="preserve">  ① 입력값</x:t>
  </x:si>
  <x:si>
    <x:t xml:space="preserve">26년 EPS — 하나증권 추정재무제표(도표6) 2026F EPS와 동일</x:t>
  </x:si>
  <x:si>
    <x:t xml:space="preserve">연결</x:t>
  </x:si>
  <x:si>
    <x:t xml:space="preserve">적정 P/E</x:t>
  </x:si>
  <x:si>
    <x:t xml:space="preserve">M2 밸류에이션 방식 드롭다운에서 선택</x:t>
  </x:si>
  <x:si>
    <x:t xml:space="preserve">EPS × 적정 P/E</x:t>
  </x:si>
  <x:si>
    <x:t xml:space="preserve">1천원 단위로 반올림</x:t>
  </x:si>
  <x:si>
    <x:t xml:space="preserve">  ③ 원문 대조 (정합성 체크)</x:t>
  </x:si>
  <x:si>
    <x:t xml:space="preserve">목표주가 (모델)</x:t>
  </x:si>
  <x:si>
    <x:t xml:space="preserve">주) 목표주가 산출값(≈80,617원)을 1천원 단위로 반올림해 원문 제시 목표주가 81,000원이 재현됩니다. 상승여력 54.3%도 원문과 일치합니다.</x:t>
  </x:si>
  <x:si>
    <x:t xml:space="preserve">도표 2. 대덕전자 12MF P/E Band</x:t>
  </x:si>
  <x:si>
    <x:t xml:space="preserve">원문은 차트여서 주가 시계열이 인쇄되어 있지 않습니다. 인쇄된 밴드 배수만 옮겼습니다.</x:t>
  </x:si>
  <x:si>
    <x:t xml:space="preserve">밴드</x:t>
  </x:si>
  <x:si>
    <x:t xml:space="preserve">배수 (배)</x:t>
  </x:si>
  <x:si>
    <x:t xml:space="preserve">Band 1 (상단)</x:t>
  </x:si>
  <x:si>
    <x:t xml:space="preserve">원문 차트에 표기된 밴드 배수</x:t>
  </x:si>
  <x:si>
    <x:t xml:space="preserve">Band 2</x:t>
  </x:si>
  <x:si>
    <x:t xml:space="preserve">Band 3 (중단)</x:t>
  </x:si>
  <x:si>
    <x:t xml:space="preserve">Band 4</x:t>
  </x:si>
  <x:si>
    <x:t xml:space="preserve">Band 5 (하단)</x:t>
  </x:si>
  <x:si>
    <x:t xml:space="preserve">  정합성 체크 (밴드 배수 기준 내재주가 — 원문에 없는 파생 계산)</x:t>
  </x:si>
  <x:si>
    <x:t xml:space="preserve">내재주가 (원)</x:t>
  </x:si>
  <x:si>
    <x:t xml:space="preserve">현재주가 대비</x:t>
  </x:si>
  <x:si>
    <x:t xml:space="preserve">2026F EPS 3,033원 적용 (참고용)</x:t>
  </x:si>
  <x:si>
    <x:t xml:space="preserve">주) 원문 차트는 21.1~26.1 구간의 수정주가와 5개 밴드선을 그린 그래프입니다. 주가 시계열에 데이터 라벨이 없어 눈금으로 추정하면 오차가 커지므로 옮기지 않았고, 인쇄된 밴드 배수만 위 표에 실었습니다.</x:t>
  </x:si>
  <x:si>
    <x:t xml:space="preserve">2026F BPS 20,014원 적용 (참고용)</x:t>
  </x:si>
  <x:si>
    <x:t xml:space="preserve">도표 4. 대덕전자 분기별 실적 추이 (매출·OPM)</x:t>
  </x:si>
  <x:si>
    <x:t xml:space="preserve">단위: 십억원, % / 원문은 차트만 있고 표가 없습니다. 신뢰도에 따라 글씨색을 구분했습니다: 파랑=원문표 그대로(1Q25~4Q26F), 검정=YoY%로 역산(2024), 주황 기울임=차트 이미지 눈금 판독(2021~2023).</x:t>
  </x:si>
  <x:si>
    <x:t xml:space="preserve">1Q21</x:t>
  </x:si>
  <x:si>
    <x:t xml:space="preserve">2Q21</x:t>
  </x:si>
  <x:si>
    <x:t xml:space="preserve">3Q21</x:t>
  </x:si>
  <x:si>
    <x:t xml:space="preserve">4Q21</x:t>
  </x:si>
  <x:si>
    <x:t xml:space="preserve">1Q22</x:t>
  </x:si>
  <x:si>
    <x:t xml:space="preserve">2Q22</x:t>
  </x:si>
  <x:si>
    <x:t xml:space="preserve">3Q22</x:t>
  </x:si>
  <x:si>
    <x:t xml:space="preserve">4Q22</x:t>
  </x:si>
  <x:si>
    <x:t xml:space="preserve">1Q23</x:t>
  </x:si>
  <x:si>
    <x:t xml:space="preserve">2Q23</x:t>
  </x:si>
  <x:si>
    <x:t xml:space="preserve">3Q23</x:t>
  </x:si>
  <x:si>
    <x:t xml:space="preserve">4Q23</x:t>
  </x:si>
  <x:si>
    <x:t xml:space="preserve">1Q24</x:t>
  </x:si>
  <x:si>
    <x:t xml:space="preserve">2Q24</x:t>
  </x:si>
  <x:si>
    <x:t xml:space="preserve">3Q24</x:t>
  </x:si>
  <x:si>
    <x:t xml:space="preserve">4Q24</x:t>
  </x:si>
  <x:si>
    <x:t xml:space="preserve">1Q26</x:t>
  </x:si>
  <x:si>
    <x:t xml:space="preserve">2Q26</x:t>
  </x:si>
  <x:si>
    <x:t xml:space="preserve">3Q26</x:t>
  </x:si>
  <x:si>
    <x:t xml:space="preserve">4Q26</x:t>
  </x:si>
  <x:si>
    <x:t xml:space="preserve">OPM</x:t>
  </x:si>
  <x:si>
    <x:t xml:space="preserve">자료: 대덕전자, 하나증권 (2021~2023은 도표4 차트 이미지 판독 근사치)</x:t>
  </x:si>
  <x:si>
    <x:t xml:space="preserve">도표 5. 대덕전자 분기별 수주잔고 추이</x:t>
  </x:si>
  <x:si>
    <x:t xml:space="preserve">단위: 억원 / 원문은 차트만 있고 표가 없습니다. 수주잔고는 DART 공시(재무제표 XBRL)에 구조화 항목으로 없어, 도표5 차트 이미지의 눈금을 읽어 근사한 값입니다 (주황 기울임 글씨).</x:t>
  </x:si>
  <x:si>
    <x:t xml:space="preserve">도표 6. 대덕전자 분기별 실적 전망(수정 후)</x:t>
  </x:si>
  <x:si>
    <x:t xml:space="preserve">단위: 십억원, % / 음영 = 전망치(F) 및 연간 열</x:t>
  </x:si>
  <x:si>
    <x:t xml:space="preserve">  -Memory</x:t>
  </x:si>
  <x:si>
    <x:t xml:space="preserve">  -Logic</x:t>
  </x:si>
  <x:si>
    <x:t xml:space="preserve">매출비중</x:t>
  </x:si>
  <x:si>
    <x:t xml:space="preserve">Substrate PKG(%)</x:t>
  </x:si>
  <x:si>
    <x:t xml:space="preserve">  -Memory(%)</x:t>
  </x:si>
  <x:si>
    <x:t xml:space="preserve">  -Logic(%)</x:t>
  </x:si>
  <x:si>
    <x:t xml:space="preserve">MLB(%)</x:t>
  </x:si>
  <x:si>
    <x:t xml:space="preserve">Flexible(%)</x:t>
  </x:si>
  <x:si>
    <x:t xml:space="preserve">OP</x:t>
  </x:si>
  <x:si>
    <x:t xml:space="preserve">세그먼트 합계 (Substrate+MLB+Flex)</x:t>
  </x:si>
  <x:si>
    <x:t xml:space="preserve">  vs 원문 매출액 (차이)</x:t>
  </x:si>
  <x:si>
    <x:t xml:space="preserve">OPM 재계산 (OP/매출액)</x:t>
  </x:si>
  <x:si>
    <x:t xml:space="preserve">주) 원문 연간 수치와 분기 합계 사이의 0.1 내외 차이는 보고서의 소수 첫째자리 반올림 표기에서 발생하는 것으로, 오기입이 아닙니다.</x:t>
  </x:si>
  <x:si>
    <x:t xml:space="preserve">도표 7. 대덕전자 분기별 실적 전망(수정 전)</x:t>
  </x:si>
  <x:si>
    <x:t xml:space="preserve">4Q25F</x:t>
  </x:si>
  <x:si>
    <x:t xml:space="preserve">추정 재무제표 — 손익계산서</x:t>
  </x:si>
  <x:si>
    <x:t xml:space="preserve">단위: 십억원 / 음영 = 전망치(F). 2026F·2027F 의 매출액·영업이익·세전이익·지배주주순이익은 M1_실적추정_모델 시트를 반영합니다(초록 글씨).</x:t>
  </x:si>
  <x:si>
    <x:t xml:space="preserve">매출원가</x:t>
  </x:si>
  <x:si>
    <x:t xml:space="preserve">매출총이익</x:t>
  </x:si>
  <x:si>
    <x:t xml:space="preserve">판관비</x:t>
  </x:si>
  <x:si>
    <x:t xml:space="preserve">금융손익</x:t>
  </x:si>
  <x:si>
    <x:t xml:space="preserve">종속/관계기업손익</x:t>
  </x:si>
  <x:si>
    <x:t xml:space="preserve">기타영업외손익</x:t>
  </x:si>
  <x:si>
    <x:t xml:space="preserve">법인세</x:t>
  </x:si>
  <x:si>
    <x:t xml:space="preserve">계속사업이익</x:t>
  </x:si>
  <x:si>
    <x:t xml:space="preserve">중단사업이익</x:t>
  </x:si>
  <x:si>
    <x:t xml:space="preserve">당기순이익</x:t>
  </x:si>
  <x:si>
    <x:t xml:space="preserve">비지배주주지분순이익</x:t>
  </x:si>
  <x:si>
    <x:t xml:space="preserve">지배주주지분포괄이익</x:t>
  </x:si>
  <x:si>
    <x:t xml:space="preserve">NOPAT</x:t>
  </x:si>
  <x:si>
    <x:t xml:space="preserve">EBITDA</x:t>
  </x:si>
  <x:si>
    <x:t xml:space="preserve">  성장성 (%)</x:t>
  </x:si>
  <x:si>
    <x:t xml:space="preserve">매출액증가율</x:t>
  </x:si>
  <x:si>
    <x:t xml:space="preserve">NOPAT증가율</x:t>
  </x:si>
  <x:si>
    <x:t xml:space="preserve">EBITDA증가율</x:t>
  </x:si>
  <x:si>
    <x:t xml:space="preserve">영업이익증가율</x:t>
  </x:si>
  <x:si>
    <x:t xml:space="preserve">(지배주주)순익증가율</x:t>
  </x:si>
  <x:si>
    <x:t xml:space="preserve">EPS증가율</x:t>
  </x:si>
  <x:si>
    <x:t xml:space="preserve">  수익성 (%)</x:t>
  </x:si>
  <x:si>
    <x:t xml:space="preserve">매출총이익률</x:t>
  </x:si>
  <x:si>
    <x:t xml:space="preserve">EBITDA이익률</x:t>
  </x:si>
  <x:si>
    <x:t xml:space="preserve">영업이익률</x:t>
  </x:si>
  <x:si>
    <x:t xml:space="preserve">계속사업이익률</x:t>
  </x:si>
  <x:si>
    <x:t xml:space="preserve">매출총이익 = 매출액 − 매출원가</x:t>
  </x:si>
  <x:si>
    <x:t xml:space="preserve">원문 매출총이익과 대조</x:t>
  </x:si>
  <x:si>
    <x:t xml:space="preserve">영업이익 = 매출총이익 − 판관비</x:t>
  </x:si>
  <x:si>
    <x:t xml:space="preserve">원문 영업이익과 대조</x:t>
  </x:si>
  <x:si>
    <x:t xml:space="preserve">영업이익률 재계산</x:t>
  </x:si>
  <x:si>
    <x:t xml:space="preserve">유효법인세율</x:t>
  </x:si>
  <x:si>
    <x:t xml:space="preserve">세전이익 - 법인세 - 계속사업이익</x:t>
  </x:si>
  <x:si>
    <x:t xml:space="preserve">0.1 내외는 원문 반올림 차이</x:t>
  </x:si>
  <x:si>
    <x:t xml:space="preserve">주) 원문은 소수 첫째자리까지 반올림 표기되어 있어, 재계산값과 0.1 내외 차이가 날 수 있습니다.</x:t>
  </x:si>
  <x:si>
    <x:t xml:space="preserve">추정 재무제표 — 대차대조표</x:t>
  </x:si>
  <x:si>
    <x:t xml:space="preserve">단위: 십억원 / 음영 = 전망치(F)</x:t>
  </x:si>
  <x:si>
    <x:t xml:space="preserve">유동자산</x:t>
  </x:si>
  <x:si>
    <x:t xml:space="preserve">  금융자산</x:t>
  </x:si>
  <x:si>
    <x:t xml:space="preserve">    현금성자산</x:t>
  </x:si>
  <x:si>
    <x:t xml:space="preserve">  매출채권</x:t>
  </x:si>
  <x:si>
    <x:t xml:space="preserve">  재고자산</x:t>
  </x:si>
  <x:si>
    <x:t xml:space="preserve">  기타유동자산</x:t>
  </x:si>
  <x:si>
    <x:t xml:space="preserve">비유동자산</x:t>
  </x:si>
  <x:si>
    <x:t xml:space="preserve">  투자자산</x:t>
  </x:si>
  <x:si>
    <x:t xml:space="preserve">    금융자산</x:t>
  </x:si>
  <x:si>
    <x:t xml:space="preserve">  유형자산</x:t>
  </x:si>
  <x:si>
    <x:t xml:space="preserve">  무형자산</x:t>
  </x:si>
  <x:si>
    <x:t xml:space="preserve">  기타비유동자산</x:t>
  </x:si>
  <x:si>
    <x:t xml:space="preserve">자산총계</x:t>
  </x:si>
  <x:si>
    <x:t xml:space="preserve">유동부채</x:t>
  </x:si>
  <x:si>
    <x:t xml:space="preserve">  금융부채</x:t>
  </x:si>
  <x:si>
    <x:t xml:space="preserve">  매입채무</x:t>
  </x:si>
  <x:si>
    <x:t xml:space="preserve">  기타유동부채</x:t>
  </x:si>
  <x:si>
    <x:t xml:space="preserve">비유동부채</x:t>
  </x:si>
  <x:si>
    <x:t xml:space="preserve">  기타비유동부채</x:t>
  </x:si>
  <x:si>
    <x:t xml:space="preserve">부채총계</x:t>
  </x:si>
  <x:si>
    <x:t xml:space="preserve">지배주주지분</x:t>
  </x:si>
  <x:si>
    <x:t xml:space="preserve">  자본금</x:t>
  </x:si>
  <x:si>
    <x:t xml:space="preserve">  자본잉여금</x:t>
  </x:si>
  <x:si>
    <x:t xml:space="preserve">  자본조정</x:t>
  </x:si>
  <x:si>
    <x:t xml:space="preserve">  기타포괄이익누계액</x:t>
  </x:si>
  <x:si>
    <x:t xml:space="preserve">  이익잉여금</x:t>
  </x:si>
  <x:si>
    <x:t xml:space="preserve">비지배주주지분</x:t>
  </x:si>
  <x:si>
    <x:t xml:space="preserve">자본총계</x:t>
  </x:si>
  <x:si>
    <x:t xml:space="preserve">순금융부채</x:t>
  </x:si>
  <x:si>
    <x:t xml:space="preserve">자산총계 = 유동자산 + 비유동자산</x:t>
  </x:si>
  <x:si>
    <x:t xml:space="preserve">부채총계 = 유동부채 + 비유동부채</x:t>
  </x:si>
  <x:si>
    <x:t xml:space="preserve">자본총계 = 자산총계 − 부채총계</x:t>
  </x:si>
  <x:si>
    <x:t xml:space="preserve">부채비율 = 부채총계/자본총계</x:t>
  </x:si>
  <x:si>
    <x:t xml:space="preserve">추정 재무제표 — 투자지표</x:t>
  </x:si>
  <x:si>
    <x:t xml:space="preserve">단위: 원, 배, %</x:t>
  </x:si>
  <x:si>
    <x:t xml:space="preserve">  주당지표(원)</x:t>
  </x:si>
  <x:si>
    <x:t xml:space="preserve">CFPS</x:t>
  </x:si>
  <x:si>
    <x:t xml:space="preserve">EBITDAPS</x:t>
  </x:si>
  <x:si>
    <x:t xml:space="preserve">SPS</x:t>
  </x:si>
  <x:si>
    <x:t xml:space="preserve">  주가지표(배)</x:t>
  </x:si>
  <x:si>
    <x:t xml:space="preserve">PCFR</x:t>
  </x:si>
  <x:si>
    <x:t xml:space="preserve">PSR</x:t>
  </x:si>
  <x:si>
    <x:t xml:space="preserve">  재무비율(%)</x:t>
  </x:si>
  <x:si>
    <x:t xml:space="preserve">ROA</x:t>
  </x:si>
  <x:si>
    <x:t xml:space="preserve">ROIC</x:t>
  </x:si>
  <x:si>
    <x:t xml:space="preserve">부채비율</x:t>
  </x:si>
  <x:si>
    <x:t xml:space="preserve">순부채비율</x:t>
  </x:si>
  <x:si>
    <x:t xml:space="preserve">이자보상배율(배)</x:t>
  </x:si>
  <x:si>
    <x:t xml:space="preserve">PER 재계산 = 현재주가/EPS (2026F)</x:t>
  </x:si>
  <x:si>
    <x:t xml:space="preserve">현재주가 52,500원 기준 (전망년도는 원문 표기 그대로)</x:t>
  </x:si>
  <x:si>
    <x:t xml:space="preserve">PBR 재계산 = 현재주가/BPS (2026F)</x:t>
  </x:si>
  <x:si>
    <x:t xml:space="preserve">ROE 재계산 = EPS/BPS(전기)</x:t>
  </x:si>
  <x:si>
    <x:t xml:space="preserve">주) PER·PBR 원문값은 각 연도 예상 실적 기준으로 산출되어 현재주가 역산값과 정확히 일치하지 않을 수 있습니다 (미래 연도 PER·PBR은 현재주가 기준으로 계산된 것으로 추정됩니다).</x:t>
  </x:si>
  <x:si>
    <x:t xml:space="preserve">추정 재무제표 — 현금흐름표</x:t>
  </x:si>
  <x:si>
    <x:t xml:space="preserve">영업활동 현금흐름</x:t>
  </x:si>
  <x:si>
    <x:t xml:space="preserve">  당기순이익</x:t>
  </x:si>
  <x:si>
    <x:t xml:space="preserve">  조정</x:t>
  </x:si>
  <x:si>
    <x:t xml:space="preserve">    감가상각비</x:t>
  </x:si>
  <x:si>
    <x:t xml:space="preserve">    외환거래손익</x:t>
  </x:si>
  <x:si>
    <x:t xml:space="preserve">    지분법손익</x:t>
  </x:si>
  <x:si>
    <x:t xml:space="preserve">    기타</x:t>
  </x:si>
  <x:si>
    <x:t xml:space="preserve">영업활동자산부채변동</x:t>
  </x:si>
  <x:si>
    <x:t xml:space="preserve">투자활동 현금흐름</x:t>
  </x:si>
  <x:si>
    <x:t xml:space="preserve">  투자자산감소(증가)</x:t>
  </x:si>
  <x:si>
    <x:t xml:space="preserve">  자본증가(감소)</x:t>
  </x:si>
  <x:si>
    <x:t xml:space="preserve">  기타</x:t>
  </x:si>
  <x:si>
    <x:t xml:space="preserve">재무활동 현금흐름</x:t>
  </x:si>
  <x:si>
    <x:t xml:space="preserve">  금융부채증가(감소)</x:t>
  </x:si>
  <x:si>
    <x:t xml:space="preserve">  기타재무활동</x:t>
  </x:si>
  <x:si>
    <x:t xml:space="preserve">  배당지급</x:t>
  </x:si>
  <x:si>
    <x:t xml:space="preserve">현금의 증감</x:t>
  </x:si>
  <x:si>
    <x:t xml:space="preserve">Unlevered CFO</x:t>
  </x:si>
  <x:si>
    <x:t xml:space="preserve">Free Cash Flow</x:t>
  </x:si>
  <x:si>
    <x:t xml:space="preserve">영업+투자+재무−현금증감 (미표시 조정)</x:t>
  </x:si>
  <x:si>
    <x:t xml:space="preserve">환율·현금성자산 분류 등 원문 미표시 조정액</x:t>
  </x:si>
  <x:si>
    <x:t xml:space="preserve">주) 원문 표에는 환율효과·현금성자산 분류 조정 등 일부 조정항목이 별도 표시되지 않아 영업·투자·재무활동 합계와 현금증감 간 차이가 발생할 수 있습니다.</x:t>
  </x:si>
  <x:si>
    <x:t xml:space="preserve">하나증권 리포트 p.5 게재</x:t>
  </x:si>
  <x:si>
    <x:t xml:space="preserve">날짜</x:t>
  </x:si>
  <x:si>
    <x:t xml:space="preserve">목표주가</x:t>
  </x:si>
  <x:si>
    <x:t xml:space="preserve">괴리율(평균)</x:t>
  </x:si>
  <x:si>
    <x:t xml:space="preserve">괴리율(최고/최저)</x:t>
  </x:si>
  <x:si>
    <x:t xml:space="preserve">주) 괴리율 평균/최고최저는 목표주가 제시 이후 실제 주가와의 괴리율입니다. 원문 차트(대덕전자 실제주가 vs 수정TP, 24.01~26.01)는 표에 없는 월별 주가 시계열이라 옮기지 않았습니다.</x:t>
  </x:si>
  <x:si>
    <x:t xml:space="preserve">  투자의견의 유효기간</x:t>
  </x:si>
  <x:si>
    <x:t xml:space="preserve">추천일 이후 12개월을 기준으로 적용</x:t>
  </x:si>
  <x:si>
    <x:t xml:space="preserve">  기업의 분류</x:t>
  </x:si>
  <x:si>
    <x:t xml:space="preserve">BUY(매수)_목표주가가 현주가 대비 15% 이상 상승 여력</x:t>
  </x:si>
  <x:si>
    <x:t xml:space="preserve">Neutral(중립)_목표주가가 현주가 대비 -15%~15% 등락</x:t>
  </x:si>
  <x:si>
    <x:t xml:space="preserve">Reduce(비중축소)_목표주가가 현주가 대비 15% 이상 하락 가능</x:t>
  </x:si>
  <x:si>
    <x:t xml:space="preserve">  산업의 분류</x:t>
  </x:si>
  <x:si>
    <x:t xml:space="preserve">Overweight(비중확대)_업종지수가 현재지수 대비 15% 이상 상승 여력</x:t>
  </x:si>
  <x:si>
    <x:t xml:space="preserve">Neutral(중립)_업종지수가 현재지수 대비 -15%~15% 등락</x:t>
  </x:si>
  <x:si>
    <x:t xml:space="preserve">Underweight(비중축소)_업종지수가 현재지수 대비 -15%~15% 등락</x:t>
  </x:si>
  <x:si>
    <x:t xml:space="preserve">  투자의견 비율공시 (최근 1년)</x:t>
  </x:si>
  <x:si>
    <x:t xml:space="preserve">투자등급</x:t>
  </x:si>
  <x:si>
    <x:t xml:space="preserve">BUY(매수)</x:t>
  </x:si>
  <x:si>
    <x:t xml:space="preserve">Neutral(중립)</x:t>
  </x:si>
  <x:si>
    <x:t xml:space="preserve">Reduce(매도)</x:t>
  </x:si>
  <x:si>
    <x:t xml:space="preserve">금융투자상품의 비율</x:t>
  </x:si>
  <x:si>
    <x:t xml:space="preserve">합계</x:t>
  </x:si>
  <x:si>
    <x:t xml:space="preserve">DART 확정 실적 대사 — 하나증권 추정치 검증 (원문에 없는 파생 분석)</x:t>
  </x:si>
  <x:si>
    <x:t xml:space="preserve">DART 확정 실적과 하나증권 4Q25 리뷰 추정치 비교(연결 기준).</x:t>
  </x:si>
  <x:si>
    <x:t xml:space="preserve">  ① 2025년 연간 실적 (사업보고서 2026.03.18, 연결)</x:t>
  </x:si>
  <x:si>
    <x:t xml:space="preserve">하나증권 추정(2025F)</x:t>
  </x:si>
  <x:si>
    <x:t xml:space="preserve">DART 확정</x:t>
  </x:si>
  <x:si>
    <x:t xml:space="preserve">차이</x:t>
  </x:si>
  <x:si>
    <x:t xml:space="preserve">지배주주순이익(십억원)</x:t>
  </x:si>
  <x:si>
    <x:t xml:space="preserve">EPS(원, 확정 발행주식수 기준)</x:t>
  </x:si>
  <x:si>
    <x:t xml:space="preserve">자산총계(십억원)</x:t>
  </x:si>
  <x:si>
    <x:t xml:space="preserve">부채총계(십억원)</x:t>
  </x:si>
  <x:si>
    <x:t xml:space="preserve">자료: DART 대덕전자(주) 사업보고서(2026.03.18), entity01478712, 연결재무제표 (IFRS-Full: Revenue, OperatingIncomeLoss, ProfitLossAttributableToOwnersOfParent, Assets, Liabilities)</x:t>
  </x:si>
  <x:si>
    <x:t xml:space="preserve">  ② 2026년 1분기 실적 (분기보고서 2026.05.14, 연결)</x:t>
  </x:si>
  <x:si>
    <x:t xml:space="preserve">하나증권 1Q26F(수정후)</x:t>
  </x:si>
  <x:si>
    <x:t xml:space="preserve">하나증권 4Q25 리뷰(2026.01.30) 시점 이후 확정된 실적입니다</x:t>
  </x:si>
  <x:si>
    <x:t xml:space="preserve">1Q26F는 4Q25 리뷰의 연간 순이익을 분기 OP 비중으로 배분한 추정값</x:t>
  </x:si>
  <x:si>
    <x:t xml:space="preserve">자료: DART 대덕전자(주) 분기보고서(2026.05.14), entity01478712_2026-03-31.xbrl, 연결재무제표</x:t>
  </x:si>
  <x:si>
    <x:t xml:space="preserve">주) 1Q26 확정 매출·영업이익이 하나증권의 4Q25 리뷰 시점 전망치(도표6 수정후)를 크게 상회합니다 — 반도체 기판 수요 회복이 예상보다 빨랐던 것으로 해석됩니다. 이 시트는 리뷰 작성 시점(2026.01.30) 이후 실제로 공개된 확정치와의 대사이며, M1_실적추정_모델 시트의 입력값 자체는 바꾸지 않았습니다 (리뷰 시점 가정을 지키기 위함).</x:t>
  </x:si>
  <x:si>
    <x:t xml:space="preserve">출처, 공시, 미확보 구간 정리</x:t>
  </x:si>
  <x:si>
    <x:t xml:space="preserve">  원문 리포트</x:t>
  </x:si>
  <x:si>
    <x:t xml:space="preserve">원자료</x:t>
  </x:si>
  <x:si>
    <x:t xml:space="preserve">하나증권 「대덕전자(353200) — 기판 맹수, 앙!」 4Q25 Earnings Review, 2026.01.30, Analyst 김민경 (minkyung.kim@hanafn.com)</x:t>
  </x:si>
  <x:si>
    <x:t xml:space="preserve">  DART 전자공시</x:t>
  </x:si>
  <x:si>
    <x:t xml:space="preserve">공시서류</x:t>
  </x:si>
  <x:si>
    <x:t xml:space="preserve">접수일자</x:t>
  </x:si>
  <x:si>
    <x:t xml:space="preserve">기업 고유번호</x:t>
  </x:si>
  <x:si>
    <x:t xml:space="preserve">사업보고서 (2025 사업연도)</x:t>
  </x:si>
  <x:si>
    <x:t xml:space="preserve">2026.03.18</x:t>
  </x:si>
  <x:si>
    <x:t xml:space="preserve">01478712</x:t>
  </x:si>
  <x:si>
    <x:t xml:space="preserve">대덕전자(주), 연결 재무제표 IFRS 원문 XBRL. FY2023~FY2025 연간 확정 실적</x:t>
  </x:si>
  <x:si>
    <x:t xml:space="preserve">분기보고서 (2026년 1분기)</x:t>
  </x:si>
  <x:si>
    <x:t xml:space="preserve">2026.05.14</x:t>
  </x:si>
  <x:si>
    <x:t xml:space="preserve">대덕전자(주), 연결 재무제표 IFRS 원문 XBRL. 1Q26 확정 실적, 1Q25 비교 표시</x:t>
  </x:si>
  <x:si>
    <x:t xml:space="preserve">  미확보 구간 (임의 추정하지 않음)</x:t>
  </x:si>
  <x:si>
    <x:t xml:space="preserve">도표4 분기별 실적추이 (1Q21~4Q23 매출·OPM)</x:t>
  </x:si>
  <x:si>
    <x:t xml:space="preserve">차트 이미지 눈금 판독 근사치로 대체 (주황 기울임 글씨). DART에 해당 기간 개별 분기 공시 없음</x:t>
  </x:si>
  <x:si>
    <x:t xml:space="preserve">도표5 분기별 수주잔고 추이 (전 구간)</x:t>
  </x:si>
  <x:si>
    <x:t xml:space="preserve">수주잔고는 IFRS 표준 공시 항목이 아니며 DART XBRL에 구조화 데이터로 없음. 차트 이미지 판독 근사치</x:t>
  </x:si>
  <x:si>
    <x:t xml:space="preserve">03_p1_주가추이 월별 시계열 (21.1~26.1)</x:t>
  </x:si>
  <x:si>
    <x:t xml:space="preserve">시세 제공 사이트 자동 수집 차단으로 미확보. 목표주가 변동 이력(16번 시트)으로 대체</x:t>
  </x:si>
  <x:si>
    <x:t xml:space="preserve">도표2·3 PER/PBR Band 주가 시계열</x:t>
  </x:si>
  <x:si>
    <x:t xml:space="preserve">원문 차트에 데이터 라벨 없음. 밴드 배수만 06·07 시트에 옮김</x:t>
  </x:si>
  <x:si>
    <x:t xml:space="preserve">본 파일은 하나증권 리서치 자료와 DART 전자공시를 정리한 학습·분석용 자료이며 투자 권유가 아닙니다.</x:t>
  </x:si>
  <x:si>
    <x:t xml:space="preserve">  추가 추정 및 시연 입력</x:t>
  </x:si>
  <x:si>
    <x:t xml:space="preserve">기준</x:t>
  </x:si>
  <x:si>
    <x:t xml:space="preserve">처리 방식</x:t>
  </x:si>
  <x:si>
    <x:t xml:space="preserve">검증</x:t>
  </x:si>
  <x:si>
    <x:t xml:space="preserve">분기 세전이익·지배주주순이익</x:t>
  </x:si>
  <x:si>
    <x:t xml:space="preserve">하나증권 4Q25 연간 추정치</x:t>
  </x:si>
  <x:si>
    <x:t xml:space="preserve">분기 영업이익 비중 배분, 4Q 잔여값</x:t>
  </x:si>
  <x:si>
    <x:t xml:space="preserve">분기 합계 = 연간 입력값</x:t>
  </x:si>
  <x:si>
    <x:t xml:space="preserve">Peer 2026E P/E</x:t>
  </x:si>
  <x:si>
    <x:t xml:space="preserve">2026.01.30 리뷰 시점</x:t>
  </x:si>
  <x:si>
    <x:t xml:space="preserve">원문 미공개 개별값은 평균 26.58배를 재현하는 시연용 근사·역산값</x:t>
  </x:si>
  <x:si>
    <x:t xml:space="preserve">코리아써키트 입력 전 평균 26.58배</x:t>
  </x:si>
  <x:si>
    <x:t xml:space="preserve">하나증권 1Q26 도표1 Peer 추가</x:t>
  </x:si>
  <x:si>
    <x:t xml:space="preserve">시연 입력용 빈 셀 유지</x:t>
  </x:si>
  <x:si>
    <x:t xml:space="preserve">입력 시 평균·목표주가 자동 갱신</x:t>
  </x:si>
  <x:si>
    <x:t xml:space="preserve">주의</x:t>
  </x:si>
  <x:si>
    <x:t xml:space="preserve">Peer 개별 P/E는 원문 직접 전사값이 아니므로 주황 기울임체로 구분</x:t>
  </x:si>
</x:sst>
</file>

<file path=xl/styles.xml><?xml version="1.0" encoding="utf-8"?>
<x:styleSheet xmlns:x="http://schemas.openxmlformats.org/spreadsheetml/2006/main">
  <x:numFmts count="15">
    <x:numFmt numFmtId="42" formatCode="_-&quot;₩&quot;* #,##0_-;\-&quot;₩&quot;* #,##0_-;_-&quot;₩&quot;* &quot;-&quot;_-;_-@_-"/>
    <x:numFmt numFmtId="41" formatCode="_-* #,##0_-;\-* #,##0_-;_-* &quot;-&quot;_-;_-@_-"/>
    <x:numFmt numFmtId="44" formatCode="_-&quot;₩&quot;* #,##0.00_-;\-&quot;₩&quot;* #,##0.00_-;_-&quot;₩&quot;* &quot;-&quot;??_-;_-@_-"/>
    <x:numFmt numFmtId="43" formatCode="_-* #,##0.00_-;\-* #,##0.00_-;_-* &quot;-&quot;??_-;_-@_-"/>
    <x:numFmt numFmtId="180" formatCode="0.00\x"/>
    <x:numFmt numFmtId="183" formatCode="#,##0.0;[Red]\(#,##0.0\);\-"/>
    <x:numFmt numFmtId="184" formatCode="0.0%"/>
    <x:numFmt numFmtId="185" formatCode="0.0%;[Red]\(0.0%\);\-"/>
    <x:numFmt numFmtId="186" formatCode="#,##0;[Red]\(#,##0\);\-"/>
    <x:numFmt numFmtId="187" formatCode="#,##0.0"/>
    <x:numFmt numFmtId="200" formatCode="yyyy-mm-dd"/>
    <x:numFmt numFmtId="201" formatCode="#,##0"/>
    <x:numFmt numFmtId="202" formatCode="#,##0.00"/>
    <x:numFmt numFmtId="203" formatCode="0.00%"/>
    <x:numFmt numFmtId="204" formatCode="#,##0.0000"/>
  </x:numFmts>
  <x:fonts count="37">
    <x:font>
      <x:sz val="11"/>
      <x:color theme="1"/>
      <x:name val="맑은 고딕"/>
    </x:font>
    <x:font>
      <x:sz val="10"/>
      <x:name val="맑은 고딕"/>
    </x:font>
    <x:font>
      <x:b/>
      <x:sz val="9"/>
      <x:color rgb="FFFFFFFF"/>
      <x:name val="맑은 고딕"/>
    </x:font>
    <x:font>
      <x:b/>
      <x:sz val="9"/>
      <x:color rgb="FF000000"/>
      <x:name val="맑은 고딕"/>
    </x:font>
    <x:font>
      <x:sz val="9"/>
      <x:color rgb="FF000000"/>
      <x:name val="맑은 고딕"/>
    </x:font>
    <x:font>
      <x:b/>
      <x:sz val="9"/>
      <x:color rgb="FF008000"/>
      <x:name val="맑은 고딕"/>
    </x:font>
    <x:font>
      <x:b/>
      <x:sz val="11"/>
      <x:color rgb="FF17365D"/>
      <x:name val="맑은 고딕"/>
    </x:font>
    <x:font>
      <x:sz val="8"/>
      <x:color rgb="FF666666"/>
      <x:name val="맑은 고딕"/>
    </x:font>
    <x:font>
      <x:b/>
      <x:sz val="9"/>
      <x:color rgb="FF0F5F5A"/>
      <x:name val="맑은 고딕"/>
    </x:font>
    <x:font>
      <x:b/>
      <x:sz val="8"/>
      <x:color rgb="FF000000"/>
      <x:name val="맑은 고딕"/>
    </x:font>
    <x:font>
      <x:sz val="8"/>
      <x:color rgb="FF000000"/>
      <x:name val="맑은 고딕"/>
    </x:font>
    <x:font>
      <x:b/>
      <x:sz val="9"/>
      <x:color rgb="FF17365D"/>
      <x:name val="맑은 고딕"/>
    </x:font>
    <x:font>
      <x:sz val="9"/>
      <x:color rgb="FF666666"/>
      <x:name val="맑은 고딕"/>
    </x:font>
    <x:font>
      <x:b/>
      <x:sz val="9"/>
      <x:color rgb="FF0F5F5A"/>
      <x:name val="맑은 고딕"/>
    </x:font>
    <x:font>
      <x:b/>
      <x:sz val="9"/>
      <x:color rgb="FFFFFFFF"/>
      <x:name val="맑은 고딕"/>
    </x:font>
    <x:font>
      <x:sz val="9"/>
      <x:color rgb="FF000000"/>
      <x:name val="맑은 고딕"/>
    </x:font>
    <x:font>
      <x:b/>
      <x:sz val="9"/>
      <x:color rgb="FF0000FF"/>
      <x:name val="맑은 고딕"/>
    </x:font>
    <x:font>
      <x:b/>
      <x:sz val="9"/>
      <x:color rgb="FF008000"/>
      <x:name val="맑은 고딕"/>
    </x:font>
    <x:font>
      <x:b/>
      <x:sz val="9"/>
      <x:color rgb="FF000000"/>
      <x:name val="맑은 고딕"/>
    </x:font>
    <x:font>
      <x:i/>
      <x:sz val="9"/>
      <x:color rgb="FFC65911"/>
      <x:name val="맑은 고딕"/>
    </x:font>
    <x:font>
      <x:b/>
      <x:sz val="14"/>
      <x:color rgb="FFFFFFFF"/>
      <x:name val="맑은 고딕"/>
    </x:font>
    <x:font>
      <x:i/>
      <x:sz val="9"/>
      <x:color rgb="FF666666"/>
      <x:name val="맑은 고딕"/>
    </x:font>
    <x:font>
      <x:b/>
      <x:sz val="10"/>
      <x:color rgb="FF1F7772"/>
      <x:name val="맑은 고딕"/>
    </x:font>
    <x:font>
      <x:sz val="9"/>
      <x:color rgb="FF0000FF"/>
      <x:name val="맑은 고딕"/>
    </x:font>
    <x:font>
      <x:sz val="9"/>
      <x:color rgb="FF008000"/>
      <x:name val="맑은 고딕"/>
    </x:font>
    <x:font>
      <x:sz val="11"/>
      <x:color theme="1"/>
      <x:name val="맑은 고딕"/>
    </x:font>
    <x:font>
      <x:sz val="8"/>
      <x:name val="돋움"/>
    </x:font>
    <x:font>
      <x:b/>
      <x:sz val="11"/>
      <x:color rgb="FFFFFFFF"/>
      <x:name val="맑은 고딕"/>
    </x:font>
    <x:font>
      <x:sz val="11"/>
      <x:color rgb="FF697066"/>
      <x:name val="맑은 고딕"/>
    </x:font>
    <x:font>
      <x:b/>
      <x:sz val="11"/>
      <x:color rgb="FF0F5F5A"/>
      <x:name val="맑은 고딕"/>
    </x:font>
    <x:font>
      <x:sz val="11"/>
      <x:color rgb="FF111410"/>
      <x:name val="맑은 고딕"/>
    </x:font>
    <x:font>
      <x:i/>
      <x:sz val="9"/>
      <x:color rgb="FF008000"/>
      <x:name val="맑은 고딕"/>
    </x:font>
    <x:font>
      <x:sz val="11"/>
      <x:color rgb="FF008000"/>
      <x:name val="맑은 고딕"/>
    </x:font>
    <x:font>
      <x:sz val="9"/>
      <x:color rgb="FF111410"/>
      <x:name val="맑은 고딕"/>
    </x:font>
    <x:font>
      <x:b/>
      <x:sz val="9"/>
      <x:color rgb="FF111410"/>
      <x:name val="맑은 고딕"/>
    </x:font>
    <x:font>
      <x:b/>
      <x:sz val="8"/>
      <x:color rgb="FF0F5F5A"/>
      <x:name val="맑은 고딕"/>
    </x:font>
    <x:font>
      <x:b/>
      <x:sz val="11"/>
      <x:color rgb="FF111410"/>
      <x:name val="맑은 고딕"/>
    </x:font>
  </x:fonts>
  <x:fills count="1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7FBFB"/>
      </x:patternFill>
    </x:fill>
    <x:fill>
      <x:patternFill patternType="solid">
        <x:fgColor rgb="FFF3F6F6"/>
      </x:patternFill>
    </x:fill>
    <x:fill>
      <x:patternFill patternType="solid">
        <x:fgColor rgb="FF1F7772"/>
      </x:patternFill>
    </x:fill>
    <x:fill>
      <x:patternFill patternType="solid">
        <x:fgColor rgb="FFEAEFF5"/>
      </x:patternFill>
    </x:fill>
    <x:fill>
      <x:patternFill patternType="solid">
        <x:fgColor rgb="FFFFFFFF"/>
      </x:patternFill>
    </x:fill>
    <x:fill>
      <x:patternFill patternType="solid">
        <x:fgColor rgb="FF1F7772"/>
      </x:patternFill>
    </x:fill>
    <x:fill>
      <x:patternFill patternType="solid">
        <x:fgColor rgb="FFDDEBF7"/>
      </x:patternFill>
    </x:fill>
    <x:fill>
      <x:patternFill patternType="solid">
        <x:fgColor rgb="FFEAEFF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111410"/>
      </x:patternFill>
    </x:fill>
    <x:fill>
      <x:patternFill patternType="solid">
        <x:fgColor rgb="FFF5F7F3"/>
      </x:patternFill>
    </x:fill>
    <x:fill>
      <x:patternFill patternType="solid">
        <x:fgColor rgb="FF1F7D78"/>
      </x:patternFill>
    </x:fill>
    <x:fill>
      <x:patternFill patternType="solid">
        <x:fgColor rgb="FFEFFFC5"/>
      </x:patternFill>
    </x:fill>
    <x:fill>
      <x:patternFill patternType="solid">
        <x:fgColor rgb="FFC8FF3D"/>
      </x:patternFill>
    </x:fill>
  </x:fills>
  <x:borders count="31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</x:border>
    <x:border>
      <x:right style="thin">
        <x:color rgb="FFD9D9D9"/>
      </x:right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bottom style="thin">
        <x:color rgb="FFE4E8E1"/>
      </x:bottom>
    </x:border>
    <x:border>
      <x:left style="thin">
        <x:color rgb="FFE4E8E1"/>
      </x:left>
      <x:right style="thin">
        <x:color rgb="FFE4E8E1"/>
      </x:right>
      <x:top style="thin">
        <x:color rgb="FFE4E8E1"/>
      </x:top>
      <x:bottom style="thin">
        <x:color rgb="FFE4E8E1"/>
      </x:bottom>
    </x:border>
    <x:border>
      <x:top style="thin">
        <x:color rgb="FFE4E8E1"/>
      </x:top>
      <x:bottom style="thin">
        <x:color rgb="FFE4E8E1"/>
      </x:bottom>
    </x:border>
    <x:border>
      <x:left style="thin">
        <x:color rgb="FFD9D9D9"/>
      </x:left>
      <x:bottom style="thin">
        <x:color rgb="FFE4E8E1"/>
      </x:bottom>
    </x:border>
    <x:border>
      <x:left style="thin">
        <x:color rgb="FFD9D9D9"/>
      </x:left>
      <x:top style="thin">
        <x:color rgb="FFE4E8E1"/>
      </x:top>
      <x:bottom style="thin">
        <x:color rgb="FFE4E8E1"/>
      </x:bottom>
    </x:border>
    <x:border>
      <x:right style="thin">
        <x:color rgb="FFD9D9D9"/>
      </x:right>
      <x:top style="thin">
        <x:color rgb="FFE4E8E1"/>
      </x:top>
      <x:bottom style="thin">
        <x:color rgb="FFE4E8E1"/>
      </x:bottom>
    </x:border>
  </x:borders>
  <x:cellStyleXfs count="7">
    <x:xf numFmtId="0" fontId="0" fillId="0" borderId="1"/>
    <x:xf numFmtId="43" fontId="1" fillId="0" borderId="1"/>
    <x:xf numFmtId="41" fontId="1" fillId="0" borderId="1"/>
    <x:xf numFmtId="44" fontId="1" fillId="0" borderId="1"/>
    <x:xf numFmtId="42" fontId="1" fillId="0" borderId="1"/>
    <x:xf numFmtId="9" fontId="1" fillId="0" borderId="1"/>
    <x:xf numFmtId="0" fontId="25" fillId="0" borderId="1"/>
  </x:cellStyleXfs>
  <x:cellXfs count="325">
    <x:xf numFmtId="0" fontId="0" fillId="0" borderId="0" xfId="0" applyBorder="1"/>
    <x:xf numFmtId="0" fontId="4" fillId="2" borderId="0" xfId="6" applyFont="1" applyFill="1" applyBorder="1" applyAlignment="1">
      <x:alignment vertical="center"/>
    </x:xf>
    <x:xf numFmtId="0" fontId="6" fillId="2" borderId="0" xfId="6" applyFont="1" applyFill="1" applyBorder="1" applyAlignment="1">
      <x:alignment vertical="center"/>
    </x:xf>
    <x:xf numFmtId="0" fontId="7" fillId="2" borderId="0" xfId="6" applyFont="1" applyFill="1" applyBorder="1" applyAlignment="1">
      <x:alignment vertical="center"/>
    </x:xf>
    <x:xf numFmtId="0" fontId="7" fillId="3" borderId="0" xfId="6" applyFont="1" applyFill="1" applyBorder="1" applyAlignment="1">
      <x:alignment vertical="center"/>
    </x:xf>
    <x:xf numFmtId="0" fontId="8" fillId="4" borderId="0" xfId="6" applyFont="1" applyFill="1" applyBorder="1" applyAlignment="1">
      <x:alignment vertical="center"/>
    </x:xf>
    <x:xf numFmtId="0" fontId="2" fillId="5" borderId="10" xfId="6" applyFont="1" applyFill="1" applyBorder="1" applyAlignment="1">
      <x:alignment horizontal="center" vertical="center"/>
    </x:xf>
    <x:xf numFmtId="0" fontId="2" fillId="5" borderId="11" xfId="6" applyFont="1" applyFill="1" applyBorder="1" applyAlignment="1">
      <x:alignment horizontal="center" vertical="center"/>
    </x:xf>
    <x:xf numFmtId="0" fontId="2" fillId="5" borderId="12" xfId="6" applyFont="1" applyFill="1" applyBorder="1" applyAlignment="1">
      <x:alignment horizontal="center" vertical="center"/>
    </x:xf>
    <x:xf numFmtId="0" fontId="4" fillId="2" borderId="7" xfId="6" applyFont="1" applyFill="1" applyBorder="1" applyAlignment="1">
      <x:alignment vertical="center"/>
    </x:xf>
    <x:xf numFmtId="0" fontId="4" fillId="2" borderId="8" xfId="6" applyFont="1" applyFill="1" applyBorder="1" applyAlignment="1">
      <x:alignment vertical="center"/>
    </x:xf>
    <x:xf numFmtId="0" fontId="4" fillId="2" borderId="9" xfId="6" applyFont="1" applyFill="1" applyBorder="1" applyAlignment="1">
      <x:alignment vertical="center"/>
    </x:xf>
    <x:xf numFmtId="0" fontId="4" fillId="2" borderId="5" xfId="6" applyFont="1" applyFill="1" applyBorder="1" applyAlignment="1">
      <x:alignment vertical="center"/>
    </x:xf>
    <x:xf numFmtId="0" fontId="4" fillId="2" borderId="6" xfId="6" applyFont="1" applyFill="1" applyBorder="1" applyAlignment="1">
      <x:alignment vertical="center"/>
    </x:xf>
    <x:xf numFmtId="0" fontId="8" fillId="4" borderId="3" xfId="6" applyFont="1" applyFill="1" applyBorder="1" applyAlignment="1">
      <x:alignment vertical="center"/>
    </x:xf>
    <x:xf numFmtId="0" fontId="8" fillId="4" borderId="4" xfId="6" applyFont="1" applyFill="1" applyBorder="1" applyAlignment="1">
      <x:alignment vertical="center"/>
    </x:xf>
    <x:xf numFmtId="183" fontId="4" fillId="2" borderId="0" xfId="6" applyNumberFormat="1" applyFont="1" applyFill="1" applyBorder="1" applyAlignment="1">
      <x:alignment vertical="center"/>
    </x:xf>
    <x:xf numFmtId="183" fontId="4" fillId="2" borderId="8" xfId="6" applyNumberFormat="1" applyFont="1" applyFill="1" applyBorder="1" applyAlignment="1">
      <x:alignment vertical="center"/>
    </x:xf>
    <x:xf numFmtId="183" fontId="2" fillId="5" borderId="11" xfId="6" applyNumberFormat="1" applyFont="1" applyFill="1" applyBorder="1" applyAlignment="1">
      <x:alignment horizontal="center" vertical="center"/>
    </x:xf>
    <x:xf numFmtId="0" fontId="7" fillId="2" borderId="0" xfId="6" applyFont="1" applyFill="1" applyBorder="1" applyAlignment="1">
      <x:alignment vertical="center" wrapText="1"/>
    </x:xf>
    <x:xf numFmtId="0" fontId="8" fillId="4" borderId="5" xfId="6" applyFont="1" applyFill="1" applyBorder="1" applyAlignment="1">
      <x:alignment vertical="center"/>
    </x:xf>
    <x:xf numFmtId="0" fontId="8" fillId="4" borderId="6" xfId="6" applyFont="1" applyFill="1" applyBorder="1" applyAlignment="1">
      <x:alignment vertical="center"/>
    </x:xf>
    <x:xf numFmtId="0" fontId="5" fillId="2" borderId="21" xfId="6" applyFont="1" applyFill="1" applyBorder="1" applyAlignment="1">
      <x:alignment vertical="center"/>
    </x:xf>
    <x:xf numFmtId="0" fontId="6" fillId="2" borderId="0" xfId="6" applyFont="1" applyFill="1" applyBorder="1" applyAlignment="1">
      <x:alignment vertical="center" wrapText="1"/>
    </x:xf>
    <x:xf numFmtId="0" fontId="6" fillId="2" borderId="2" xfId="6" applyFont="1" applyFill="1" applyBorder="1" applyAlignment="1">
      <x:alignment vertical="center"/>
    </x:xf>
    <x:xf numFmtId="0" fontId="6" fillId="2" borderId="3" xfId="6" applyFont="1" applyFill="1" applyBorder="1" applyAlignment="1">
      <x:alignment vertical="center"/>
    </x:xf>
    <x:xf numFmtId="0" fontId="6" fillId="2" borderId="4" xfId="6" applyFont="1" applyFill="1" applyBorder="1" applyAlignment="1">
      <x:alignment vertical="center"/>
    </x:xf>
    <x:xf numFmtId="0" fontId="7" fillId="2" borderId="5" xfId="6" applyFont="1" applyFill="1" applyBorder="1" applyAlignment="1">
      <x:alignment vertical="center"/>
    </x:xf>
    <x:xf numFmtId="0" fontId="7" fillId="2" borderId="6" xfId="6" applyFont="1" applyFill="1" applyBorder="1" applyAlignment="1">
      <x:alignment vertical="center"/>
    </x:xf>
    <x:xf numFmtId="185" fontId="4" fillId="2" borderId="0" xfId="6" applyNumberFormat="1" applyFont="1" applyFill="1" applyBorder="1" applyAlignment="1">
      <x:alignment vertical="center"/>
    </x:xf>
    <x:xf numFmtId="183" fontId="8" fillId="4" borderId="0" xfId="6" applyNumberFormat="1" applyFont="1" applyFill="1" applyBorder="1" applyAlignment="1">
      <x:alignment vertical="center"/>
    </x:xf>
    <x:xf numFmtId="186" fontId="4" fillId="2" borderId="0" xfId="6" applyNumberFormat="1" applyFont="1" applyFill="1" applyBorder="1" applyAlignment="1">
      <x:alignment vertical="center"/>
    </x:xf>
    <x:xf numFmtId="186" fontId="4" fillId="2" borderId="6" xfId="6" applyNumberFormat="1" applyFont="1" applyFill="1" applyBorder="1" applyAlignment="1">
      <x:alignment vertical="center"/>
    </x:xf>
    <x:xf numFmtId="0" fontId="7" fillId="2" borderId="5" xfId="6" applyFont="1" applyFill="1" applyBorder="1" applyAlignment="1">
      <x:alignment vertical="center" wrapText="1"/>
    </x:xf>
    <x:xf numFmtId="185" fontId="8" fillId="4" borderId="0" xfId="6" applyNumberFormat="1" applyFont="1" applyFill="1" applyBorder="1" applyAlignment="1">
      <x:alignment vertical="center"/>
    </x:xf>
    <x:xf numFmtId="0" fontId="6" fillId="2" borderId="3" xfId="6" applyFont="1" applyFill="1" applyBorder="1" applyAlignment="1">
      <x:alignment vertical="center" wrapText="1"/>
    </x:xf>
    <x:xf numFmtId="0" fontId="4" fillId="2" borderId="0" xfId="6" applyFont="1" applyFill="1" applyBorder="1" applyAlignment="1">
      <x:alignment vertical="center" wrapText="1"/>
    </x:xf>
    <x:xf numFmtId="0" fontId="4" fillId="2" borderId="6" xfId="6" applyFont="1" applyFill="1" applyBorder="1" applyAlignment="1">
      <x:alignment vertical="center" wrapText="1"/>
    </x:xf>
    <x:xf numFmtId="0" fontId="8" fillId="4" borderId="0" xfId="6" applyFont="1" applyFill="1" applyBorder="1" applyAlignment="1">
      <x:alignment vertical="center" wrapText="1"/>
    </x:xf>
    <x:xf numFmtId="0" fontId="8" fillId="4" borderId="6" xfId="6" applyFont="1" applyFill="1" applyBorder="1" applyAlignment="1">
      <x:alignment vertical="center" wrapText="1"/>
    </x:xf>
    <x:xf numFmtId="0" fontId="4" fillId="2" borderId="8" xfId="6" applyFont="1" applyFill="1" applyBorder="1" applyAlignment="1">
      <x:alignment vertical="center" wrapText="1"/>
    </x:xf>
    <x:xf numFmtId="0" fontId="4" fillId="2" borderId="9" xfId="6" applyFont="1" applyFill="1" applyBorder="1" applyAlignment="1">
      <x:alignment vertical="center" wrapText="1"/>
    </x:xf>
    <x:xf numFmtId="0" fontId="10" fillId="2" borderId="0" xfId="6" applyFont="1" applyFill="1" applyBorder="1" applyAlignment="1">
      <x:alignment vertical="center" wrapText="1"/>
    </x:xf>
    <x:xf numFmtId="0" fontId="10" fillId="2" borderId="6" xfId="6" applyFont="1" applyFill="1" applyBorder="1" applyAlignment="1">
      <x:alignment vertical="center" wrapText="1"/>
    </x:xf>
    <x:xf numFmtId="0" fontId="9" fillId="4" borderId="0" xfId="6" applyFont="1" applyFill="1" applyBorder="1" applyAlignment="1">
      <x:alignment vertical="center" wrapText="1"/>
    </x:xf>
    <x:xf numFmtId="0" fontId="9" fillId="4" borderId="6" xfId="6" applyFont="1" applyFill="1" applyBorder="1" applyAlignment="1">
      <x:alignment vertical="center" wrapText="1"/>
    </x:xf>
    <x:xf numFmtId="0" fontId="6" fillId="2" borderId="4" xfId="6" applyFont="1" applyFill="1" applyBorder="1" applyAlignment="1">
      <x:alignment vertical="center" wrapText="1"/>
    </x:xf>
    <x:xf numFmtId="0" fontId="7" fillId="2" borderId="6" xfId="6" applyFont="1" applyFill="1" applyBorder="1" applyAlignment="1">
      <x:alignment vertical="center" wrapText="1"/>
    </x:xf>
    <x:xf numFmtId="0" fontId="4" fillId="2" borderId="5" xfId="6" applyFont="1" applyFill="1" applyBorder="1" applyAlignment="1">
      <x:alignment vertical="center" wrapText="1"/>
    </x:xf>
    <x:xf numFmtId="0" fontId="11" fillId="2" borderId="0" xfId="6" applyFont="1" applyFill="1" applyBorder="1" applyAlignment="1">
      <x:alignment vertical="center"/>
    </x:xf>
    <x:xf numFmtId="0" fontId="12" fillId="2" borderId="0" xfId="6" applyFont="1" applyFill="1" applyBorder="1" applyAlignment="1">
      <x:alignment vertical="center"/>
    </x:xf>
    <x:xf numFmtId="0" fontId="12" fillId="3" borderId="0" xfId="6" applyFont="1" applyFill="1" applyBorder="1" applyAlignment="1">
      <x:alignment vertical="center"/>
    </x:xf>
    <x:xf numFmtId="0" fontId="13" fillId="4" borderId="0" xfId="6" applyFont="1" applyFill="1" applyBorder="1" applyAlignment="1">
      <x:alignment vertical="center"/>
    </x:xf>
    <x:xf numFmtId="0" fontId="14" fillId="5" borderId="22" xfId="6" applyFont="1" applyFill="1" applyBorder="1" applyAlignment="1">
      <x:alignment horizontal="center" vertical="center"/>
    </x:xf>
    <x:xf numFmtId="0" fontId="15" fillId="2" borderId="22" xfId="6" applyFont="1" applyFill="1" applyBorder="1" applyAlignment="1">
      <x:alignment vertical="center"/>
    </x:xf>
    <x:xf numFmtId="0" fontId="23" fillId="10" borderId="22" xfId="6" applyFont="1" applyFill="1" applyBorder="1" applyAlignment="1">
      <x:alignment vertical="center"/>
    </x:xf>
    <x:xf numFmtId="0" fontId="4" fillId="2" borderId="22" xfId="6" applyFont="1" applyFill="1" applyBorder="1" applyAlignment="1">
      <x:alignment vertical="center"/>
    </x:xf>
    <x:xf numFmtId="0" fontId="15" fillId="2" borderId="22" xfId="6" applyFont="1" applyFill="1" applyBorder="1" applyAlignment="1">
      <x:alignment horizontal="left" vertical="center"/>
    </x:xf>
    <x:xf numFmtId="183" fontId="23" fillId="10" borderId="22" xfId="6" applyNumberFormat="1" applyFont="1" applyFill="1" applyBorder="1" applyAlignment="1">
      <x:alignment horizontal="right" vertical="center"/>
    </x:xf>
    <x:xf numFmtId="183" fontId="16" fillId="11" borderId="22" xfId="6" applyNumberFormat="1" applyFont="1" applyFill="1" applyBorder="1" applyAlignment="1">
      <x:alignment horizontal="right" vertical="center"/>
    </x:xf>
    <x:xf numFmtId="183" fontId="15" fillId="6" borderId="22" xfId="6" applyNumberFormat="1" applyFont="1" applyFill="1" applyBorder="1" applyAlignment="1">
      <x:alignment horizontal="right" vertical="center"/>
    </x:xf>
    <x:xf numFmtId="185" fontId="15" fillId="2" borderId="22" xfId="6" applyNumberFormat="1" applyFont="1" applyFill="1" applyBorder="1" applyAlignment="1">
      <x:alignment horizontal="right" vertical="center"/>
    </x:xf>
    <x:xf numFmtId="185" fontId="4" fillId="2" borderId="22" xfId="6" applyNumberFormat="1" applyFont="1" applyFill="1" applyBorder="1" applyAlignment="1">
      <x:alignment horizontal="right" vertical="center"/>
    </x:xf>
    <x:xf numFmtId="0" fontId="13" fillId="4" borderId="2" xfId="6" applyFont="1" applyFill="1" applyBorder="1" applyAlignment="1">
      <x:alignment vertical="center"/>
    </x:xf>
    <x:xf numFmtId="183" fontId="23" fillId="10" borderId="22" xfId="6" applyNumberFormat="1" applyFont="1" applyFill="1" applyBorder="1" applyAlignment="1">
      <x:alignment vertical="center"/>
    </x:xf>
    <x:xf numFmtId="183" fontId="16" fillId="11" borderId="22" xfId="6" applyNumberFormat="1" applyFont="1" applyFill="1" applyBorder="1" applyAlignment="1">
      <x:alignment vertical="center"/>
    </x:xf>
    <x:xf numFmtId="183" fontId="15" fillId="6" borderId="22" xfId="6" applyNumberFormat="1" applyFont="1" applyFill="1" applyBorder="1" applyAlignment="1">
      <x:alignment vertical="center"/>
    </x:xf>
    <x:xf numFmtId="185" fontId="15" fillId="6" borderId="22" xfId="6" applyNumberFormat="1" applyFont="1" applyFill="1" applyBorder="1" applyAlignment="1">
      <x:alignment vertical="center"/>
    </x:xf>
    <x:xf numFmtId="0" fontId="15" fillId="2" borderId="0" xfId="6" applyFont="1" applyFill="1" applyBorder="1" applyAlignment="1">
      <x:alignment vertical="center"/>
    </x:xf>
    <x:xf numFmtId="3" fontId="24" fillId="2" borderId="19" xfId="6" applyNumberFormat="1" applyFont="1" applyFill="1" applyBorder="1" applyAlignment="1">
      <x:alignment vertical="center"/>
    </x:xf>
    <x:xf numFmtId="3" fontId="15" fillId="6" borderId="22" xfId="6" applyNumberFormat="1" applyFont="1" applyFill="1" applyBorder="1" applyAlignment="1">
      <x:alignment vertical="center"/>
    </x:xf>
    <x:xf numFmtId="183" fontId="24" fillId="2" borderId="22" xfId="6" applyNumberFormat="1" applyFont="1" applyFill="1" applyBorder="1" applyAlignment="1">
      <x:alignment vertical="center"/>
    </x:xf>
    <x:xf numFmtId="183" fontId="4" fillId="2" borderId="22" xfId="6" applyNumberFormat="1" applyFont="1" applyFill="1" applyBorder="1" applyAlignment="1">
      <x:alignment vertical="center"/>
    </x:xf>
    <x:xf numFmtId="0" fontId="13" fillId="4" borderId="22" xfId="6" applyFont="1" applyFill="1" applyBorder="1" applyAlignment="1">
      <x:alignment vertical="center"/>
    </x:xf>
    <x:xf numFmtId="0" fontId="8" fillId="4" borderId="22" xfId="6" applyFont="1" applyFill="1" applyBorder="1" applyAlignment="1">
      <x:alignment vertical="center"/>
    </x:xf>
    <x:xf numFmtId="183" fontId="14" fillId="5" borderId="22" xfId="6" applyNumberFormat="1" applyFont="1" applyFill="1" applyBorder="1" applyAlignment="1">
      <x:alignment horizontal="center" vertical="center"/>
    </x:xf>
    <x:xf numFmtId="183" fontId="2" fillId="5" borderId="22" xfId="6" applyNumberFormat="1" applyFont="1" applyFill="1" applyBorder="1" applyAlignment="1">
      <x:alignment horizontal="center" vertical="center"/>
    </x:xf>
    <x:xf numFmtId="183" fontId="15" fillId="5" borderId="22" xfId="6" applyNumberFormat="1" applyFont="1" applyFill="1" applyBorder="1" applyAlignment="1">
      <x:alignment horizontal="center" vertical="center"/>
    </x:xf>
    <x:xf numFmtId="183" fontId="15" fillId="2" borderId="22" xfId="6" applyNumberFormat="1" applyFont="1" applyFill="1" applyBorder="1" applyAlignment="1">
      <x:alignment vertical="center"/>
    </x:xf>
    <x:xf numFmtId="0" fontId="11" fillId="2" borderId="3" xfId="6" applyFont="1" applyFill="1" applyBorder="1" applyAlignment="1">
      <x:alignment vertical="center"/>
    </x:xf>
    <x:xf numFmtId="0" fontId="13" fillId="4" borderId="5" xfId="6" applyFont="1" applyFill="1" applyBorder="1" applyAlignment="1">
      <x:alignment vertical="center"/>
    </x:xf>
    <x:xf numFmtId="0" fontId="18" fillId="5" borderId="11" xfId="6" applyFont="1" applyFill="1" applyBorder="1" applyAlignment="1">
      <x:alignment horizontal="center" vertical="center" wrapText="1"/>
    </x:xf>
    <x:xf numFmtId="0" fontId="18" fillId="5" borderId="12" xfId="6" applyFont="1" applyFill="1" applyBorder="1" applyAlignment="1">
      <x:alignment horizontal="center" vertical="center" wrapText="1"/>
    </x:xf>
    <x:xf numFmtId="0" fontId="15" fillId="2" borderId="0" xfId="6" applyFont="1" applyFill="1" applyBorder="1" applyAlignment="1">
      <x:alignment vertical="center" wrapText="1"/>
    </x:xf>
    <x:xf numFmtId="0" fontId="15" fillId="2" borderId="6" xfId="6" applyFont="1" applyFill="1" applyBorder="1" applyAlignment="1">
      <x:alignment vertical="center" wrapText="1"/>
    </x:xf>
    <x:xf numFmtId="0" fontId="15" fillId="7" borderId="1" xfId="6" applyFont="1" applyFill="1"/>
    <x:xf numFmtId="0" fontId="15" fillId="7" borderId="22" xfId="6" applyFont="1" applyFill="1" applyBorder="1" applyAlignment="1">
      <x:alignment vertical="top" wrapText="1"/>
    </x:xf>
    <x:xf numFmtId="0" fontId="15" fillId="7" borderId="1" xfId="6" applyFont="1" applyFill="1" applyAlignment="1">
      <x:alignment wrapText="1"/>
    </x:xf>
    <x:xf numFmtId="0" fontId="16" fillId="11" borderId="22" xfId="6" applyFont="1" applyFill="1" applyBorder="1" applyAlignment="1">
      <x:alignment vertical="center"/>
    </x:xf>
    <x:xf numFmtId="180" fontId="15" fillId="2" borderId="22" xfId="6" applyNumberFormat="1" applyFont="1" applyFill="1" applyBorder="1" applyAlignment="1">
      <x:alignment vertical="center"/>
    </x:xf>
    <x:xf numFmtId="0" fontId="17" fillId="2" borderId="22" xfId="6" applyFont="1" applyFill="1" applyBorder="1" applyAlignment="1">
      <x:alignment vertical="center"/>
    </x:xf>
    <x:xf numFmtId="0" fontId="24" fillId="2" borderId="22" xfId="6" applyFont="1" applyFill="1" applyBorder="1" applyAlignment="1">
      <x:alignment vertical="center"/>
    </x:xf>
    <x:xf numFmtId="0" fontId="17" fillId="2" borderId="22" xfId="6" applyFont="1" applyFill="1" applyBorder="1" applyAlignment="1">
      <x:alignment horizontal="center" vertical="center"/>
    </x:xf>
    <x:xf numFmtId="3" fontId="15" fillId="2" borderId="22" xfId="6" applyNumberFormat="1" applyFont="1" applyFill="1" applyBorder="1" applyAlignment="1">
      <x:alignment vertical="center"/>
    </x:xf>
    <x:xf numFmtId="184" fontId="15" fillId="2" borderId="22" xfId="6" applyNumberFormat="1" applyFont="1" applyFill="1" applyBorder="1" applyAlignment="1">
      <x:alignment vertical="center"/>
    </x:xf>
    <x:xf numFmtId="180" fontId="16" fillId="11" borderId="22" xfId="6" applyNumberFormat="1" applyFont="1" applyFill="1" applyBorder="1" applyAlignment="1">
      <x:alignment vertical="center"/>
    </x:xf>
    <x:xf numFmtId="180" fontId="4" fillId="2" borderId="22" xfId="6" applyNumberFormat="1" applyFont="1" applyFill="1" applyBorder="1" applyAlignment="1">
      <x:alignment vertical="center"/>
    </x:xf>
    <x:xf numFmtId="180" fontId="14" fillId="5" borderId="22" xfId="6" applyNumberFormat="1" applyFont="1" applyFill="1" applyBorder="1" applyAlignment="1">
      <x:alignment horizontal="center" vertical="center"/>
    </x:xf>
    <x:xf numFmtId="180" fontId="19" fillId="12" borderId="22" xfId="6" applyNumberFormat="1" applyFont="1" applyFill="1" applyBorder="1" applyAlignment="1">
      <x:alignment vertical="center"/>
    </x:xf>
    <x:xf numFmtId="0" fontId="24" fillId="5" borderId="22" xfId="6" applyFont="1" applyFill="1" applyBorder="1" applyAlignment="1">
      <x:alignment horizontal="center" vertical="center"/>
    </x:xf>
    <x:xf numFmtId="3" fontId="24" fillId="3" borderId="22" xfId="6" applyNumberFormat="1" applyFont="1" applyFill="1" applyBorder="1" applyAlignment="1">
      <x:alignment vertical="center"/>
    </x:xf>
    <x:xf numFmtId="3" fontId="17" fillId="10" borderId="22" xfId="6" applyNumberFormat="1" applyFont="1" applyFill="1" applyBorder="1" applyAlignment="1">
      <x:alignment vertical="center"/>
    </x:xf>
    <x:xf numFmtId="0" fontId="14" fillId="8" borderId="22" xfId="6" applyFont="1" applyFill="1" applyBorder="1" applyAlignment="1">
      <x:alignment horizontal="center"/>
    </x:xf>
    <x:xf numFmtId="0" fontId="15" fillId="7" borderId="22" xfId="6" applyFont="1" applyFill="1" applyBorder="1"/>
    <x:xf numFmtId="0" fontId="23" fillId="7" borderId="22" xfId="6" applyFont="1" applyFill="1" applyBorder="1"/>
    <x:xf numFmtId="3" fontId="23" fillId="7" borderId="22" xfId="6" applyNumberFormat="1" applyFont="1" applyFill="1" applyBorder="1"/>
    <x:xf numFmtId="0" fontId="0" fillId="0" borderId="22" xfId="6" applyFont="1" applyBorder="1"/>
    <x:xf numFmtId="4" fontId="23" fillId="0" borderId="22" xfId="6" applyNumberFormat="1" applyFont="1" applyBorder="1"/>
    <x:xf numFmtId="3" fontId="23" fillId="0" borderId="22" xfId="6" applyNumberFormat="1" applyFont="1" applyBorder="1"/>
    <x:xf numFmtId="187" fontId="23" fillId="0" borderId="22" xfId="6" applyNumberFormat="1" applyFont="1" applyBorder="1"/>
    <x:xf numFmtId="10" fontId="23" fillId="0" borderId="22" xfId="6" applyNumberFormat="1" applyFont="1" applyBorder="1"/>
    <x:xf numFmtId="0" fontId="11" fillId="2" borderId="2" xfId="6" applyFont="1" applyFill="1" applyBorder="1" applyAlignment="1">
      <x:alignment vertical="center"/>
    </x:xf>
    <x:xf numFmtId="0" fontId="12" fillId="2" borderId="5" xfId="6" applyFont="1" applyFill="1" applyBorder="1" applyAlignment="1">
      <x:alignment vertical="center"/>
    </x:xf>
    <x:xf numFmtId="0" fontId="23" fillId="5" borderId="22" xfId="6" applyFont="1" applyFill="1" applyBorder="1" applyAlignment="1">
      <x:alignment horizontal="center" vertical="center"/>
    </x:xf>
    <x:xf numFmtId="0" fontId="2" fillId="5" borderId="22" xfId="6" applyFont="1" applyFill="1" applyBorder="1" applyAlignment="1">
      <x:alignment horizontal="center" vertical="center"/>
    </x:xf>
    <x:xf numFmtId="0" fontId="23" fillId="2" borderId="22" xfId="6" applyFont="1" applyFill="1" applyBorder="1" applyAlignment="1">
      <x:alignment vertical="center"/>
    </x:xf>
    <x:xf numFmtId="0" fontId="15" fillId="2" borderId="5" xfId="6" applyFont="1" applyFill="1" applyBorder="1" applyAlignment="1">
      <x:alignment vertical="center"/>
    </x:xf>
    <x:xf numFmtId="185" fontId="24" fillId="2" borderId="22" xfId="6" applyNumberFormat="1" applyFont="1" applyFill="1" applyBorder="1" applyAlignment="1">
      <x:alignment vertical="center"/>
    </x:xf>
    <x:xf numFmtId="0" fontId="23" fillId="4" borderId="22" xfId="6" applyFont="1" applyFill="1" applyBorder="1" applyAlignment="1">
      <x:alignment vertical="center"/>
    </x:xf>
    <x:xf numFmtId="0" fontId="14" fillId="5" borderId="10" xfId="6" applyFont="1" applyFill="1" applyBorder="1" applyAlignment="1">
      <x:alignment horizontal="center" vertical="center"/>
    </x:xf>
    <x:xf numFmtId="0" fontId="15" fillId="4" borderId="22" xfId="6" applyFont="1" applyFill="1" applyBorder="1" applyAlignment="1">
      <x:alignment vertical="center"/>
    </x:xf>
    <x:xf numFmtId="0" fontId="24" fillId="4" borderId="22" xfId="6" applyFont="1" applyFill="1" applyBorder="1" applyAlignment="1">
      <x:alignment vertical="center"/>
    </x:xf>
    <x:xf numFmtId="0" fontId="15" fillId="5" borderId="22" xfId="6" applyFont="1" applyFill="1" applyBorder="1" applyAlignment="1">
      <x:alignment horizontal="center" vertical="center"/>
    </x:xf>
    <x:xf numFmtId="183" fontId="19" fillId="12" borderId="22" xfId="6" applyNumberFormat="1" applyFont="1" applyFill="1" applyBorder="1" applyAlignment="1">
      <x:alignment vertical="center"/>
    </x:xf>
    <x:xf numFmtId="185" fontId="15" fillId="2" borderId="22" xfId="6" applyNumberFormat="1" applyFont="1" applyFill="1" applyBorder="1" applyAlignment="1">
      <x:alignment vertical="center"/>
    </x:xf>
    <x:xf numFmtId="186" fontId="19" fillId="12" borderId="22" xfId="6" applyNumberFormat="1" applyFont="1" applyFill="1" applyBorder="1" applyAlignment="1">
      <x:alignment vertical="center"/>
    </x:xf>
    <x:xf numFmtId="183" fontId="23" fillId="2" borderId="22" xfId="6" applyNumberFormat="1" applyFont="1" applyFill="1" applyBorder="1" applyAlignment="1">
      <x:alignment vertical="center"/>
    </x:xf>
    <x:xf numFmtId="185" fontId="23" fillId="2" borderId="22" xfId="6" applyNumberFormat="1" applyFont="1" applyFill="1" applyBorder="1" applyAlignment="1">
      <x:alignment vertical="center"/>
    </x:xf>
    <x:xf numFmtId="183" fontId="24" fillId="10" borderId="22" xfId="6" applyNumberFormat="1" applyFont="1" applyFill="1" applyBorder="1" applyAlignment="1">
      <x:alignment vertical="center"/>
    </x:xf>
    <x:xf numFmtId="183" fontId="8" fillId="4" borderId="22" xfId="6" applyNumberFormat="1" applyFont="1" applyFill="1" applyBorder="1" applyAlignment="1">
      <x:alignment vertical="center"/>
    </x:xf>
    <x:xf numFmtId="183" fontId="13" fillId="4" borderId="22" xfId="6" applyNumberFormat="1" applyFont="1" applyFill="1" applyBorder="1" applyAlignment="1">
      <x:alignment vertical="center"/>
    </x:xf>
    <x:xf numFmtId="3" fontId="23" fillId="10" borderId="22" xfId="6" applyNumberFormat="1" applyFont="1" applyFill="1" applyBorder="1" applyAlignment="1">
      <x:alignment vertical="center"/>
    </x:xf>
    <x:xf numFmtId="180" fontId="23" fillId="10" borderId="22" xfId="6" applyNumberFormat="1" applyFont="1" applyFill="1" applyBorder="1" applyAlignment="1">
      <x:alignment vertical="center"/>
    </x:xf>
    <x:xf numFmtId="184" fontId="23" fillId="10" borderId="22" xfId="6" applyNumberFormat="1" applyFont="1" applyFill="1" applyBorder="1" applyAlignment="1">
      <x:alignment vertical="center"/>
    </x:xf>
    <x:xf numFmtId="184" fontId="13" fillId="4" borderId="22" xfId="6" applyNumberFormat="1" applyFont="1" applyFill="1" applyBorder="1" applyAlignment="1">
      <x:alignment vertical="center"/>
    </x:xf>
    <x:xf numFmtId="185" fontId="14" fillId="5" borderId="22" xfId="6" applyNumberFormat="1" applyFont="1" applyFill="1" applyBorder="1" applyAlignment="1">
      <x:alignment horizontal="center" vertical="center"/>
    </x:xf>
    <x:xf numFmtId="0" fontId="11" fillId="2" borderId="2" xfId="6" applyFont="1" applyFill="1" applyBorder="1" applyAlignment="1">
      <x:alignment vertical="center" wrapText="1"/>
    </x:xf>
    <x:xf numFmtId="0" fontId="13" fillId="4" borderId="5" xfId="6" applyFont="1" applyFill="1" applyBorder="1" applyAlignment="1">
      <x:alignment vertical="center" wrapText="1"/>
    </x:xf>
    <x:xf numFmtId="0" fontId="15" fillId="2" borderId="5" xfId="6" applyFont="1" applyFill="1" applyBorder="1" applyAlignment="1">
      <x:alignment vertical="center" wrapText="1"/>
    </x:xf>
    <x:xf numFmtId="0" fontId="14" fillId="5" borderId="10" xfId="6" applyFont="1" applyFill="1" applyBorder="1" applyAlignment="1">
      <x:alignment horizontal="center" vertical="center" wrapText="1"/>
    </x:xf>
    <x:xf numFmtId="0" fontId="14" fillId="5" borderId="11" xfId="6" applyFont="1" applyFill="1" applyBorder="1" applyAlignment="1">
      <x:alignment horizontal="center" vertical="center" wrapText="1"/>
    </x:xf>
    <x:xf numFmtId="0" fontId="14" fillId="5" borderId="12" xfId="6" applyFont="1" applyFill="1" applyBorder="1" applyAlignment="1">
      <x:alignment horizontal="center" vertical="center" wrapText="1"/>
    </x:xf>
    <x:xf numFmtId="0" fontId="15" fillId="2" borderId="7" xfId="6" applyFont="1" applyFill="1" applyBorder="1" applyAlignment="1">
      <x:alignment vertical="center" wrapText="1"/>
    </x:xf>
    <x:xf numFmtId="0" fontId="15" fillId="2" borderId="8" xfId="6" applyFont="1" applyFill="1" applyBorder="1" applyAlignment="1">
      <x:alignment vertical="center" wrapText="1"/>
    </x:xf>
    <x:xf numFmtId="0" fontId="18" fillId="2" borderId="22" xfId="6" applyFont="1" applyFill="1" applyBorder="1" applyAlignment="1">
      <x:alignment horizontal="left" vertical="center"/>
    </x:xf>
    <x:xf numFmtId="183" fontId="18" fillId="6" borderId="22" xfId="6" applyNumberFormat="1" applyFont="1" applyFill="1" applyBorder="1" applyAlignment="1">
      <x:alignment horizontal="right" vertical="center"/>
    </x:xf>
    <x:xf numFmtId="0" fontId="3" fillId="2" borderId="22" xfId="6" applyFont="1" applyFill="1" applyBorder="1" applyAlignment="1">
      <x:alignment vertical="center"/>
    </x:xf>
    <x:xf numFmtId="0" fontId="12" fillId="2" borderId="1" xfId="6" applyFont="1" applyFill="1" applyAlignment="1">
      <x:alignment vertical="center" wrapText="1"/>
    </x:xf>
    <x:xf numFmtId="0" fontId="0" fillId="0" borderId="1" xfId="6" applyFont="1"/>
    <x:xf numFmtId="0" fontId="22" fillId="13" borderId="1" xfId="6" applyFont="1" applyFill="1"/>
    <x:xf numFmtId="0" fontId="15" fillId="2" borderId="20" xfId="6" applyFont="1" applyFill="1" applyBorder="1" applyAlignment="1">
      <x:alignment vertical="center"/>
    </x:xf>
    <x:xf numFmtId="0" fontId="0" fillId="0" borderId="15" xfId="6" applyFont="1" applyBorder="1"/>
    <x:xf numFmtId="0" fontId="0" fillId="0" borderId="16" xfId="6" applyFont="1" applyBorder="1"/>
    <x:xf numFmtId="0" fontId="15" fillId="2" borderId="21" xfId="6" applyFont="1" applyFill="1" applyBorder="1" applyAlignment="1">
      <x:alignment vertical="center"/>
    </x:xf>
    <x:xf numFmtId="0" fontId="0" fillId="0" borderId="14" xfId="6" applyFont="1" applyBorder="1"/>
    <x:xf numFmtId="0" fontId="12" fillId="2" borderId="1" xfId="6" applyFont="1" applyFill="1" applyAlignment="1">
      <x:alignment wrapText="1"/>
    </x:xf>
    <x:xf numFmtId="0" fontId="15" fillId="7" borderId="1" xfId="6" applyFont="1" applyFill="1"/>
    <x:xf numFmtId="0" fontId="20" fillId="8" borderId="1" xfId="6" applyFont="1" applyFill="1" applyAlignment="1">
      <x:alignment vertical="center"/>
    </x:xf>
    <x:xf numFmtId="0" fontId="22" fillId="9" borderId="22" xfId="6" applyFont="1" applyFill="1" applyBorder="1"/>
    <x:xf numFmtId="0" fontId="0" fillId="0" borderId="23" xfId="6" applyFont="1" applyBorder="1"/>
    <x:xf numFmtId="0" fontId="0" fillId="0" borderId="24" xfId="6" applyFont="1" applyBorder="1"/>
    <x:xf numFmtId="0" fontId="21" fillId="7" borderId="1" xfId="6" applyFont="1" applyFill="1"/>
    <x:xf numFmtId="0" fontId="14" fillId="5" borderId="17" xfId="6" applyFont="1" applyFill="1" applyBorder="1" applyAlignment="1">
      <x:alignment horizontal="center" vertical="center"/>
    </x:xf>
    <x:xf numFmtId="0" fontId="0" fillId="0" borderId="18" xfId="6" applyFont="1" applyBorder="1"/>
    <x:xf numFmtId="0" fontId="15" fillId="2" borderId="13" xfId="6" applyFont="1" applyFill="1" applyBorder="1" applyAlignment="1">
      <x:alignment vertical="center"/>
    </x:xf>
    <x:xf numFmtId="0" fontId="12" fillId="2" borderId="13" xfId="6" applyFont="1" applyFill="1" applyBorder="1" applyAlignment="1">
      <x:alignment vertical="center"/>
    </x:xf>
    <x:xf numFmtId="0" fontId="12" fillId="2" borderId="1" xfId="6" applyFont="1" applyFill="1" applyAlignment="1">
      <x:alignment vertical="center"/>
    </x:xf>
    <x:xf numFmtId="0" fontId="15" fillId="2" borderId="14" xfId="6" applyFont="1" applyFill="1" applyBorder="1" applyAlignment="1">
      <x:alignment vertical="center" wrapText="1"/>
    </x:xf>
    <x:xf numFmtId="0" fontId="15" fillId="2" borderId="21" xfId="6" applyFont="1" applyFill="1" applyBorder="1" applyAlignment="1">
      <x:alignment vertical="center" wrapText="1"/>
    </x:xf>
    <x:xf numFmtId="183" fontId="16" fillId="10" borderId="22" xfId="6" applyNumberFormat="1" applyFont="1" applyFill="1" applyBorder="1" applyAlignment="1">
      <x:alignment horizontal="right" vertical="center"/>
    </x:xf>
    <x:xf numFmtId="0" fontId="0" fillId="14" borderId="0" xfId="0" applyNumberFormat="1" applyFont="1" applyFill="1" applyBorder="1"/>
    <x:xf numFmtId="0" fontId="27" fillId="14" borderId="0" xfId="0" applyNumberFormat="1" applyFont="1" applyFill="1" applyBorder="1"/>
    <x:xf numFmtId="0" fontId="0" fillId="15" borderId="0" xfId="0" applyNumberFormat="1" applyFont="1" applyFill="1" applyBorder="1"/>
    <x:xf numFmtId="0" fontId="28" fillId="15" borderId="0" xfId="0" applyNumberFormat="1" applyFont="1" applyFill="1" applyBorder="1"/>
    <x:xf numFmtId="0" fontId="29" fillId="15" borderId="0" xfId="0" applyNumberFormat="1" applyFont="1" applyFill="1" applyBorder="1"/>
    <x:xf numFmtId="0" fontId="29" fillId="15" borderId="25" xfId="0" applyNumberFormat="1" applyFont="1" applyFill="1" applyBorder="1"/>
    <x:xf numFmtId="0" fontId="29" fillId="15" borderId="25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27" fillId="16" borderId="0" xfId="0" applyNumberFormat="1" applyFont="1" applyFill="1" applyBorder="1"/>
    <x:xf numFmtId="0" fontId="27" fillId="16" borderId="26" xfId="0" applyNumberFormat="1" applyFont="1" applyFill="1" applyBorder="1"/>
    <x:xf numFmtId="0" fontId="27" fillId="16" borderId="26" xfId="0" applyNumberFormat="1" applyFont="1" applyFill="1" applyBorder="1" applyAlignment="1">
      <x:alignment wrapText="1"/>
    </x:xf>
    <x:xf numFmtId="0" fontId="27" fillId="16" borderId="26" xfId="0" applyNumberFormat="1" applyFont="1" applyFill="1" applyBorder="1" applyAlignment="1">
      <x:alignment horizontal="center" wrapText="1"/>
    </x:xf>
    <x:xf numFmtId="0" fontId="27" fillId="16" borderId="26" xfId="0" applyNumberFormat="1" applyFont="1" applyFill="1" applyBorder="1" applyAlignment="1">
      <x:alignment horizontal="center" vertical="center" wrapText="1"/>
    </x:xf>
    <x:xf numFmtId="0" fontId="30" fillId="0" borderId="0" xfId="0" applyNumberFormat="1" applyFont="1" applyFill="1" applyBorder="1"/>
    <x:xf numFmtId="0" fontId="30" fillId="0" borderId="25" xfId="0" applyNumberFormat="1" applyFont="1" applyFill="1" applyBorder="1"/>
    <x:xf numFmtId="0" fontId="30" fillId="0" borderId="27" xfId="0" applyNumberFormat="1" applyFont="1" applyFill="1" applyBorder="1"/>
    <x:xf numFmtId="0" fontId="30" fillId="0" borderId="25" xfId="0" applyNumberFormat="1" applyFont="1" applyFill="1" applyBorder="1" applyAlignment="1">
      <x:alignment vertical="center"/>
    </x:xf>
    <x:xf numFmtId="0" fontId="30" fillId="0" borderId="27" xfId="0" applyNumberFormat="1" applyFont="1" applyFill="1" applyBorder="1" applyAlignment="1">
      <x:alignment vertical="center"/>
    </x:xf>
    <x:xf numFmtId="200" fontId="30" fillId="0" borderId="27" xfId="0" applyNumberFormat="1" applyFont="1" applyFill="1" applyBorder="1" applyAlignment="1">
      <x:alignment vertical="center"/>
    </x:xf>
    <x:xf numFmtId="201" fontId="30" fillId="0" borderId="27" xfId="0" applyNumberFormat="1" applyFont="1" applyFill="1" applyBorder="1" applyAlignment="1">
      <x:alignment vertical="center"/>
    </x:xf>
    <x:xf numFmtId="202" fontId="30" fillId="0" borderId="25" xfId="0" applyNumberFormat="1" applyFont="1" applyFill="1" applyBorder="1" applyAlignment="1">
      <x:alignment vertical="center"/>
    </x:xf>
    <x:xf numFmtId="202" fontId="30" fillId="0" borderId="27" xfId="0" applyNumberFormat="1" applyFont="1" applyFill="1" applyBorder="1" applyAlignment="1">
      <x:alignment vertical="center"/>
    </x:xf>
    <x:xf numFmtId="203" fontId="30" fillId="0" borderId="27" xfId="0" applyNumberFormat="1" applyFont="1" applyFill="1" applyBorder="1" applyAlignment="1">
      <x:alignment vertical="center"/>
    </x:xf>
    <x:xf numFmtId="187" fontId="30" fillId="0" borderId="27" xfId="0" applyNumberFormat="1" applyFont="1" applyFill="1" applyBorder="1" applyAlignment="1">
      <x:alignment vertical="center"/>
    </x:xf>
    <x:xf numFmtId="200" fontId="30" fillId="0" borderId="25" xfId="0" applyNumberFormat="1" applyFont="1" applyFill="1" applyBorder="1" applyAlignment="1">
      <x:alignment vertical="center"/>
    </x:xf>
    <x:xf numFmtId="203" fontId="30" fillId="0" borderId="25" xfId="0" applyNumberFormat="1" applyFont="1" applyFill="1" applyBorder="1" applyAlignment="1">
      <x:alignment vertical="center"/>
    </x:xf>
    <x:xf numFmtId="187" fontId="30" fillId="0" borderId="25" xfId="0" applyNumberFormat="1" applyFont="1" applyFill="1" applyBorder="1" applyAlignment="1">
      <x:alignment vertical="center"/>
    </x:xf>
    <x:xf numFmtId="201" fontId="30" fillId="0" borderId="25" xfId="0" applyNumberFormat="1" applyFont="1" applyFill="1" applyBorder="1" applyAlignment="1">
      <x:alignment vertical="center"/>
    </x:xf>
    <x:xf numFmtId="0" fontId="24" fillId="2" borderId="19" xfId="0" applyNumberFormat="1" applyFont="1" applyFill="1" applyBorder="1" applyAlignment="1">
      <x:alignment vertical="center"/>
    </x:xf>
    <x:xf numFmtId="186" fontId="31" fillId="12" borderId="19" xfId="0" applyNumberFormat="1" applyFont="1" applyFill="1" applyBorder="1" applyAlignment="1">
      <x:alignment vertical="center"/>
    </x:xf>
    <x:xf numFmtId="0" fontId="24" fillId="2" borderId="5" xfId="0" applyNumberFormat="1" applyFont="1" applyFill="1" applyBorder="1" applyAlignment="1">
      <x:alignment vertical="center"/>
    </x:xf>
    <x:xf numFmtId="186" fontId="24" fillId="2" borderId="0" xfId="0" applyNumberFormat="1" applyFont="1" applyFill="1" applyBorder="1" applyAlignment="1">
      <x:alignment vertical="center"/>
    </x:xf>
    <x:xf numFmtId="186" fontId="24" fillId="2" borderId="6" xfId="0" applyNumberFormat="1" applyFont="1" applyFill="1" applyBorder="1" applyAlignment="1">
      <x:alignment vertical="center"/>
    </x:xf>
    <x:xf numFmtId="0" fontId="24" fillId="2" borderId="21" xfId="0" applyNumberFormat="1" applyFont="1" applyFill="1" applyBorder="1" applyAlignment="1">
      <x:alignment vertical="center"/>
    </x:xf>
    <x:xf numFmtId="0" fontId="32" fillId="0" borderId="0" xfId="0" applyNumberFormat="1" applyFont="1" applyFill="1" applyBorder="1"/>
    <x:xf numFmtId="0" fontId="32" fillId="0" borderId="6" xfId="0" applyNumberFormat="1" applyFont="1" applyFill="1" applyBorder="1"/>
    <x:xf numFmtId="0" fontId="24" fillId="2" borderId="20" xfId="0" applyNumberFormat="1" applyFont="1" applyFill="1" applyBorder="1" applyAlignment="1">
      <x:alignment vertical="center"/>
    </x:xf>
    <x:xf numFmtId="0" fontId="32" fillId="0" borderId="8" xfId="0" applyNumberFormat="1" applyFont="1" applyFill="1" applyBorder="1"/>
    <x:xf numFmtId="0" fontId="32" fillId="0" borderId="9" xfId="0" applyNumberFormat="1" applyFont="1" applyFill="1" applyBorder="1"/>
    <x:xf numFmtId="0" fontId="29" fillId="0" borderId="0" xfId="0" applyNumberFormat="1" applyFont="1" applyFill="1" applyBorder="1"/>
    <x:xf numFmtId="183" fontId="24" fillId="2" borderId="19" xfId="0" applyNumberFormat="1" applyFont="1" applyFill="1" applyBorder="1" applyAlignment="1">
      <x:alignment vertical="center"/>
    </x:xf>
    <x:xf numFmtId="183" fontId="24" fillId="6" borderId="19" xfId="0" applyNumberFormat="1" applyFont="1" applyFill="1" applyBorder="1" applyAlignment="1">
      <x:alignment vertical="center"/>
    </x:xf>
    <x:xf numFmtId="183" fontId="5" fillId="4" borderId="19" xfId="0" applyNumberFormat="1" applyFont="1" applyFill="1" applyBorder="1" applyAlignment="1">
      <x:alignment vertical="center"/>
    </x:xf>
    <x:xf numFmtId="3" fontId="24" fillId="2" borderId="19" xfId="0" applyNumberFormat="1" applyFont="1" applyFill="1" applyBorder="1" applyAlignment="1">
      <x:alignment vertical="center"/>
    </x:xf>
    <x:xf numFmtId="3" fontId="24" fillId="6" borderId="19" xfId="0" applyNumberFormat="1" applyFont="1" applyFill="1" applyBorder="1" applyAlignment="1">
      <x:alignment vertical="center"/>
    </x:xf>
    <x:xf numFmtId="180" fontId="24" fillId="2" borderId="19" xfId="0" applyNumberFormat="1" applyFont="1" applyFill="1" applyBorder="1" applyAlignment="1">
      <x:alignment vertical="center"/>
    </x:xf>
    <x:xf numFmtId="180" fontId="24" fillId="6" borderId="19" xfId="0" applyNumberFormat="1" applyFont="1" applyFill="1" applyBorder="1" applyAlignment="1">
      <x:alignment vertical="center"/>
    </x:xf>
    <x:xf numFmtId="184" fontId="24" fillId="2" borderId="19" xfId="0" applyNumberFormat="1" applyFont="1" applyFill="1" applyBorder="1" applyAlignment="1">
      <x:alignment vertical="center"/>
    </x:xf>
    <x:xf numFmtId="184" fontId="24" fillId="6" borderId="19" xfId="0" applyNumberFormat="1" applyFont="1" applyFill="1" applyBorder="1" applyAlignment="1">
      <x:alignment vertical="center"/>
    </x:xf>
    <x:xf numFmtId="184" fontId="5" fillId="4" borderId="19" xfId="0" applyNumberFormat="1" applyFont="1" applyFill="1" applyBorder="1" applyAlignment="1">
      <x:alignment vertical="center"/>
    </x:xf>
    <x:xf numFmtId="183" fontId="24" fillId="6" borderId="19" xfId="0" applyNumberFormat="1" applyFont="1" applyFill="1" applyBorder="1" applyAlignment="1">
      <x:alignment horizontal="right" vertical="center"/>
    </x:xf>
    <x:xf numFmtId="183" fontId="5" fillId="6" borderId="19" xfId="0" applyNumberFormat="1" applyFont="1" applyFill="1" applyBorder="1" applyAlignment="1">
      <x:alignment horizontal="right" vertical="center"/>
    </x:xf>
    <x:xf numFmtId="0" fontId="24" fillId="6" borderId="19" xfId="0" applyNumberFormat="1" applyFont="1" applyFill="1" applyBorder="1" applyAlignment="1">
      <x:alignment vertical="center"/>
    </x:xf>
    <x:xf numFmtId="0" fontId="5" fillId="2" borderId="19" xfId="0" applyNumberFormat="1" applyFont="1" applyFill="1" applyBorder="1" applyAlignment="1">
      <x:alignment vertical="center"/>
    </x:xf>
    <x:xf numFmtId="0" fontId="24" fillId="2" borderId="19" xfId="0" applyNumberFormat="1" applyFont="1" applyFill="1" applyBorder="1"/>
    <x:xf numFmtId="3" fontId="24" fillId="2" borderId="19" xfId="0" applyNumberFormat="1" applyFont="1" applyFill="1" applyBorder="1"/>
    <x:xf numFmtId="4" fontId="24" fillId="0" borderId="19" xfId="0" applyNumberFormat="1" applyFont="1" applyFill="1" applyBorder="1"/>
    <x:xf numFmtId="3" fontId="24" fillId="0" borderId="19" xfId="0" applyNumberFormat="1" applyFont="1" applyFill="1" applyBorder="1"/>
    <x:xf numFmtId="187" fontId="24" fillId="0" borderId="19" xfId="0" applyNumberFormat="1" applyFont="1" applyFill="1" applyBorder="1"/>
    <x:xf numFmtId="10" fontId="24" fillId="0" borderId="19" xfId="0" applyNumberFormat="1" applyFont="1" applyFill="1" applyBorder="1"/>
    <x:xf numFmtId="0" fontId="32" fillId="0" borderId="19" xfId="0" applyNumberFormat="1" applyFont="1" applyFill="1" applyBorder="1"/>
    <x:xf numFmtId="0" fontId="24" fillId="5" borderId="19" xfId="0" applyNumberFormat="1" applyFont="1" applyFill="1" applyBorder="1" applyAlignment="1">
      <x:alignment horizontal="center" vertical="center"/>
    </x:xf>
    <x:xf numFmtId="0" fontId="4" fillId="15" borderId="5" xfId="0" applyNumberFormat="1" applyFont="1" applyFill="1" applyBorder="1" applyAlignment="1">
      <x:alignment vertical="center"/>
    </x:xf>
    <x:xf numFmtId="0" fontId="4" fillId="15" borderId="0" xfId="0" applyNumberFormat="1" applyFont="1" applyFill="1" applyBorder="1" applyAlignment="1">
      <x:alignment vertical="center"/>
    </x:xf>
    <x:xf numFmtId="0" fontId="8" fillId="15" borderId="5" xfId="0" applyNumberFormat="1" applyFont="1" applyFill="1" applyBorder="1" applyAlignment="1">
      <x:alignment vertical="center"/>
    </x:xf>
    <x:xf numFmtId="0" fontId="8" fillId="15" borderId="0" xfId="0" applyNumberFormat="1" applyFont="1" applyFill="1" applyBorder="1" applyAlignment="1">
      <x:alignment vertical="center"/>
    </x:xf>
    <x:xf numFmtId="0" fontId="8" fillId="15" borderId="28" xfId="0" applyNumberFormat="1" applyFont="1" applyFill="1" applyBorder="1" applyAlignment="1">
      <x:alignment vertical="center"/>
    </x:xf>
    <x:xf numFmtId="0" fontId="8" fillId="15" borderId="25" xfId="0" applyNumberFormat="1" applyFont="1" applyFill="1" applyBorder="1" applyAlignment="1">
      <x:alignment vertical="center"/>
    </x:xf>
    <x:xf numFmtId="0" fontId="4" fillId="16" borderId="5" xfId="0" applyNumberFormat="1" applyFont="1" applyFill="1" applyBorder="1" applyAlignment="1">
      <x:alignment vertical="center"/>
    </x:xf>
    <x:xf numFmtId="0" fontId="4" fillId="16" borderId="0" xfId="0" applyNumberFormat="1" applyFont="1" applyFill="1" applyBorder="1" applyAlignment="1">
      <x:alignment vertical="center"/>
    </x:xf>
    <x:xf numFmtId="0" fontId="2" fillId="16" borderId="5" xfId="0" applyNumberFormat="1" applyFont="1" applyFill="1" applyBorder="1" applyAlignment="1">
      <x:alignment vertical="center"/>
    </x:xf>
    <x:xf numFmtId="0" fontId="2" fillId="16" borderId="0" xfId="0" applyNumberFormat="1" applyFont="1" applyFill="1" applyBorder="1" applyAlignment="1">
      <x:alignment vertical="center"/>
    </x:xf>
    <x:xf numFmtId="0" fontId="2" fillId="16" borderId="26" xfId="0" applyNumberFormat="1" applyFont="1" applyFill="1" applyBorder="1" applyAlignment="1">
      <x:alignment vertical="center"/>
    </x:xf>
    <x:xf numFmtId="0" fontId="2" fillId="16" borderId="26" xfId="0" applyNumberFormat="1" applyFont="1" applyFill="1" applyBorder="1" applyAlignment="1">
      <x:alignment vertical="center" wrapText="1"/>
    </x:xf>
    <x:xf numFmtId="0" fontId="2" fillId="16" borderId="26" xfId="0" applyNumberFormat="1" applyFont="1" applyFill="1" applyBorder="1" applyAlignment="1">
      <x:alignment horizontal="center" vertical="center" wrapText="1"/>
    </x:xf>
    <x:xf numFmtId="0" fontId="33" fillId="2" borderId="5" xfId="0" applyNumberFormat="1" applyFont="1" applyFill="1" applyBorder="1" applyAlignment="1">
      <x:alignment vertical="center"/>
    </x:xf>
    <x:xf numFmtId="0" fontId="33" fillId="2" borderId="0" xfId="0" applyNumberFormat="1" applyFont="1" applyFill="1" applyBorder="1" applyAlignment="1">
      <x:alignment vertical="center"/>
    </x:xf>
    <x:xf numFmtId="0" fontId="34" fillId="4" borderId="5" xfId="0" applyNumberFormat="1" applyFont="1" applyFill="1" applyBorder="1" applyAlignment="1">
      <x:alignment vertical="center"/>
    </x:xf>
    <x:xf numFmtId="0" fontId="34" fillId="4" borderId="0" xfId="0" applyNumberFormat="1" applyFont="1" applyFill="1" applyBorder="1" applyAlignment="1">
      <x:alignment vertical="center"/>
    </x:xf>
    <x:xf numFmtId="0" fontId="34" fillId="5" borderId="10" xfId="0" applyNumberFormat="1" applyFont="1" applyFill="1" applyBorder="1" applyAlignment="1">
      <x:alignment horizontal="center" vertical="center"/>
    </x:xf>
    <x:xf numFmtId="0" fontId="34" fillId="5" borderId="11" xfId="0" applyNumberFormat="1" applyFont="1" applyFill="1" applyBorder="1" applyAlignment="1">
      <x:alignment horizontal="center" vertical="center"/>
    </x:xf>
    <x:xf numFmtId="0" fontId="34" fillId="5" borderId="12" xfId="0" applyNumberFormat="1" applyFont="1" applyFill="1" applyBorder="1" applyAlignment="1">
      <x:alignment horizontal="center" vertical="center"/>
    </x:xf>
    <x:xf numFmtId="0" fontId="33" fillId="2" borderId="7" xfId="0" applyNumberFormat="1" applyFont="1" applyFill="1" applyBorder="1" applyAlignment="1">
      <x:alignment vertical="center"/>
    </x:xf>
    <x:xf numFmtId="0" fontId="33" fillId="2" borderId="8" xfId="0" applyNumberFormat="1" applyFont="1" applyFill="1" applyBorder="1" applyAlignment="1">
      <x:alignment vertical="center"/>
    </x:xf>
    <x:xf numFmtId="0" fontId="33" fillId="2" borderId="28" xfId="0" applyNumberFormat="1" applyFont="1" applyFill="1" applyBorder="1" applyAlignment="1">
      <x:alignment vertical="center"/>
    </x:xf>
    <x:xf numFmtId="0" fontId="33" fillId="2" borderId="25" xfId="0" applyNumberFormat="1" applyFont="1" applyFill="1" applyBorder="1" applyAlignment="1">
      <x:alignment vertical="center"/>
    </x:xf>
    <x:xf numFmtId="0" fontId="34" fillId="4" borderId="29" xfId="0" applyNumberFormat="1" applyFont="1" applyFill="1" applyBorder="1" applyAlignment="1">
      <x:alignment vertical="center"/>
    </x:xf>
    <x:xf numFmtId="0" fontId="34" fillId="4" borderId="27" xfId="0" applyNumberFormat="1" applyFont="1" applyFill="1" applyBorder="1" applyAlignment="1">
      <x:alignment vertical="center"/>
    </x:xf>
    <x:xf numFmtId="0" fontId="33" fillId="2" borderId="27" xfId="0" applyNumberFormat="1" applyFont="1" applyFill="1" applyBorder="1" applyAlignment="1">
      <x:alignment vertical="center"/>
    </x:xf>
    <x:xf numFmtId="0" fontId="34" fillId="5" borderId="29" xfId="0" applyNumberFormat="1" applyFont="1" applyFill="1" applyBorder="1" applyAlignment="1">
      <x:alignment horizontal="center" vertical="center"/>
    </x:xf>
    <x:xf numFmtId="0" fontId="34" fillId="5" borderId="27" xfId="0" applyNumberFormat="1" applyFont="1" applyFill="1" applyBorder="1" applyAlignment="1">
      <x:alignment horizontal="center" vertical="center"/>
    </x:xf>
    <x:xf numFmtId="0" fontId="34" fillId="5" borderId="30" xfId="0" applyNumberFormat="1" applyFont="1" applyFill="1" applyBorder="1" applyAlignment="1">
      <x:alignment horizontal="center" vertical="center"/>
    </x:xf>
    <x:xf numFmtId="0" fontId="33" fillId="2" borderId="29" xfId="0" applyNumberFormat="1" applyFont="1" applyFill="1" applyBorder="1" applyAlignment="1">
      <x:alignment vertical="center"/>
    </x:xf>
    <x:xf numFmtId="200" fontId="33" fillId="2" borderId="28" xfId="0" applyNumberFormat="1" applyFont="1" applyFill="1" applyBorder="1" applyAlignment="1">
      <x:alignment vertical="center"/>
    </x:xf>
    <x:xf numFmtId="200" fontId="34" fillId="4" borderId="29" xfId="0" applyNumberFormat="1" applyFont="1" applyFill="1" applyBorder="1" applyAlignment="1">
      <x:alignment vertical="center"/>
    </x:xf>
    <x:xf numFmtId="200" fontId="34" fillId="5" borderId="29" xfId="0" applyNumberFormat="1" applyFont="1" applyFill="1" applyBorder="1" applyAlignment="1">
      <x:alignment horizontal="center" vertical="center"/>
    </x:xf>
    <x:xf numFmtId="200" fontId="33" fillId="2" borderId="29" xfId="0" applyNumberFormat="1" applyFont="1" applyFill="1" applyBorder="1" applyAlignment="1">
      <x:alignment vertical="center"/>
    </x:xf>
    <x:xf numFmtId="202" fontId="33" fillId="2" borderId="25" xfId="0" applyNumberFormat="1" applyFont="1" applyFill="1" applyBorder="1" applyAlignment="1">
      <x:alignment vertical="center"/>
    </x:xf>
    <x:xf numFmtId="202" fontId="34" fillId="4" borderId="27" xfId="0" applyNumberFormat="1" applyFont="1" applyFill="1" applyBorder="1" applyAlignment="1">
      <x:alignment vertical="center"/>
    </x:xf>
    <x:xf numFmtId="202" fontId="33" fillId="2" borderId="27" xfId="0" applyNumberFormat="1" applyFont="1" applyFill="1" applyBorder="1" applyAlignment="1">
      <x:alignment vertical="center"/>
    </x:xf>
    <x:xf numFmtId="202" fontId="34" fillId="5" borderId="27" xfId="0" applyNumberFormat="1" applyFont="1" applyFill="1" applyBorder="1" applyAlignment="1">
      <x:alignment horizontal="center" vertical="center"/>
    </x:xf>
    <x:xf numFmtId="202" fontId="34" fillId="5" borderId="30" xfId="0" applyNumberFormat="1" applyFont="1" applyFill="1" applyBorder="1" applyAlignment="1">
      <x:alignment horizontal="center" vertical="center"/>
    </x:xf>
    <x:xf numFmtId="200" fontId="24" fillId="2" borderId="28" xfId="0" applyNumberFormat="1" applyFont="1" applyFill="1" applyBorder="1" applyAlignment="1">
      <x:alignment vertical="center"/>
    </x:xf>
    <x:xf numFmtId="0" fontId="24" fillId="2" borderId="25" xfId="0" applyNumberFormat="1" applyFont="1" applyFill="1" applyBorder="1" applyAlignment="1">
      <x:alignment vertical="center"/>
    </x:xf>
    <x:xf numFmtId="202" fontId="24" fillId="2" borderId="25" xfId="0" applyNumberFormat="1" applyFont="1" applyFill="1" applyBorder="1" applyAlignment="1">
      <x:alignment vertical="center"/>
    </x:xf>
    <x:xf numFmtId="200" fontId="5" fillId="4" borderId="29" xfId="0" applyNumberFormat="1" applyFont="1" applyFill="1" applyBorder="1" applyAlignment="1">
      <x:alignment vertical="center"/>
    </x:xf>
    <x:xf numFmtId="0" fontId="5" fillId="4" borderId="27" xfId="0" applyNumberFormat="1" applyFont="1" applyFill="1" applyBorder="1" applyAlignment="1">
      <x:alignment vertical="center"/>
    </x:xf>
    <x:xf numFmtId="202" fontId="5" fillId="4" borderId="27" xfId="0" applyNumberFormat="1" applyFont="1" applyFill="1" applyBorder="1" applyAlignment="1">
      <x:alignment vertical="center"/>
    </x:xf>
    <x:xf numFmtId="202" fontId="24" fillId="2" borderId="27" xfId="0" applyNumberFormat="1" applyFont="1" applyFill="1" applyBorder="1" applyAlignment="1">
      <x:alignment vertical="center"/>
    </x:xf>
    <x:xf numFmtId="200" fontId="5" fillId="5" borderId="29" xfId="0" applyNumberFormat="1" applyFont="1" applyFill="1" applyBorder="1" applyAlignment="1">
      <x:alignment horizontal="center" vertical="center"/>
    </x:xf>
    <x:xf numFmtId="0" fontId="5" fillId="5" borderId="27" xfId="0" applyNumberFormat="1" applyFont="1" applyFill="1" applyBorder="1" applyAlignment="1">
      <x:alignment horizontal="center" vertical="center"/>
    </x:xf>
    <x:xf numFmtId="202" fontId="5" fillId="5" borderId="27" xfId="0" applyNumberFormat="1" applyFont="1" applyFill="1" applyBorder="1" applyAlignment="1">
      <x:alignment horizontal="center" vertical="center"/>
    </x:xf>
    <x:xf numFmtId="202" fontId="5" fillId="5" borderId="30" xfId="0" applyNumberFormat="1" applyFont="1" applyFill="1" applyBorder="1" applyAlignment="1">
      <x:alignment horizontal="center" vertical="center"/>
    </x:xf>
    <x:xf numFmtId="200" fontId="24" fillId="2" borderId="29" xfId="0" applyNumberFormat="1" applyFont="1" applyFill="1" applyBorder="1" applyAlignment="1">
      <x:alignment vertical="center"/>
    </x:xf>
    <x:xf numFmtId="0" fontId="24" fillId="2" borderId="27" xfId="0" applyNumberFormat="1" applyFont="1" applyFill="1" applyBorder="1" applyAlignment="1">
      <x:alignment vertical="center"/>
    </x:xf>
    <x:xf numFmtId="0" fontId="7" fillId="15" borderId="0" xfId="0" applyNumberFormat="1" applyFont="1" applyFill="1" applyBorder="1" applyAlignment="1">
      <x:alignment vertical="center"/>
    </x:xf>
    <x:xf numFmtId="0" fontId="35" fillId="15" borderId="0" xfId="0" applyNumberFormat="1" applyFont="1" applyFill="1" applyBorder="1" applyAlignment="1">
      <x:alignment vertical="center"/>
    </x:xf>
    <x:xf numFmtId="200" fontId="33" fillId="2" borderId="25" xfId="0" applyNumberFormat="1" applyFont="1" applyFill="1" applyBorder="1" applyAlignment="1">
      <x:alignment vertical="center"/>
    </x:xf>
    <x:xf numFmtId="200" fontId="33" fillId="2" borderId="27" xfId="0" applyNumberFormat="1" applyFont="1" applyFill="1" applyBorder="1" applyAlignment="1">
      <x:alignment vertical="center"/>
    </x:xf>
    <x:xf numFmtId="201" fontId="33" fillId="2" borderId="25" xfId="0" applyNumberFormat="1" applyFont="1" applyFill="1" applyBorder="1" applyAlignment="1">
      <x:alignment vertical="center"/>
    </x:xf>
    <x:xf numFmtId="201" fontId="33" fillId="2" borderId="27" xfId="0" applyNumberFormat="1" applyFont="1" applyFill="1" applyBorder="1" applyAlignment="1">
      <x:alignment vertical="center"/>
    </x:xf>
    <x:xf numFmtId="200" fontId="24" fillId="2" borderId="25" xfId="0" applyNumberFormat="1" applyFont="1" applyFill="1" applyBorder="1" applyAlignment="1">
      <x:alignment vertical="center"/>
    </x:xf>
    <x:xf numFmtId="201" fontId="24" fillId="2" borderId="25" xfId="0" applyNumberFormat="1" applyFont="1" applyFill="1" applyBorder="1" applyAlignment="1">
      <x:alignment vertical="center"/>
    </x:xf>
    <x:xf numFmtId="200" fontId="24" fillId="2" borderId="27" xfId="0" applyNumberFormat="1" applyFont="1" applyFill="1" applyBorder="1" applyAlignment="1">
      <x:alignment vertical="center"/>
    </x:xf>
    <x:xf numFmtId="201" fontId="24" fillId="2" borderId="27" xfId="0" applyNumberFormat="1" applyFont="1" applyFill="1" applyBorder="1" applyAlignment="1">
      <x:alignment vertical="center"/>
    </x:xf>
    <x:xf numFmtId="0" fontId="4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25" xfId="0" applyNumberFormat="1" applyFont="1" applyFill="1" applyBorder="1"/>
    <x:xf numFmtId="0" fontId="4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26" xfId="0" applyNumberFormat="1" applyFont="1" applyFill="1" applyBorder="1"/>
    <x:xf numFmtId="0" fontId="2" fillId="16" borderId="26" xfId="0" applyNumberFormat="1" applyFont="1" applyFill="1" applyBorder="1" applyAlignment="1">
      <x:alignment wrapText="1"/>
    </x:xf>
    <x:xf numFmtId="0" fontId="2" fillId="16" borderId="26" xfId="0" applyNumberFormat="1" applyFont="1" applyFill="1" applyBorder="1" applyAlignment="1">
      <x:alignment horizontal="center" wrapText="1"/>
    </x:xf>
    <x:xf numFmtId="0" fontId="33" fillId="2" borderId="0" xfId="0" applyNumberFormat="1" applyFont="1" applyFill="1" applyBorder="1"/>
    <x:xf numFmtId="0" fontId="33" fillId="2" borderId="25" xfId="0" applyNumberFormat="1" applyFont="1" applyFill="1" applyBorder="1"/>
    <x:xf numFmtId="0" fontId="33" fillId="2" borderId="27" xfId="0" applyNumberFormat="1" applyFont="1" applyFill="1" applyBorder="1"/>
    <x:xf numFmtId="0" fontId="4" fillId="17" borderId="0" xfId="0" applyNumberFormat="1" applyFont="1" applyFill="1" applyBorder="1"/>
    <x:xf numFmtId="0" fontId="34" fillId="17" borderId="0" xfId="0" applyNumberFormat="1" applyFont="1" applyFill="1" applyBorder="1"/>
    <x:xf numFmtId="0" fontId="34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36" fillId="18" borderId="0" xfId="0" applyNumberFormat="1" applyFont="1" applyFill="1" applyBorder="1"/>
    <x:xf numFmtId="0" fontId="36" fillId="18" borderId="0" xfId="0" applyNumberFormat="1" applyFont="1" applyFill="1" applyBorder="1" applyAlignment="1">
      <x:alignment horizontal="center"/>
    </x:xf>
    <x:xf numFmtId="204" fontId="30" fillId="0" borderId="25" xfId="0" applyNumberFormat="1" applyFont="1" applyFill="1" applyBorder="1" applyAlignment="1">
      <x:alignment vertical="center"/>
    </x:xf>
    <x:xf numFmtId="204" fontId="30" fillId="0" borderId="27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36" fillId="17" borderId="0" xfId="0" applyNumberFormat="1" applyFont="1" applyFill="1" applyBorder="1"/>
    <x:xf numFmtId="0" fontId="27" fillId="14" borderId="0" xfId="0" applyNumberFormat="1" applyFont="1" applyFill="1" applyBorder="1" applyAlignment="1">
      <x:alignment wrapText="1"/>
    </x:xf>
    <x:xf numFmtId="0" fontId="28" fillId="15" borderId="0" xfId="0" applyNumberFormat="1" applyFont="1" applyFill="1" applyBorder="1" applyAlignment="1">
      <x:alignment wrapText="1"/>
    </x:xf>
    <x:xf numFmtId="0" fontId="36" fillId="18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0" fillId="0" borderId="25" xfId="0" applyNumberFormat="1" applyFont="1" applyFill="1" applyBorder="1" applyAlignment="1">
      <x:alignment vertical="center" wrapText="1"/>
    </x:xf>
    <x:xf numFmtId="204" fontId="30" fillId="0" borderId="25" xfId="0" applyNumberFormat="1" applyFont="1" applyFill="1" applyBorder="1" applyAlignment="1">
      <x:alignment vertical="center" wrapText="1"/>
    </x:xf>
    <x:xf numFmtId="0" fontId="30" fillId="0" borderId="27" xfId="0" applyNumberFormat="1" applyFont="1" applyFill="1" applyBorder="1" applyAlignment="1">
      <x:alignment vertical="center" wrapText="1"/>
    </x:xf>
    <x:xf numFmtId="204" fontId="30" fillId="0" borderId="27" xfId="0" applyNumberFormat="1" applyFont="1" applyFill="1" applyBorder="1" applyAlignment="1">
      <x:alignment vertical="center" wrapText="1"/>
    </x:xf>
    <x:xf numFmtId="0" fontId="36" fillId="17" borderId="0" xfId="0" applyNumberFormat="1" applyFont="1" applyFill="1" applyBorder="1" applyAlignment="1">
      <x:alignment wrapText="1"/>
    </x:xf>
  </x:cellXfs>
  <x:cellStyles count="7">
    <x:cellStyle name="Comma" xfId="1"/>
    <x:cellStyle name="Comma [0]" xfId="2"/>
    <x:cellStyle name="Currency" xfId="3"/>
    <x:cellStyle name="Currency [0]" xfId="4"/>
    <x:cellStyle name="Normal" xfId="6"/>
    <x:cellStyle name="Percent" xfId="5"/>
    <x:cellStyle name="표준" xfId="0"/>
  </x:cellStyles>
  <x:dxfs count="3"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7A5A00"/>
      </x:font>
      <x:fill>
        <x:patternFill patternType="solid">
          <x:bgColor rgb="FFFFF4CC"/>
        </x:patternFill>
      </x:fill>
    </x:dxf>
    <x:dxf>
      <x:font>
        <x:b/>
        <x:color rgb="FFB00020"/>
      </x:font>
      <x:fill>
        <x:patternFill patternType="solid">
          <x:bgColor rgb="FFFDE7E7"/>
        </x:patternFill>
      </x:fill>
    </x:dxf>
  </x:dxfs>
  <x:colors>
    <x:indexedColors>
      <x:rgbColor rgb="FF000000"/>
      <x:rgbColor rgb="FFFFFFFF"/>
      <x:rgbColor rgb="FFAF6A31"/>
      <x:rgbColor rgb="FF91AF53"/>
      <x:rgbColor rgb="FF0000FF"/>
      <x:rgbColor rgb="FFFFFF00"/>
      <x:rgbColor rgb="FFC27140"/>
      <x:rgbColor rgb="FFACC682"/>
      <x:rgbColor rgb="FFB34A48"/>
      <x:rgbColor rgb="FF008000"/>
      <x:rgbColor rgb="FF7D9647"/>
      <x:rgbColor rgb="FF6E843F"/>
      <x:rgbColor rgb="FF7030A0"/>
      <x:rgbColor rgb="FF1F6E6A"/>
      <x:rgbColor rgb="FFBFBFBF"/>
      <x:rgbColor rgb="FF808081"/>
      <x:rgbColor rgb="FF839EC9"/>
      <x:rgbColor rgb="FF9A403E"/>
      <x:rgbColor rgb="FFFFF2CC"/>
      <x:rgbColor rgb="FFD9EFEC"/>
      <x:rgbColor rgb="FF7B609C"/>
      <x:rgbColor rgb="FFF3944D"/>
      <x:rgbColor rgb="FF416DA0"/>
      <x:rgbColor rgb="FFC2D5E1"/>
      <x:rgbColor rgb="FFDC853E"/>
      <x:rgbColor rgb="FFC77938"/>
      <x:rgbColor rgb="FFCEDCBC"/>
      <x:rgbColor rgb="FF8AA64F"/>
      <x:rgbColor rgb="FFAB4744"/>
      <x:rgbColor rgb="FFB94D4A"/>
      <x:rgbColor rgb="FF725990"/>
      <x:rgbColor rgb="FFD9D9D9"/>
      <x:rgbColor rgb="FF7AB9D0"/>
      <x:rgbColor rgb="FFEAEFF5"/>
      <x:rgbColor rgb="FFF2F2F2"/>
      <x:rgbColor rgb="FFF9F9F9"/>
      <x:rgbColor rgb="FFB0C6DA"/>
      <x:rgbColor rgb="FFF8AC7F"/>
      <x:rgbColor rgb="FFCB8483"/>
      <x:rgbColor rgb="FFF3C6B9"/>
      <x:rgbColor rgb="FF4B7AB4"/>
      <x:rgbColor rgb="FF45A0B8"/>
      <x:rgbColor rgb="FF95B455"/>
      <x:rgbColor rgb="FFFFC000"/>
      <x:rgbColor rgb="FFE78C41"/>
      <x:rgbColor rgb="FFC55A11"/>
      <x:rgbColor rgb="FF775D97"/>
      <x:rgbColor rgb="FF9E8DB4"/>
      <x:rgbColor rgb="FF878787"/>
      <x:rgbColor rgb="FF388498"/>
      <x:rgbColor rgb="FF7A9346"/>
      <x:rgbColor rgb="FF675082"/>
      <x:rgbColor rgb="FF883836"/>
      <x:rgbColor rgb="FF973F3C"/>
      <x:rgbColor rgb="FF604B79"/>
      <x:rgbColor rgb="FF595959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23da8f3bca4234" /><Relationship Type="http://schemas.openxmlformats.org/officeDocument/2006/relationships/theme" Target="/xl/theme/theme1.xml" Id="Rfe639f5a4ad74570" /><Relationship Type="http://schemas.openxmlformats.org/officeDocument/2006/relationships/sharedStrings" Target="/xl/sharedStrings.xml" Id="Rd44609b609aa41b2" /><Relationship Type="http://schemas.openxmlformats.org/officeDocument/2006/relationships/worksheet" Target="/xl/worksheets/sheet1.xml" Id="R671c566a56be48cb" /><Relationship Type="http://schemas.openxmlformats.org/officeDocument/2006/relationships/worksheet" Target="/xl/worksheets/sheet2.xml" Id="R9bd6c159ccfb4c9d" /><Relationship Type="http://schemas.openxmlformats.org/officeDocument/2006/relationships/worksheet" Target="/xl/worksheets/sheet3.xml" Id="R835a79a0257540f7" /><Relationship Type="http://schemas.openxmlformats.org/officeDocument/2006/relationships/worksheet" Target="/xl/worksheets/sheet4.xml" Id="Rc6218bdcc516484a" /><Relationship Type="http://schemas.openxmlformats.org/officeDocument/2006/relationships/worksheet" Target="/xl/worksheets/sheet5.xml" Id="Re1855fe2fa1d4ab6" /><Relationship Type="http://schemas.openxmlformats.org/officeDocument/2006/relationships/worksheet" Target="/xl/worksheets/sheet6.xml" Id="R54dfc1d2b117423e" /><Relationship Type="http://schemas.openxmlformats.org/officeDocument/2006/relationships/worksheet" Target="/xl/worksheets/sheet7.xml" Id="R438be4b188af4082" /><Relationship Type="http://schemas.openxmlformats.org/officeDocument/2006/relationships/worksheet" Target="/xl/worksheets/sheet8.xml" Id="R6cfd01a3e48d4a30" /><Relationship Type="http://schemas.openxmlformats.org/officeDocument/2006/relationships/worksheet" Target="/xl/worksheets/sheet9.xml" Id="R2afef693f3b34fad" /><Relationship Type="http://schemas.openxmlformats.org/officeDocument/2006/relationships/worksheet" Target="/xl/worksheets/sheet10.xml" Id="R66a39fe4417942a1" /><Relationship Type="http://schemas.openxmlformats.org/officeDocument/2006/relationships/worksheet" Target="/xl/worksheets/sheet11.xml" Id="R31d279c5b767425c" /><Relationship Type="http://schemas.openxmlformats.org/officeDocument/2006/relationships/worksheet" Target="/xl/worksheets/sheet12.xml" Id="R8aae8716ea564e6d" /><Relationship Type="http://schemas.openxmlformats.org/officeDocument/2006/relationships/worksheet" Target="/xl/worksheets/sheet13.xml" Id="Reaad50c893d342d9" /><Relationship Type="http://schemas.openxmlformats.org/officeDocument/2006/relationships/worksheet" Target="/xl/worksheets/sheet14.xml" Id="R08b486650c6a4d37" /><Relationship Type="http://schemas.openxmlformats.org/officeDocument/2006/relationships/worksheet" Target="/xl/worksheets/sheet15.xml" Id="R842a30b2abcb4a81" /><Relationship Type="http://schemas.openxmlformats.org/officeDocument/2006/relationships/worksheet" Target="/xl/worksheets/sheet16.xml" Id="Rd15fc9351c334b0d" /><Relationship Type="http://schemas.openxmlformats.org/officeDocument/2006/relationships/worksheet" Target="/xl/worksheets/sheet17.xml" Id="R47babd6fb62e44d9" /><Relationship Type="http://schemas.openxmlformats.org/officeDocument/2006/relationships/worksheet" Target="/xl/worksheets/sheet18.xml" Id="Rbe73e926ea664b01" /><Relationship Type="http://schemas.openxmlformats.org/officeDocument/2006/relationships/worksheet" Target="/xl/worksheets/sheet19.xml" Id="R7340c60b85534f8d" /><Relationship Type="http://schemas.openxmlformats.org/officeDocument/2006/relationships/worksheet" Target="/xl/worksheets/sheet20.xml" Id="Re3b2f30e2b034486" /><Relationship Type="http://schemas.openxmlformats.org/officeDocument/2006/relationships/worksheet" Target="/xl/worksheets/sheet21.xml" Id="R7f7c97da2eec4987" /><Relationship Type="http://schemas.openxmlformats.org/officeDocument/2006/relationships/worksheet" Target="/xl/worksheets/sheet22.xml" Id="R3c29b483dce84554" /><Relationship Type="http://schemas.openxmlformats.org/officeDocument/2006/relationships/worksheet" Target="/xl/worksheets/sheet23.xml" Id="Re5ead9f64f01450a" /><Relationship Type="http://schemas.openxmlformats.org/officeDocument/2006/relationships/worksheet" Target="/xl/worksheets/sheet24.xml" Id="R262adf4614354204" /><Relationship Type="http://schemas.openxmlformats.org/officeDocument/2006/relationships/worksheet" Target="/xl/worksheets/sheet25.xml" Id="Rb72f6b7db98e49c6" /><Relationship Type="http://schemas.openxmlformats.org/officeDocument/2006/relationships/worksheet" Target="/xl/worksheets/sheet26.xml" Id="R1d2ad705e5f440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b2f37dd5624f7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f578b5d3c9a4d0e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>
                <a:solidFill>
                  <a:srgbClr val="000000"/>
                </a:solidFill>
                <a:latin typeface="맑은 고딕"/>
                <a:ea typeface="맑은 고딕"/>
                <a:cs typeface="맑은 고딕"/>
              </a:rPr>
              <a:t>도표 4 — 대덕전자 분기별 매출·OPM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>
              <a:solidFill>
                <a:srgbClr val="000000"/>
              </a:solidFill>
              <a:latin typeface="맑은 고딕"/>
              <a:ea typeface="맑은 고딕"/>
              <a:cs typeface="맑은 고딕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매출액(좌)</c:v>
          </c:tx>
          <c:spPr>
            <a:solidFill xmlns:a="http://schemas.openxmlformats.org/drawingml/2006/main">
              <a:srgbClr val="BFBFBF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'08_도표4_분기실적추이'!$B$5</c:f>
              <c:numCache>
                <c:formatCode>#,##0.0;[Red]\(#,##0.0\);\-</c:formatCode>
                <c:ptCount val="1"/>
                <c:pt idx="0">
                  <c:v>235</c:v>
                </c:pt>
              </c:numCache>
            </c:numRef>
          </c:val>
        </c:ser>
        <c:ser>
          <c:idx val="1"/>
          <c:order val="1"/>
          <c:spPr>
            <a:solidFill xmlns:a="http://schemas.openxmlformats.org/drawingml/2006/main">
              <a:srgbClr val="883836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'08_도표4_분기실적추이'!$C$5</c:f>
              <c:numCache>
                <c:formatCode>#,##0.0;[Red]\(#,##0.0\);\-</c:formatCode>
                <c:ptCount val="1"/>
                <c:pt idx="0">
                  <c:v>230</c:v>
                </c:pt>
              </c:numCache>
            </c:numRef>
          </c:val>
        </c:ser>
        <c:ser>
          <c:idx val="2"/>
          <c:order val="2"/>
          <c:spPr>
            <a:solidFill xmlns:a="http://schemas.openxmlformats.org/drawingml/2006/main">
              <a:srgbClr val="6E843F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'08_도표4_분기실적추이'!$D$5</c:f>
              <c:numCache>
                <c:formatCode>#,##0.0;[Red]\(#,##0.0\);\-</c:formatCode>
                <c:ptCount val="1"/>
                <c:pt idx="0">
                  <c:v>256</c:v>
                </c:pt>
              </c:numCache>
            </c:numRef>
          </c:val>
        </c:ser>
        <c:ser>
          <c:idx val="3"/>
          <c:order val="3"/>
          <c:spPr>
            <a:solidFill xmlns:a="http://schemas.openxmlformats.org/drawingml/2006/main">
              <a:srgbClr val="5A4773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'08_도표4_분기실적추이'!$E$5</c:f>
              <c:numCache>
                <c:formatCode>#,##0.0;[Red]\(#,##0.0\);\-</c:formatCode>
                <c:ptCount val="1"/>
                <c:pt idx="0">
                  <c:v>283</c:v>
                </c:pt>
              </c:numCache>
            </c:numRef>
          </c:val>
        </c:ser>
        <c:ser>
          <c:idx val="4"/>
          <c:order val="4"/>
          <c:spPr>
            <a:solidFill xmlns:a="http://schemas.openxmlformats.org/drawingml/2006/main">
              <a:srgbClr val="357A8C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'08_도표4_분기실적추이'!$F$5</c:f>
              <c:numCache>
                <c:formatCode>#,##0.0;[Red]\(#,##0.0\);\-</c:formatCode>
                <c:ptCount val="1"/>
                <c:pt idx="0">
                  <c:v>296</c:v>
                </c:pt>
              </c:numCache>
            </c:numRef>
          </c:val>
        </c:ser>
        <c:ser>
          <c:idx val="5"/>
          <c:order val="5"/>
          <c:spPr>
            <a:solidFill xmlns:a="http://schemas.openxmlformats.org/drawingml/2006/main">
              <a:srgbClr val="AF6A31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'08_도표4_분기실적추이'!$G$5</c:f>
              <c:numCache>
                <c:formatCode>#,##0.0;[Red]\(#,##0.0\);\-</c:formatCode>
                <c:ptCount val="1"/>
                <c:pt idx="0">
                  <c:v>343</c:v>
                </c:pt>
              </c:numCache>
            </c:numRef>
          </c:val>
        </c:ser>
        <c:ser>
          <c:idx val="6"/>
          <c:order val="6"/>
          <c:spPr>
            <a:solidFill xmlns:a="http://schemas.openxmlformats.org/drawingml/2006/main">
              <a:srgbClr val="3F6898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'08_도표4_분기실적추이'!$H$5</c:f>
              <c:numCache>
                <c:formatCode>#,##0.0;[Red]\(#,##0.0\);\-</c:formatCode>
                <c:ptCount val="1"/>
                <c:pt idx="0">
                  <c:v>373</c:v>
                </c:pt>
              </c:numCache>
            </c:numRef>
          </c:val>
        </c:ser>
        <c:ser>
          <c:idx val="7"/>
          <c:order val="7"/>
          <c:spPr>
            <a:solidFill xmlns:a="http://schemas.openxmlformats.org/drawingml/2006/main">
              <a:srgbClr val="9A403E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'08_도표4_분기실적추이'!$I$5</c:f>
              <c:numCache>
                <c:formatCode>#,##0.0;[Red]\(#,##0.0\);\-</c:formatCode>
                <c:ptCount val="1"/>
                <c:pt idx="0">
                  <c:v>296</c:v>
                </c:pt>
              </c:numCache>
            </c:numRef>
          </c:val>
        </c:ser>
        <c:ser>
          <c:idx val="8"/>
          <c:order val="8"/>
          <c:spPr>
            <a:solidFill xmlns:a="http://schemas.openxmlformats.org/drawingml/2006/main">
              <a:srgbClr val="7D9647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'08_도표4_분기실적추이'!$J$5</c:f>
              <c:numCache>
                <c:formatCode>#,##0.0;[Red]\(#,##0.0\);\-</c:formatCode>
                <c:ptCount val="1"/>
                <c:pt idx="0">
                  <c:v>218</c:v>
                </c:pt>
              </c:numCache>
            </c:numRef>
          </c:val>
        </c:ser>
        <c:ser>
          <c:idx val="9"/>
          <c:order val="9"/>
          <c:spPr>
            <a:solidFill xmlns:a="http://schemas.openxmlformats.org/drawingml/2006/main">
              <a:srgbClr val="675082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'08_도표4_분기실적추이'!$K$5</c:f>
              <c:numCache>
                <c:formatCode>#,##0.0;[Red]\(#,##0.0\);\-</c:formatCode>
                <c:ptCount val="1"/>
                <c:pt idx="0">
                  <c:v>220</c:v>
                </c:pt>
              </c:numCache>
            </c:numRef>
          </c:val>
        </c:ser>
        <c:ser>
          <c:idx val="10"/>
          <c:order val="10"/>
          <c:spPr>
            <a:solidFill xmlns:a="http://schemas.openxmlformats.org/drawingml/2006/main">
              <a:srgbClr val="3C8A9F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'08_도표4_분기실적추이'!$L$5</c:f>
              <c:numCache>
                <c:formatCode>#,##0.0;[Red]\(#,##0.0\);\-</c:formatCode>
                <c:ptCount val="1"/>
                <c:pt idx="0">
                  <c:v>238</c:v>
                </c:pt>
              </c:numCache>
            </c:numRef>
          </c:val>
        </c:ser>
        <c:ser>
          <c:idx val="11"/>
          <c:order val="11"/>
          <c:spPr>
            <a:solidFill xmlns:a="http://schemas.openxmlformats.org/drawingml/2006/main">
              <a:srgbClr val="C77938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'08_도표4_분기실적추이'!$M$5</c:f>
              <c:numCache>
                <c:formatCode>#,##0.0;[Red]\(#,##0.0\);\-</c:formatCode>
                <c:ptCount val="1"/>
                <c:pt idx="0">
                  <c:v>235</c:v>
                </c:pt>
              </c:numCache>
            </c:numRef>
          </c:val>
        </c:ser>
        <c:ser>
          <c:idx val="12"/>
          <c:order val="12"/>
          <c:spPr>
            <a:solidFill xmlns:a="http://schemas.openxmlformats.org/drawingml/2006/main">
              <a:srgbClr val="4672A8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'08_도표4_분기실적추이'!$N$5</c:f>
              <c:numCache>
                <c:formatCode>#,##0.0;[Red]\(#,##0.0\);\-</c:formatCode>
                <c:ptCount val="1"/>
                <c:pt idx="0">
                  <c:v>214.8</c:v>
                </c:pt>
              </c:numCache>
            </c:numRef>
          </c:val>
        </c:ser>
        <c:ser>
          <c:idx val="13"/>
          <c:order val="13"/>
          <c:spPr>
            <a:solidFill xmlns:a="http://schemas.openxmlformats.org/drawingml/2006/main">
              <a:srgbClr val="AB4744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'08_도표4_분기실적추이'!$O$5</c:f>
              <c:numCache>
                <c:formatCode>#,##0.0;[Red]\(#,##0.0\);\-</c:formatCode>
                <c:ptCount val="1"/>
                <c:pt idx="0">
                  <c:v>238.3</c:v>
                </c:pt>
              </c:numCache>
            </c:numRef>
          </c:val>
        </c:ser>
        <c:ser>
          <c:idx val="14"/>
          <c:order val="14"/>
          <c:spPr>
            <a:solidFill xmlns:a="http://schemas.openxmlformats.org/drawingml/2006/main">
              <a:srgbClr val="8AA64F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'08_도표4_분기실적추이'!$P$5</c:f>
              <c:numCache>
                <c:formatCode>#,##0.0;[Red]\(#,##0.0\);\-</c:formatCode>
                <c:ptCount val="1"/>
                <c:pt idx="0">
                  <c:v>232.7</c:v>
                </c:pt>
              </c:numCache>
            </c:numRef>
          </c:val>
        </c:ser>
        <c:ser>
          <c:idx val="15"/>
          <c:order val="15"/>
          <c:spPr>
            <a:solidFill xmlns:a="http://schemas.openxmlformats.org/drawingml/2006/main">
              <a:srgbClr val="725990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'08_도표4_분기실적추이'!$Q$5</c:f>
              <c:numCache>
                <c:formatCode>#,##0.0;[Red]\(#,##0.0\);\-</c:formatCode>
                <c:ptCount val="1"/>
                <c:pt idx="0">
                  <c:v>206.4</c:v>
                </c:pt>
              </c:numCache>
            </c:numRef>
          </c:val>
        </c:ser>
        <c:ser>
          <c:idx val="16"/>
          <c:order val="16"/>
          <c:spPr>
            <a:solidFill xmlns:a="http://schemas.openxmlformats.org/drawingml/2006/main">
              <a:srgbClr val="4299B0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'08_도표4_분기실적추이'!$R$5</c:f>
              <c:numCache>
                <c:formatCode>#,##0.0;[Red]\(#,##0.0\);\-</c:formatCode>
                <c:ptCount val="1"/>
                <c:pt idx="0">
                  <c:v>215.4</c:v>
                </c:pt>
              </c:numCache>
            </c:numRef>
          </c:val>
        </c:ser>
        <c:ser>
          <c:idx val="17"/>
          <c:order val="17"/>
          <c:spPr>
            <a:solidFill xmlns:a="http://schemas.openxmlformats.org/drawingml/2006/main">
              <a:srgbClr val="DC853E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'08_도표4_분기실적추이'!$S$5</c:f>
              <c:numCache>
                <c:formatCode>#,##0.0;[Red]\(#,##0.0\);\-</c:formatCode>
                <c:ptCount val="1"/>
                <c:pt idx="0">
                  <c:v>245.9</c:v>
                </c:pt>
              </c:numCache>
            </c:numRef>
          </c:val>
        </c:ser>
        <c:ser>
          <c:idx val="18"/>
          <c:order val="18"/>
          <c:spPr>
            <a:solidFill xmlns:a="http://schemas.openxmlformats.org/drawingml/2006/main">
              <a:srgbClr val="4C7CB6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'08_도표4_분기실적추이'!$T$5</c:f>
              <c:numCache>
                <c:formatCode>#,##0.0;[Red]\(#,##0.0\);\-</c:formatCode>
                <c:ptCount val="1"/>
                <c:pt idx="0">
                  <c:v>286.2</c:v>
                </c:pt>
              </c:numCache>
            </c:numRef>
          </c:val>
        </c:ser>
        <c:ser>
          <c:idx val="19"/>
          <c:order val="19"/>
          <c:spPr>
            <a:solidFill xmlns:a="http://schemas.openxmlformats.org/drawingml/2006/main">
              <a:srgbClr val="B94D4A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'08_도표4_분기실적추이'!$U$5</c:f>
              <c:numCache>
                <c:formatCode>#,##0.0;[Red]\(#,##0.0\);\-</c:formatCode>
                <c:ptCount val="1"/>
                <c:pt idx="0">
                  <c:v>317.9</c:v>
                </c:pt>
              </c:numCache>
            </c:numRef>
          </c:val>
        </c:ser>
        <c:ser>
          <c:idx val="20"/>
          <c:order val="20"/>
          <c:spPr>
            <a:solidFill xmlns:a="http://schemas.openxmlformats.org/drawingml/2006/main">
              <a:srgbClr val="95B455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'08_도표4_분기실적추이'!$V$5</c:f>
              <c:numCache>
                <c:formatCode>#,##0.0;[Red]\(#,##0.0\);\-</c:formatCode>
                <c:ptCount val="1"/>
                <c:pt idx="0">
                  <c:v>330</c:v>
                </c:pt>
              </c:numCache>
            </c:numRef>
          </c:val>
        </c:ser>
        <c:ser>
          <c:idx val="21"/>
          <c:order val="21"/>
          <c:spPr>
            <a:solidFill xmlns:a="http://schemas.openxmlformats.org/drawingml/2006/main">
              <a:srgbClr val="7B609C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'08_도표4_분기실적추이'!$W$5</c:f>
              <c:numCache>
                <c:formatCode>#,##0.0;[Red]\(#,##0.0\);\-</c:formatCode>
                <c:ptCount val="1"/>
                <c:pt idx="0">
                  <c:v>354</c:v>
                </c:pt>
              </c:numCache>
            </c:numRef>
          </c:val>
        </c:ser>
        <c:ser>
          <c:idx val="22"/>
          <c:order val="22"/>
          <c:spPr>
            <a:solidFill xmlns:a="http://schemas.openxmlformats.org/drawingml/2006/main">
              <a:srgbClr val="48A6BF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'08_도표4_분기실적추이'!$X$5</c:f>
              <c:numCache>
                <c:formatCode>#,##0.0;[Red]\(#,##0.0\);\-</c:formatCode>
                <c:ptCount val="1"/>
                <c:pt idx="0">
                  <c:v>397.7</c:v>
                </c:pt>
              </c:numCache>
            </c:numRef>
          </c:val>
        </c:ser>
        <c:ser>
          <c:idx val="23"/>
          <c:order val="23"/>
          <c:spPr>
            <a:solidFill xmlns:a="http://schemas.openxmlformats.org/drawingml/2006/main">
              <a:srgbClr val="EE9043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'08_도표4_분기실적추이'!$B$4:$Y$4</c:f>
              <c:strCache>
                <c:ptCount val="2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  <c:pt idx="19">
                  <c:v>4Q25</c:v>
                </c:pt>
                <c:pt idx="20">
                  <c:v>1Q26</c:v>
                </c:pt>
                <c:pt idx="21">
                  <c:v>2Q26</c:v>
                </c:pt>
                <c:pt idx="22">
                  <c:v>3Q26</c:v>
                </c:pt>
                <c:pt idx="23">
                  <c:v>4Q26</c:v>
                </c:pt>
              </c:strCache>
            </c:strRef>
          </c:cat>
          <c:val>
            <c:numRef>
              <c:f>'08_도표4_분기실적추이'!$Y$5</c:f>
              <c:numCache>
                <c:formatCode>#,##0.0;[Red]\(#,##0.0\);\-</c:formatCode>
                <c:ptCount val="1"/>
                <c:pt idx="0">
                  <c:v>403.9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맑은 고딕"/>
                <a:ea typeface="맑은 고딕"/>
                <a:cs typeface="맑은 고딕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맑은 고딕"/>
                    <a:ea typeface="맑은 고딕"/>
                    <a:cs typeface="맑은 고딕"/>
                  </a:rPr>
                  <a:t>매출액 (십억원)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맑은 고딕"/>
                  <a:ea typeface="맑은 고딕"/>
                  <a:cs typeface="맑은 고딕"/>
                </a:defRPr>
              </a:pPr>
            </a:p>
          </c:txPr>
        </c:title>
        <c:numFmt formatCode="#,##0.0;[Red]\(#,##0.0\);\-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맑은 고딕"/>
                <a:ea typeface="맑은 고딕"/>
                <a:cs typeface="맑은 고딕"/>
              </a:defRPr>
            </a:pPr>
          </a:p>
        </c:txPr>
        <c:crossAx val="48650112"/>
        <c:crosses val="autoZero"/>
        <c:crossBetween val="between"/>
      </c:valAx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맑은 고딕"/>
              <a:ea typeface="맑은 고딕"/>
              <a:cs typeface="맑은 고딕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>
                <a:solidFill>
                  <a:srgbClr val="000000"/>
                </a:solidFill>
                <a:latin typeface="맑은 고딕"/>
                <a:ea typeface="맑은 고딕"/>
                <a:cs typeface="맑은 고딕"/>
              </a:rPr>
              <a:t>도표 5 — 대덕전자 분기별 수주잔고 (억원)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>
              <a:solidFill>
                <a:srgbClr val="000000"/>
              </a:solidFill>
              <a:latin typeface="맑은 고딕"/>
              <a:ea typeface="맑은 고딕"/>
              <a:cs typeface="맑은 고딕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 xmlns:a="http://schemas.openxmlformats.org/drawingml/2006/main">
              <a:srgbClr val="1F6E6A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'09_도표5_수주잔고추이'!$B$5</c:f>
              <c:numCache>
                <c:formatCode>#,##0;[Red]\(#,##0\);\-</c:formatCode>
                <c:ptCount val="1"/>
                <c:pt idx="0">
                  <c:v>640</c:v>
                </c:pt>
              </c:numCache>
            </c:numRef>
          </c:val>
        </c:ser>
        <c:ser>
          <c:idx val="1"/>
          <c:order val="1"/>
          <c:spPr>
            <a:solidFill xmlns:a="http://schemas.openxmlformats.org/drawingml/2006/main">
              <a:srgbClr val="973F3C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'09_도표5_수주잔고추이'!$C$5</c:f>
              <c:numCache>
                <c:formatCode>#,##0;[Red]\(#,##0\);\-</c:formatCode>
                <c:ptCount val="1"/>
                <c:pt idx="0">
                  <c:v>1300</c:v>
                </c:pt>
              </c:numCache>
            </c:numRef>
          </c:val>
        </c:ser>
        <c:ser>
          <c:idx val="2"/>
          <c:order val="2"/>
          <c:spPr>
            <a:solidFill xmlns:a="http://schemas.openxmlformats.org/drawingml/2006/main">
              <a:srgbClr val="7A9346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'09_도표5_수주잔고추이'!$D$5</c:f>
              <c:numCache>
                <c:formatCode>#,##0;[Red]\(#,##0\);\-</c:formatCode>
                <c:ptCount val="1"/>
                <c:pt idx="0">
                  <c:v>2070</c:v>
                </c:pt>
              </c:numCache>
            </c:numRef>
          </c:val>
        </c:ser>
        <c:ser>
          <c:idx val="3"/>
          <c:order val="3"/>
          <c:spPr>
            <a:solidFill xmlns:a="http://schemas.openxmlformats.org/drawingml/2006/main">
              <a:srgbClr val="654E7F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'09_도표5_수주잔고추이'!$E$5</c:f>
              <c:numCache>
                <c:formatCode>#,##0;[Red]\(#,##0\);\-</c:formatCode>
                <c:ptCount val="1"/>
                <c:pt idx="0">
                  <c:v>1310</c:v>
                </c:pt>
              </c:numCache>
            </c:numRef>
          </c:val>
        </c:ser>
        <c:ser>
          <c:idx val="4"/>
          <c:order val="4"/>
          <c:spPr>
            <a:solidFill xmlns:a="http://schemas.openxmlformats.org/drawingml/2006/main">
              <a:srgbClr val="3B879C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'09_도표5_수주잔고추이'!$F$5</c:f>
              <c:numCache>
                <c:formatCode>#,##0;[Red]\(#,##0\);\-</c:formatCode>
                <c:ptCount val="1"/>
                <c:pt idx="0">
                  <c:v>780</c:v>
                </c:pt>
              </c:numCache>
            </c:numRef>
          </c:val>
        </c:ser>
        <c:ser>
          <c:idx val="5"/>
          <c:order val="5"/>
          <c:spPr>
            <a:solidFill xmlns:a="http://schemas.openxmlformats.org/drawingml/2006/main">
              <a:srgbClr val="C27637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'09_도표5_수주잔고추이'!$G$5</c:f>
              <c:numCache>
                <c:formatCode>#,##0;[Red]\(#,##0\);\-</c:formatCode>
                <c:ptCount val="1"/>
                <c:pt idx="0">
                  <c:v>1100</c:v>
                </c:pt>
              </c:numCache>
            </c:numRef>
          </c:val>
        </c:ser>
        <c:ser>
          <c:idx val="6"/>
          <c:order val="6"/>
          <c:spPr>
            <a:solidFill xmlns:a="http://schemas.openxmlformats.org/drawingml/2006/main">
              <a:srgbClr val="4978B1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'09_도표5_수주잔고추이'!$H$5</c:f>
              <c:numCache>
                <c:formatCode>#,##0;[Red]\(#,##0\);\-</c:formatCode>
                <c:ptCount val="1"/>
                <c:pt idx="0">
                  <c:v>610</c:v>
                </c:pt>
              </c:numCache>
            </c:numRef>
          </c:val>
        </c:ser>
        <c:ser>
          <c:idx val="7"/>
          <c:order val="7"/>
          <c:spPr>
            <a:solidFill xmlns:a="http://schemas.openxmlformats.org/drawingml/2006/main">
              <a:srgbClr val="B34A48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'09_도표5_수주잔고추이'!$I$5</c:f>
              <c:numCache>
                <c:formatCode>#,##0;[Red]\(#,##0\);\-</c:formatCode>
                <c:ptCount val="1"/>
                <c:pt idx="0">
                  <c:v>330</c:v>
                </c:pt>
              </c:numCache>
            </c:numRef>
          </c:val>
        </c:ser>
        <c:ser>
          <c:idx val="8"/>
          <c:order val="8"/>
          <c:spPr>
            <a:solidFill xmlns:a="http://schemas.openxmlformats.org/drawingml/2006/main">
              <a:srgbClr val="91AF53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'09_도표5_수주잔고추이'!$J$5</c:f>
              <c:numCache>
                <c:formatCode>#,##0;[Red]\(#,##0\);\-</c:formatCode>
                <c:ptCount val="1"/>
                <c:pt idx="0">
                  <c:v>800</c:v>
                </c:pt>
              </c:numCache>
            </c:numRef>
          </c:val>
        </c:ser>
        <c:ser>
          <c:idx val="9"/>
          <c:order val="9"/>
          <c:spPr>
            <a:solidFill xmlns:a="http://schemas.openxmlformats.org/drawingml/2006/main">
              <a:srgbClr val="775D97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'09_도표5_수주잔고추이'!$K$5</c:f>
              <c:numCache>
                <c:formatCode>#,##0;[Red]\(#,##0\);\-</c:formatCode>
                <c:ptCount val="1"/>
                <c:pt idx="0">
                  <c:v>380</c:v>
                </c:pt>
              </c:numCache>
            </c:numRef>
          </c:val>
        </c:ser>
        <c:ser>
          <c:idx val="10"/>
          <c:order val="10"/>
          <c:spPr>
            <a:solidFill xmlns:a="http://schemas.openxmlformats.org/drawingml/2006/main">
              <a:srgbClr val="46A1B9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'09_도표5_수주잔고추이'!$L$5</c:f>
              <c:numCache>
                <c:formatCode>#,##0;[Red]\(#,##0\);\-</c:formatCode>
                <c:ptCount val="1"/>
                <c:pt idx="0">
                  <c:v>1010</c:v>
                </c:pt>
              </c:numCache>
            </c:numRef>
          </c:val>
        </c:ser>
        <c:ser>
          <c:idx val="11"/>
          <c:order val="11"/>
          <c:spPr>
            <a:solidFill xmlns:a="http://schemas.openxmlformats.org/drawingml/2006/main">
              <a:srgbClr val="E78C41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'09_도표5_수주잔고추이'!$M$5</c:f>
              <c:numCache>
                <c:formatCode>#,##0;[Red]\(#,##0\);\-</c:formatCode>
                <c:ptCount val="1"/>
                <c:pt idx="0">
                  <c:v>340</c:v>
                </c:pt>
              </c:numCache>
            </c:numRef>
          </c:val>
        </c:ser>
        <c:ser>
          <c:idx val="12"/>
          <c:order val="12"/>
          <c:spPr>
            <a:solidFill xmlns:a="http://schemas.openxmlformats.org/drawingml/2006/main">
              <a:srgbClr val="7E9BC7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'09_도표5_수주잔고추이'!$N$5</c:f>
              <c:numCache>
                <c:formatCode>#,##0;[Red]\(#,##0\);\-</c:formatCode>
                <c:ptCount val="1"/>
                <c:pt idx="0">
                  <c:v>730</c:v>
                </c:pt>
              </c:numCache>
            </c:numRef>
          </c:val>
        </c:ser>
        <c:ser>
          <c:idx val="13"/>
          <c:order val="13"/>
          <c:spPr>
            <a:solidFill xmlns:a="http://schemas.openxmlformats.org/drawingml/2006/main">
              <a:srgbClr val="CA7E7D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'09_도표5_수주잔고추이'!$O$5</c:f>
              <c:numCache>
                <c:formatCode>#,##0;[Red]\(#,##0\);\-</c:formatCode>
                <c:ptCount val="1"/>
                <c:pt idx="0">
                  <c:v>690</c:v>
                </c:pt>
              </c:numCache>
            </c:numRef>
          </c:val>
        </c:ser>
        <c:ser>
          <c:idx val="14"/>
          <c:order val="14"/>
          <c:spPr>
            <a:solidFill xmlns:a="http://schemas.openxmlformats.org/drawingml/2006/main">
              <a:srgbClr val="ADC683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'09_도표5_수주잔고추이'!$P$5</c:f>
              <c:numCache>
                <c:formatCode>#,##0;[Red]\(#,##0\);\-</c:formatCode>
                <c:ptCount val="1"/>
                <c:pt idx="0">
                  <c:v>780</c:v>
                </c:pt>
              </c:numCache>
            </c:numRef>
          </c:val>
        </c:ser>
        <c:ser>
          <c:idx val="15"/>
          <c:order val="15"/>
          <c:spPr>
            <a:solidFill xmlns:a="http://schemas.openxmlformats.org/drawingml/2006/main">
              <a:srgbClr val="9A89B2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'09_도표5_수주잔고추이'!$Q$5</c:f>
              <c:numCache>
                <c:formatCode>#,##0;[Red]\(#,##0\);\-</c:formatCode>
                <c:ptCount val="1"/>
                <c:pt idx="0">
                  <c:v>360</c:v>
                </c:pt>
              </c:numCache>
            </c:numRef>
          </c:val>
        </c:ser>
        <c:ser>
          <c:idx val="16"/>
          <c:order val="16"/>
          <c:spPr>
            <a:solidFill xmlns:a="http://schemas.openxmlformats.org/drawingml/2006/main">
              <a:srgbClr val="7CBACF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'09_도표5_수주잔고추이'!$R$5</c:f>
              <c:numCache>
                <c:formatCode>#,##0;[Red]\(#,##0\);\-</c:formatCode>
                <c:ptCount val="1"/>
                <c:pt idx="0">
                  <c:v>800</c:v>
                </c:pt>
              </c:numCache>
            </c:numRef>
          </c:val>
        </c:ser>
        <c:ser>
          <c:idx val="17"/>
          <c:order val="17"/>
          <c:spPr>
            <a:solidFill xmlns:a="http://schemas.openxmlformats.org/drawingml/2006/main">
              <a:srgbClr val="F8AA7A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'09_도표5_수주잔고추이'!$S$5</c:f>
              <c:numCache>
                <c:formatCode>#,##0;[Red]\(#,##0\);\-</c:formatCode>
                <c:ptCount val="1"/>
                <c:pt idx="0">
                  <c:v>1290</c:v>
                </c:pt>
              </c:numCache>
            </c:numRef>
          </c:val>
        </c:ser>
        <c:ser>
          <c:idx val="18"/>
          <c:order val="18"/>
          <c:spPr>
            <a:solidFill xmlns:a="http://schemas.openxmlformats.org/drawingml/2006/main">
              <a:srgbClr val="B5C3DB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cat>
            <c:strRef>
              <c:f>'09_도표5_수주잔고추이'!$B$4:$T$4</c:f>
              <c:strCache>
                <c:ptCount val="19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  <c:pt idx="18">
                  <c:v>3Q25</c:v>
                </c:pt>
              </c:strCache>
            </c:strRef>
          </c:cat>
          <c:val>
            <c:numRef>
              <c:f>'09_도표5_수주잔고추이'!$T$5</c:f>
              <c:numCache>
                <c:formatCode>#,##0;[Red]\(#,##0\);\-</c:formatCode>
                <c:ptCount val="1"/>
                <c:pt idx="0">
                  <c:v>3080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맑은 고딕"/>
                <a:ea typeface="맑은 고딕"/>
                <a:cs typeface="맑은 고딕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  <a:prstDash val="solid"/>
            </a:ln>
          </c:spPr>
        </c:majorGridlines>
        <c:numFmt formatCode="#,##0;[Red]\(#,##0\);\-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맑은 고딕"/>
                <a:ea typeface="맑은 고딕"/>
                <a:cs typeface="맑은 고딕"/>
              </a:defRPr>
            </a:pPr>
          </a:p>
        </c:txPr>
        <c:crossAx val="48650112"/>
        <c:crosses val="autoZero"/>
        <c:crossBetween val="between"/>
      </c:valAx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맑은 고딕"/>
              <a:ea typeface="맑은 고딕"/>
              <a:cs typeface="맑은 고딕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106920</xdr:rowOff>
    </xdr:from>
    <xdr:to>
      <xdr:col>14</xdr:col>
      <xdr:colOff>407880</xdr:colOff>
      <xdr:row>30</xdr:row>
      <xdr:rowOff>65880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b2f37dd5624f7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106920</xdr:rowOff>
    </xdr:from>
    <xdr:to>
      <xdr:col>12</xdr:col>
      <xdr:colOff>236880</xdr:colOff>
      <xdr:row>29</xdr:row>
      <xdr:rowOff>65880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578b5d3c9a4d0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77a484138ea04ae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2.xml" Id="Rd982ae617ac04783" /></Relationships>
</file>

<file path=xl/worksheets/sheet1.xml><?xml version="1.0" encoding="utf-8"?>
<x:worksheet xmlns:x="http://schemas.openxmlformats.org/spreadsheetml/2006/main">
  <x:sheetPr>
    <x:tabColor rgb="FF808080"/>
  </x:sheetPr>
  <x:sheetViews>
    <x:sheetView showGridLines="0" workbookViewId="0"/>
  </x:sheetViews>
  <x:sheetFormatPr defaultColWidth="8.69921875" defaultRowHeight="17.399999618530273"/>
  <x:cols>
    <x:col min="1" max="1" width="5" customWidth="1"/>
    <x:col min="2" max="2" width="28" customWidth="1"/>
    <x:col min="3" max="3" width="24" customWidth="1"/>
    <x:col min="4" max="4" width="75" customWidth="1"/>
    <x:col min="5" max="26" width="10" customWidth="1"/>
  </x:cols>
  <x:sheetData>
    <x:row r="1" ht="19.950000762939453" customHeight="1">
      <x:c r="A1" s="24"/>
      <x:c r="B1" s="79" t="s">
        <x:v>0</x:v>
      </x:c>
      <x:c r="C1" s="25"/>
      <x:c r="D1" s="26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6"/>
    </x:row>
    <x:row r="2" ht="19.950000762939453" customHeight="1">
      <x:c r="A2" s="27"/>
      <x:c r="B2" s="50" t="s">
        <x:v>1</x:v>
      </x:c>
      <x:c r="C2" s="3"/>
      <x:c r="D2" s="28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28"/>
    </x:row>
    <x:row r="3" ht="19.950000762939453" customHeight="1">
      <x:c r="A3" s="12"/>
      <x:c r="B3" s="1"/>
      <x:c r="C3" s="1"/>
      <x:c r="D3" s="13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3"/>
    </x:row>
    <x:row r="4" ht="19.950000762939453" customHeight="1">
      <x:c r="A4" s="80" t="s">
        <x:v>2</x:v>
      </x:c>
      <x:c r="B4" s="5"/>
      <x:c r="C4" s="5"/>
      <x:c r="D4" s="2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3"/>
    </x:row>
    <x:row r="5" ht="37.95000076293945" customHeight="1">
      <x:c r="A5" s="6"/>
      <x:c r="B5" s="81" t="s">
        <x:v>3</x:v>
      </x:c>
      <x:c r="C5" s="81" t="s">
        <x:v>4</x:v>
      </x:c>
      <x:c r="D5" s="82" t="s">
        <x:v>5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3"/>
    </x:row>
    <x:row r="6" ht="37.95000076293945" customHeight="1">
      <x:c r="A6" s="12"/>
      <x:c r="B6" s="83" t="s">
        <x:v>6</x:v>
      </x:c>
      <x:c r="C6" s="83" t="s">
        <x:v>7</x:v>
      </x:c>
      <x:c r="D6" s="84" t="s">
        <x:v>8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3"/>
    </x:row>
    <x:row r="7" ht="37.95000076293945" customHeight="1">
      <x:c r="A7" s="12"/>
      <x:c r="B7" s="83" t="s">
        <x:v>9</x:v>
      </x:c>
      <x:c r="C7" s="83" t="s">
        <x:v>10</x:v>
      </x:c>
      <x:c r="D7" s="84" t="s">
        <x:v>11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3"/>
    </x:row>
    <x:row r="8" ht="37.95000076293945" customHeight="1">
      <x:c r="A8" s="12"/>
      <x:c r="B8" s="83" t="s">
        <x:v>12</x:v>
      </x:c>
      <x:c r="C8" s="83" t="s">
        <x:v>13</x:v>
      </x:c>
      <x:c r="D8" s="84" t="s">
        <x:v>14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3"/>
    </x:row>
    <x:row r="9" ht="37.95000076293945" customHeight="1">
      <x:c r="A9" s="12"/>
      <x:c r="B9" s="83" t="s">
        <x:v>15</x:v>
      </x:c>
      <x:c r="C9" s="83" t="s">
        <x:v>16</x:v>
      </x:c>
      <x:c r="D9" s="84" t="s">
        <x:v>17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3"/>
    </x:row>
    <x:row r="10" ht="37.95000076293945" customHeight="1">
      <x:c r="A10" s="12"/>
      <x:c r="B10" s="83" t="s">
        <x:v>18</x:v>
      </x:c>
      <x:c r="C10" s="83" t="s">
        <x:v>19</x:v>
      </x:c>
      <x:c r="D10" s="84" t="s">
        <x:v>20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3"/>
    </x:row>
    <x:row r="11" ht="37.95000076293945" customHeight="1">
      <x:c r="A11" s="12"/>
      <x:c r="B11" s="83" t="s">
        <x:v>21</x:v>
      </x:c>
      <x:c r="C11" s="83" t="s">
        <x:v>22</x:v>
      </x:c>
      <x:c r="D11" s="84" t="s">
        <x:v>23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3"/>
    </x:row>
    <x:row r="12" ht="37.95000076293945" customHeight="1">
      <x:c r="A12" s="12"/>
      <x:c r="B12" s="83" t="s">
        <x:v>24</x:v>
      </x:c>
      <x:c r="C12" s="83" t="s">
        <x:v>25</x:v>
      </x:c>
      <x:c r="D12" s="84" t="s">
        <x:v>26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3"/>
    </x:row>
    <x:row r="13" ht="37.95000076293945" customHeight="1">
      <x:c r="A13" s="12"/>
      <x:c r="B13" s="42"/>
      <x:c r="C13" s="42"/>
      <x:c r="D13" s="43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3"/>
    </x:row>
    <x:row r="14" ht="37.95000076293945" customHeight="1">
      <x:c r="A14" s="80" t="s">
        <x:v>27</x:v>
      </x:c>
      <x:c r="B14" s="44"/>
      <x:c r="C14" s="44"/>
      <x:c r="D14" s="45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3"/>
    </x:row>
    <x:row r="15" ht="37.95000076293945" customHeight="1">
      <x:c r="A15" s="6"/>
      <x:c r="B15" s="81" t="s">
        <x:v>28</x:v>
      </x:c>
      <x:c r="C15" s="81" t="s">
        <x:v>29</x:v>
      </x:c>
      <x:c r="D15" s="82" t="s">
        <x:v>30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3"/>
    </x:row>
    <x:row r="16" ht="37.95000076293945" customHeight="1">
      <x:c r="A16" s="85"/>
      <x:c r="B16" s="86" t="s">
        <x:v>31</x:v>
      </x:c>
      <x:c r="C16" s="86" t="s">
        <x:v>32</x:v>
      </x:c>
      <x:c r="D16" s="86" t="s">
        <x:v>33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3"/>
    </x:row>
    <x:row r="17" ht="37.95000076293945" customHeight="1">
      <x:c r="A17" s="85"/>
      <x:c r="B17" s="86" t="s">
        <x:v>34</x:v>
      </x:c>
      <x:c r="C17" s="86" t="s">
        <x:v>35</x:v>
      </x:c>
      <x:c r="D17" s="86" t="s">
        <x:v>36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3"/>
    </x:row>
    <x:row r="18" ht="37.95000076293945" customHeight="1">
      <x:c r="A18" s="85"/>
      <x:c r="B18" s="86" t="s">
        <x:v>37</x:v>
      </x:c>
      <x:c r="C18" s="86" t="s">
        <x:v>35</x:v>
      </x:c>
      <x:c r="D18" s="86" t="s">
        <x:v>38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3"/>
    </x:row>
    <x:row r="19" ht="37.95000076293945" customHeight="1">
      <x:c r="A19" s="85"/>
      <x:c r="B19" s="86" t="s">
        <x:v>39</x:v>
      </x:c>
      <x:c r="C19" s="86" t="s">
        <x:v>40</x:v>
      </x:c>
      <x:c r="D19" s="86" t="s">
        <x:v>41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3"/>
    </x:row>
    <x:row r="20" ht="37.95000076293945" customHeight="1">
      <x:c r="A20" s="85"/>
      <x:c r="B20" s="86" t="s">
        <x:v>42</x:v>
      </x:c>
      <x:c r="C20" s="86" t="s">
        <x:v>43</x:v>
      </x:c>
      <x:c r="D20" s="86" t="s">
        <x:v>44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3"/>
    </x:row>
    <x:row r="21" ht="37.95000076293945" customHeight="1">
      <x:c r="A21" s="85"/>
      <x:c r="B21" s="86" t="s">
        <x:v>45</x:v>
      </x:c>
      <x:c r="C21" s="86" t="s">
        <x:v>46</x:v>
      </x:c>
      <x:c r="D21" s="86" t="s">
        <x:v>47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3"/>
    </x:row>
    <x:row r="22" ht="37.95000076293945" customHeight="1">
      <x:c r="A22" s="85"/>
      <x:c r="B22" s="86" t="s">
        <x:v>48</x:v>
      </x:c>
      <x:c r="C22" s="86" t="s">
        <x:v>49</x:v>
      </x:c>
      <x:c r="D22" s="86" t="s">
        <x:v>50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3"/>
    </x:row>
    <x:row r="23" ht="37.95000076293945" customHeight="1">
      <x:c r="A23" s="85"/>
      <x:c r="B23" s="86" t="s">
        <x:v>51</x:v>
      </x:c>
      <x:c r="C23" s="86" t="s">
        <x:v>52</x:v>
      </x:c>
      <x:c r="D23" s="86" t="s">
        <x:v>53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3"/>
    </x:row>
    <x:row r="24" ht="37.95000076293945" customHeight="1">
      <x:c r="A24" s="85"/>
      <x:c r="B24" s="86" t="s">
        <x:v>54</x:v>
      </x:c>
      <x:c r="C24" s="86" t="s">
        <x:v>55</x:v>
      </x:c>
      <x:c r="D24" s="86" t="s">
        <x:v>56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3"/>
    </x:row>
    <x:row r="25" ht="37.95000076293945" customHeight="1">
      <x:c r="A25" s="85"/>
      <x:c r="B25" s="86" t="s">
        <x:v>57</x:v>
      </x:c>
      <x:c r="C25" s="86" t="s">
        <x:v>58</x:v>
      </x:c>
      <x:c r="D25" s="86" t="s">
        <x:v>59</x:v>
      </x:c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3"/>
    </x:row>
    <x:row r="26" ht="37.95000076293945" customHeight="1">
      <x:c r="A26" s="85"/>
      <x:c r="B26" s="86" t="s">
        <x:v>60</x:v>
      </x:c>
      <x:c r="C26" s="86" t="s">
        <x:v>61</x:v>
      </x:c>
      <x:c r="D26" s="86" t="s">
        <x:v>62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3"/>
    </x:row>
    <x:row r="27" ht="37.95000076293945" customHeight="1">
      <x:c r="A27" s="85"/>
      <x:c r="B27" s="86" t="s">
        <x:v>63</x:v>
      </x:c>
      <x:c r="C27" s="86" t="s">
        <x:v>64</x:v>
      </x:c>
      <x:c r="D27" s="86" t="s">
        <x:v>65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3"/>
    </x:row>
    <x:row r="28" ht="37.95000076293945" customHeight="1">
      <x:c r="A28" s="85"/>
      <x:c r="B28" s="86" t="s">
        <x:v>66</x:v>
      </x:c>
      <x:c r="C28" s="86" t="s">
        <x:v>67</x:v>
      </x:c>
      <x:c r="D28" s="86" t="s">
        <x:v>68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3"/>
    </x:row>
    <x:row r="29" ht="37.95000076293945" customHeight="1">
      <x:c r="A29" s="85"/>
      <x:c r="B29" s="86" t="s">
        <x:v>69</x:v>
      </x:c>
      <x:c r="C29" s="86" t="s">
        <x:v>70</x:v>
      </x:c>
      <x:c r="D29" s="86" t="s">
        <x:v>71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3"/>
    </x:row>
    <x:row r="30" ht="37.95000076293945" customHeight="1">
      <x:c r="A30" s="85"/>
      <x:c r="B30" s="86" t="s">
        <x:v>72</x:v>
      </x:c>
      <x:c r="C30" s="86" t="s">
        <x:v>73</x:v>
      </x:c>
      <x:c r="D30" s="86" t="s">
        <x:v>74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3"/>
    </x:row>
    <x:row r="31" ht="37.95000076293945" customHeight="1">
      <x:c r="A31" s="85"/>
      <x:c r="B31" s="86" t="s">
        <x:v>75</x:v>
      </x:c>
      <x:c r="C31" s="86" t="s">
        <x:v>76</x:v>
      </x:c>
      <x:c r="D31" s="86" t="s">
        <x:v>77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3"/>
    </x:row>
    <x:row r="32" ht="37.95000076293945" customHeight="1">
      <x:c r="A32" s="85"/>
      <x:c r="B32" s="86" t="s">
        <x:v>78</x:v>
      </x:c>
      <x:c r="C32" s="86" t="s">
        <x:v>76</x:v>
      </x:c>
      <x:c r="D32" s="86" t="s">
        <x:v>79</x:v>
      </x:c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3"/>
    </x:row>
    <x:row r="33" ht="37.95000076293945" customHeight="1">
      <x:c r="A33" s="85"/>
      <x:c r="B33" s="86" t="s">
        <x:v>80</x:v>
      </x:c>
      <x:c r="C33" s="86" t="s">
        <x:v>76</x:v>
      </x:c>
      <x:c r="D33" s="86" t="s">
        <x:v>81</x:v>
      </x:c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3"/>
    </x:row>
    <x:row r="34" ht="37.95000076293945" customHeight="1">
      <x:c r="A34" s="85"/>
      <x:c r="B34" s="86" t="s">
        <x:v>82</x:v>
      </x:c>
      <x:c r="C34" s="86" t="s">
        <x:v>76</x:v>
      </x:c>
      <x:c r="D34" s="86" t="s">
        <x:v>83</x:v>
      </x:c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3"/>
    </x:row>
    <x:row r="35" ht="37.95000076293945" customHeight="1">
      <x:c r="A35" s="85"/>
      <x:c r="B35" s="86" t="s">
        <x:v>84</x:v>
      </x:c>
      <x:c r="C35" s="86" t="s">
        <x:v>85</x:v>
      </x:c>
      <x:c r="D35" s="86" t="s">
        <x:v>86</x:v>
      </x:c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3"/>
    </x:row>
    <x:row r="36" ht="37.95000076293945" customHeight="1">
      <x:c r="A36" s="85"/>
      <x:c r="B36" s="86" t="s">
        <x:v>87</x:v>
      </x:c>
      <x:c r="C36" s="86" t="s">
        <x:v>85</x:v>
      </x:c>
      <x:c r="D36" s="86" t="s">
        <x:v>88</x:v>
      </x:c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3"/>
    </x:row>
    <x:row r="37" ht="37.95000076293945" customHeight="1">
      <x:c r="A37" s="85"/>
      <x:c r="B37" s="86" t="s">
        <x:v>89</x:v>
      </x:c>
      <x:c r="C37" s="86" t="s">
        <x:v>90</x:v>
      </x:c>
      <x:c r="D37" s="86" t="s">
        <x:v>91</x:v>
      </x:c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3"/>
    </x:row>
    <x:row r="38" ht="37.95000076293945" customHeight="1">
      <x:c r="A38" s="85"/>
      <x:c r="B38" s="86" t="s">
        <x:v>92</x:v>
      </x:c>
      <x:c r="C38" s="86" t="s">
        <x:v>93</x:v>
      </x:c>
      <x:c r="D38" s="86" t="s">
        <x:v>94</x:v>
      </x:c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3"/>
    </x:row>
    <x:row r="39" ht="37.95000076293945" customHeight="1">
      <x:c r="A39" s="85"/>
      <x:c r="B39" s="85"/>
      <x:c r="C39" s="85"/>
      <x:c r="D39" s="85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3"/>
    </x:row>
    <x:row r="40" ht="37.95000076293945" customHeight="1">
      <x:c r="A40" s="149" t="s">
        <x:v>95</x:v>
      </x:c>
      <x:c r="B40" s="148"/>
      <x:c r="C40" s="148"/>
      <x:c r="D40" s="148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3"/>
    </x:row>
    <x:row r="41" ht="37.95000076293945" customHeight="1">
      <x:c r="A41" s="85"/>
      <x:c r="B41" s="85" t="s">
        <x:v>96</x:v>
      </x:c>
      <x:c r="C41" s="87" t="s">
        <x:v>97</x:v>
      </x:c>
      <x:c r="D41" s="85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3"/>
    </x:row>
    <x:row r="42" ht="37.95000076293945" customHeight="1">
      <x:c r="A42" s="85"/>
      <x:c r="B42" s="85" t="s">
        <x:v>96</x:v>
      </x:c>
      <x:c r="C42" s="87" t="s">
        <x:v>98</x:v>
      </x:c>
      <x:c r="D42" s="85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3"/>
    </x:row>
    <x:row r="43" ht="37.95000076293945" customHeight="1">
      <x:c r="A43" s="85"/>
      <x:c r="B43" s="85" t="s">
        <x:v>96</x:v>
      </x:c>
      <x:c r="C43" s="87" t="s">
        <x:v>99</x:v>
      </x:c>
      <x:c r="D43" s="85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3"/>
    </x:row>
    <x:row r="44" ht="37.95000076293945" customHeight="1">
      <x:c r="A44" s="85"/>
      <x:c r="B44" s="85" t="s">
        <x:v>96</x:v>
      </x:c>
      <x:c r="C44" s="87" t="s">
        <x:v>100</x:v>
      </x:c>
      <x:c r="D44" s="85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3"/>
    </x:row>
    <x:row r="45" ht="37.95000076293945" customHeight="1">
      <x:c r="A45" s="85"/>
      <x:c r="B45" s="85" t="s">
        <x:v>96</x:v>
      </x:c>
      <x:c r="C45" s="87" t="s">
        <x:v>101</x:v>
      </x:c>
      <x:c r="D45" s="85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3"/>
    </x:row>
    <x:row r="46" ht="37.95000076293945" customHeight="1">
      <x:c r="A46" s="85"/>
      <x:c r="B46" s="85" t="s">
        <x:v>96</x:v>
      </x:c>
      <x:c r="C46" s="87" t="s">
        <x:v>102</x:v>
      </x:c>
      <x:c r="D46" s="85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3"/>
    </x:row>
    <x:row r="47" ht="37.95000076293945" customHeight="1">
      <x:c r="A47" s="85"/>
      <x:c r="B47" s="85"/>
      <x:c r="C47" s="85"/>
      <x:c r="D47" s="85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3"/>
    </x:row>
    <x:row r="48" ht="37.95000076293945" customHeight="1">
      <x:c r="A48" s="237" t="str">
        <x:v>  4. REFLO 자동화 구조</x:v>
      </x:c>
      <x:c r="B48" s="237" t="str">
        <x:v>  4. REFLO 자동화 구조</x:v>
      </x:c>
      <x:c r="C48" s="237" t="str">
        <x:v>  4. REFLO 자동화 구조</x:v>
      </x:c>
      <x:c r="D48" s="237" t="str">
        <x:v>  4. REFLO 자동화 구조</x:v>
      </x:c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3"/>
    </x:row>
    <x:row r="49" ht="37.95000076293945" customHeight="1">
      <x:c r="A49" s="244" t="str">
        <x:v>구분</x:v>
      </x:c>
      <x:c r="B49" s="244" t="str">
        <x:v>권위 원천</x:v>
      </x:c>
      <x:c r="C49" s="244" t="str">
        <x:v>Excel 반영</x:v>
      </x:c>
      <x:c r="D49" s="244" t="str">
        <x:v>사용자 역할</x:v>
      </x:c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3"/>
    </x:row>
    <x:row r="50" ht="37.95000076293945" customHeight="1">
      <x:c r="A50" s="255" t="str">
        <x:v>확정 실적</x:v>
      </x:c>
      <x:c r="B50" s="255" t="str">
        <x:v>DART</x:v>
      </x:c>
      <x:c r="C50" s="255" t="str">
        <x:v>_REFLO_BRIDGE → M1·p4 재무제표</x:v>
      </x:c>
      <x:c r="D50" s="255" t="str">
        <x:v>검증 결과 확인</x:v>
      </x:c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3"/>
    </x:row>
    <x:row r="51" ht="37.95000076293945" customHeight="1">
      <x:c r="A51" s="258" t="str">
        <x:v>시장 데이터</x:v>
      </x:c>
      <x:c r="B51" s="258" t="str">
        <x:v>KRX</x:v>
      </x:c>
      <x:c r="C51" s="258" t="str">
        <x:v>현재주가·Key Data·주가 시계열</x:v>
      </x:c>
      <x:c r="D51" s="258" t="str">
        <x:v>없음</x:v>
      </x:c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3"/>
    </x:row>
    <x:row r="52" ht="37.95000076293945" customHeight="1">
      <x:c r="A52" s="258" t="str">
        <x:v>컨센서스</x:v>
      </x:c>
      <x:c r="B52" s="258" t="str">
        <x:v>FnGuide JSON</x:v>
      </x:c>
      <x:c r="C52" s="258" t="str">
        <x:v>Consensus·Forward EPS·PER Band</x:v>
      </x:c>
      <x:c r="D52" s="258" t="str">
        <x:v>stale 자료만 확인</x:v>
      </x:c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3"/>
    </x:row>
    <x:row r="53" ht="37.95000076293945" customHeight="1">
      <x:c r="A53" s="258" t="str">
        <x:v>사업 지표</x:v>
      </x:c>
      <x:c r="B53" s="258" t="str">
        <x:v>회사 IR</x:v>
      </x:c>
      <x:c r="C53" s="258" t="str">
        <x:v>세그먼트·수주잔고</x:v>
      </x:c>
      <x:c r="D53" s="258" t="str">
        <x:v>검증 결과 확인</x:v>
      </x:c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3"/>
    </x:row>
    <x:row r="54" ht="37.95000076293945" customHeight="1">
      <x:c r="A54" s="258" t="str">
        <x:v>전망·밸류에이션</x:v>
      </x:c>
      <x:c r="B54" s="258" t="str">
        <x:v>AI 추천 + 모델</x:v>
      </x:c>
      <x:c r="C54" s="258" t="str">
        <x:v>M1·M2·M3</x:v>
      </x:c>
      <x:c r="D54" s="258" t="str">
        <x:v>전망·타깃 멀티플 승인</x:v>
      </x:c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3"/>
    </x:row>
    <x:row r="55" ht="18" customHeight="1">
      <x:c r="A55" s="258" t="str">
        <x:v>PDF 매핑</x:v>
      </x:c>
      <x:c r="B55" s="258" t="str">
        <x:v>Semantic Slot</x:v>
      </x:c>
      <x:c r="C55" s="258" t="str">
        <x:v>Scalar·Table·Chart-series</x:v>
      </x:c>
      <x:c r="D55" s="258" t="str">
        <x:v>최종 보고서 승인</x:v>
      </x:c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3"/>
    </x:row>
    <x:row r="56" ht="18" customHeight="1">
      <x:c r="A56" s="85"/>
      <x:c r="B56" s="85"/>
      <x:c r="C56" s="85"/>
      <x:c r="D56" s="85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3"/>
    </x:row>
    <x:row r="57" ht="18" customHeight="1">
      <x:c r="A57" s="308" t="str">
        <x:v>시스템 시트 `_REFLO_BRIDGE`는 자료수집 결과와 Evidence를 보관합니다. 일반 사용자는 편집하지 않습니다.</x:v>
      </x:c>
      <x:c r="B57" s="308"/>
      <x:c r="C57" s="308"/>
      <x:c r="D57" s="308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3"/>
    </x:row>
    <x:row r="58" ht="18" customHeight="1">
      <x:c r="A58" s="85"/>
      <x:c r="B58" s="85"/>
      <x:c r="C58" s="85"/>
      <x:c r="D58" s="85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3"/>
    </x:row>
    <x:row r="59" ht="18" customHeight="1">
      <x:c r="A59" s="85"/>
      <x:c r="B59" s="85"/>
      <x:c r="C59" s="85"/>
      <x:c r="D59" s="85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3"/>
    </x:row>
    <x:row r="60" ht="18" customHeight="1">
      <x:c r="A60" s="85"/>
      <x:c r="B60" s="85"/>
      <x:c r="C60" s="85"/>
      <x:c r="D60" s="85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1"/>
    </x:row>
    <x:row r="61" ht="18" customHeight="1">
      <x:c r="A61" s="85"/>
      <x:c r="B61" s="85"/>
      <x:c r="C61" s="85"/>
      <x:c r="D61" s="85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85"/>
      <x:c r="B62" s="85"/>
      <x:c r="C62" s="85"/>
      <x:c r="D62" s="85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85"/>
      <x:c r="B63" s="85"/>
      <x:c r="C63" s="85"/>
      <x:c r="D63" s="85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85"/>
      <x:c r="B64" s="85"/>
      <x:c r="C64" s="85"/>
      <x:c r="D64" s="85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</x:sheetData>
  <x:mergeCells>
    <x:mergeCell ref="A40:D40"/>
    <x:mergeCell ref="A48:D48"/>
    <x:mergeCell ref="A57:D5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FC000"/>
  </x:sheetPr>
  <x:sheetViews>
    <x:sheetView showGridLines="0" workbookViewId="0"/>
  </x:sheetViews>
  <x:sheetFormatPr defaultColWidth="8.69921875" defaultRowHeight="17.399999618530273"/>
  <x:cols>
    <x:col min="1" max="1" width="30" customWidth="1"/>
    <x:col min="2" max="12" width="10.296875" customWidth="1"/>
    <x:col min="13" max="13" width="5" customWidth="1"/>
    <x:col min="14" max="26" width="10" customWidth="1"/>
  </x:cols>
  <x:sheetData>
    <x:row r="1" ht="22.049999237060547" customHeight="1">
      <x:c r="A1" s="49" t="s">
        <x:v>103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8" customHeight="1">
      <x:c r="A2" s="50" t="str">
        <x:v>REFLO가 공시·IR·시장 자료와 AI 추천값을 자동 반영합니다. 노란색 셀은 최종 검토가 필요한 전망·가정입니다.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8" customHeight="1">
      <x:c r="A3" s="51" t="s">
        <x:v>104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9.950000762939453" customHeight="1">
      <x:c r="A5" s="52" t="s">
        <x:v>105</x:v>
      </x:c>
      <x:c r="B5" s="5"/>
      <x:c r="C5" s="5"/>
      <x:c r="D5" s="5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9.950000762939453" customHeight="1">
      <x:c r="A6" s="53" t="s">
        <x:v>106</x:v>
      </x:c>
      <x:c r="B6" s="53" t="s">
        <x:v>107</x:v>
      </x:c>
      <x:c r="C6" s="53" t="s">
        <x:v>108</x:v>
      </x:c>
      <x:c r="D6" s="53" t="s">
        <x:v>109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8" customHeight="1">
      <x:c r="A7" s="54" t="s">
        <x:v>110</x:v>
      </x:c>
      <x:c r="B7" s="222" t="n">
        <x:f>'_REFLO_BRIDGE'!$B$21</x:f>
        <x:v>49416.9</x:v>
      </x:c>
      <x:c r="C7" s="54" t="s">
        <x:v>111</x:v>
      </x:c>
      <x:c r="D7" s="54" t="s">
        <x:v>112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8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9.950000762939453" customHeight="1">
      <x:c r="A9" s="52" t="s">
        <x:v>113</x:v>
      </x:c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8" customHeight="1">
      <x:c r="A10" s="53" t="s">
        <x:v>106</x:v>
      </x:c>
      <x:c r="B10" s="53" t="s">
        <x:v>114</x:v>
      </x:c>
      <x:c r="C10" s="53" t="s">
        <x:v>115</x:v>
      </x:c>
      <x:c r="D10" s="53" t="s">
        <x:v>116</x:v>
      </x:c>
      <x:c r="E10" s="53" t="s">
        <x:v>117</x:v>
      </x:c>
      <x:c r="F10" s="53" t="s">
        <x:v>118</x:v>
      </x:c>
      <x:c r="G10" s="53" t="s">
        <x:v>119</x:v>
      </x:c>
      <x:c r="H10" s="53" t="s">
        <x:v>120</x:v>
      </x:c>
      <x:c r="I10" s="53" t="s">
        <x:v>121</x:v>
      </x:c>
      <x:c r="J10" s="53" t="s">
        <x:v>122</x:v>
      </x:c>
      <x:c r="K10" s="53" t="s">
        <x:v>123</x:v>
      </x:c>
      <x:c r="L10" s="53" t="s">
        <x:v>124</x:v>
      </x:c>
      <x:c r="M10" s="56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8" customHeight="1">
      <x:c r="A11" s="144" t="s">
        <x:v>125</x:v>
      </x:c>
      <x:c r="B11" s="145" t="n">
        <x:f t="shared" ref="B11:L11" si="0">B12+B13</x:f>
        <x:v>176.6</x:v>
      </x:c>
      <x:c r="C11" s="145">
        <x:f t="shared" si="0"/>
        <x:v>207.8</x:v>
      </x:c>
      <x:c r="D11" s="145">
        <x:f t="shared" si="0"/>
        <x:v>243.8</x:v>
      </x:c>
      <x:c r="E11" s="145">
        <x:f t="shared" si="0"/>
        <x:v>273.7</x:v>
      </x:c>
      <x:c r="F11" s="145">
        <x:f t="shared" si="0"/>
        <x:v>283.89999999999998</x:v>
      </x:c>
      <x:c r="G11" s="145">
        <x:f t="shared" si="0"/>
        <x:v>296.89999999999998</x:v>
      </x:c>
      <x:c r="H11" s="145">
        <x:f t="shared" si="0"/>
        <x:v>311.60000000000002</x:v>
      </x:c>
      <x:c r="I11" s="145">
        <x:f t="shared" si="0"/>
        <x:v>308.79999999999995</x:v>
      </x:c>
      <x:c r="J11" s="145">
        <x:f t="shared" si="0"/>
        <x:v>901.9</x:v>
      </x:c>
      <x:c r="K11" s="145">
        <x:f t="shared" si="0"/>
        <x:v>1201.2</x:v>
      </x:c>
      <x:c r="L11" s="145">
        <x:f t="shared" si="0"/>
        <x:v>1343.3000000000002</x:v>
      </x:c>
      <x:c r="M11" s="146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8" customHeight="1">
      <x:c r="A12" s="57" t="s">
        <x:v>126</x:v>
      </x:c>
      <x:c r="B12" s="220" t="n">
        <x:f>'_REFLO_BRIDGE'!$N$81</x:f>
        <x:v>101.3</x:v>
      </x:c>
      <x:c r="C12" s="220" t="n">
        <x:f>'_REFLO_BRIDGE'!$O$81</x:f>
        <x:v>127.1</x:v>
      </x:c>
      <x:c r="D12" s="220" t="n">
        <x:f>'_REFLO_BRIDGE'!$P$81</x:f>
        <x:v>158</x:v>
      </x:c>
      <x:c r="E12" s="220" t="n">
        <x:f>'_REFLO_BRIDGE'!$Q$81</x:f>
        <x:v>160.5</x:v>
      </x:c>
      <x:c r="F12" s="59">
        <x:v>162.1</x:v>
      </x:c>
      <x:c r="G12" s="59">
        <x:v>168.3</x:v>
      </x:c>
      <x:c r="H12" s="59">
        <x:v>174.6</x:v>
      </x:c>
      <x:c r="I12" s="59">
        <x:v>168.7</x:v>
      </x:c>
      <x:c r="J12" s="60" t="n">
        <x:f>SUM(B12:E12)</x:f>
        <x:v>546.9</x:v>
      </x:c>
      <x:c r="K12" s="60" t="n">
        <x:f>SUM(F12:I12)</x:f>
        <x:v>673.7</x:v>
      </x:c>
      <x:c r="L12" s="59">
        <x:v>773.6</x:v>
      </x:c>
      <x:c r="M12" s="56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8" customHeight="1">
      <x:c r="A13" s="57" t="s">
        <x:v>127</x:v>
      </x:c>
      <x:c r="B13" s="220" t="n">
        <x:f>'_REFLO_BRIDGE'!$N$82</x:f>
        <x:v>75.3</x:v>
      </x:c>
      <x:c r="C13" s="220" t="n">
        <x:f>'_REFLO_BRIDGE'!$O$82</x:f>
        <x:v>80.7</x:v>
      </x:c>
      <x:c r="D13" s="220" t="n">
        <x:f>'_REFLO_BRIDGE'!$P$82</x:f>
        <x:v>85.8</x:v>
      </x:c>
      <x:c r="E13" s="220" t="n">
        <x:f>'_REFLO_BRIDGE'!$Q$82</x:f>
        <x:v>113.2</x:v>
      </x:c>
      <x:c r="F13" s="59">
        <x:v>121.8</x:v>
      </x:c>
      <x:c r="G13" s="59">
        <x:v>128.6</x:v>
      </x:c>
      <x:c r="H13" s="59">
        <x:v>137</x:v>
      </x:c>
      <x:c r="I13" s="59">
        <x:v>140.1</x:v>
      </x:c>
      <x:c r="J13" s="60" t="n">
        <x:f>SUM(B13:E13)</x:f>
        <x:v>355</x:v>
      </x:c>
      <x:c r="K13" s="60" t="n">
        <x:f>SUM(F13:I13)</x:f>
        <x:v>527.5</x:v>
      </x:c>
      <x:c r="L13" s="59">
        <x:v>569.70000000000005</x:v>
      </x:c>
      <x:c r="M13" s="56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8" customHeight="1">
      <x:c r="A14" s="144" t="s">
        <x:v>128</x:v>
      </x:c>
      <x:c r="B14" s="221" t="n">
        <x:f>'_REFLO_BRIDGE'!$N$83</x:f>
        <x:v>38.8</x:v>
      </x:c>
      <x:c r="C14" s="221" t="n">
        <x:f>'_REFLO_BRIDGE'!$O$83</x:f>
        <x:v>37.7</x:v>
      </x:c>
      <x:c r="D14" s="221" t="n">
        <x:f>'_REFLO_BRIDGE'!$P$83</x:f>
        <x:v>42.4</x:v>
      </x:c>
      <x:c r="E14" s="221" t="n">
        <x:f>'_REFLO_BRIDGE'!$Q$83</x:f>
        <x:v>44.2</x:v>
      </x:c>
      <x:c r="F14" s="59">
        <x:v>46.1</x:v>
      </x:c>
      <x:c r="G14" s="59">
        <x:v>57.1</x:v>
      </x:c>
      <x:c r="H14" s="59">
        <x:v>86</x:v>
      </x:c>
      <x:c r="I14" s="59">
        <x:v>95.1</x:v>
      </x:c>
      <x:c r="J14" s="145" t="n">
        <x:f>SUM(B14:E14)</x:f>
        <x:v>163.10000000000002</x:v>
      </x:c>
      <x:c r="K14" s="145" t="n">
        <x:f>SUM(F14:I14)</x:f>
        <x:v>284.29999999999995</x:v>
      </x:c>
      <x:c r="L14" s="59">
        <x:v>290</x:v>
      </x:c>
      <x:c r="M14" s="56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8" customHeight="1">
      <x:c r="A15" s="144" t="s">
        <x:v>129</x:v>
      </x:c>
      <x:c r="B15" s="221" t="n">
        <x:f>'_REFLO_BRIDGE'!$N$84</x:f>
        <x:v>0</x:v>
      </x:c>
      <x:c r="C15" s="221" t="n">
        <x:f>'_REFLO_BRIDGE'!$O$84</x:f>
        <x:v>0.3</x:v>
      </x:c>
      <x:c r="D15" s="221" t="n">
        <x:f>'_REFLO_BRIDGE'!$P$84</x:f>
        <x:v>0</x:v>
      </x:c>
      <x:c r="E15" s="221" t="n">
        <x:f>'_REFLO_BRIDGE'!$Q$84</x:f>
        <x:v>0</x:v>
      </x:c>
      <x:c r="F15" s="59">
        <x:v>0</x:v>
      </x:c>
      <x:c r="G15" s="59">
        <x:v>0</x:v>
      </x:c>
      <x:c r="H15" s="59">
        <x:v>0</x:v>
      </x:c>
      <x:c r="I15" s="59">
        <x:v>0</x:v>
      </x:c>
      <x:c r="J15" s="145" t="n">
        <x:f>SUM(B15:E15)</x:f>
        <x:v>0.3</x:v>
      </x:c>
      <x:c r="K15" s="145" t="n">
        <x:f>SUM(F15:I15)</x:f>
        <x:v>0</x:v>
      </x:c>
      <x:c r="L15" s="59">
        <x:v>0</x:v>
      </x:c>
      <x:c r="M15" s="56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8" customHeight="1">
      <x:c r="A16" s="144" t="s">
        <x:v>130</x:v>
      </x:c>
      <x:c r="B16" s="145" t="n">
        <x:f t="shared" ref="B16:L16" si="1">B11+B14+B15</x:f>
        <x:v>215.39999999999998</x:v>
      </x:c>
      <x:c r="C16" s="145">
        <x:f t="shared" si="1"/>
        <x:v>245.8</x:v>
      </x:c>
      <x:c r="D16" s="145">
        <x:f t="shared" si="1"/>
        <x:v>286.2</x:v>
      </x:c>
      <x:c r="E16" s="145">
        <x:f t="shared" si="1"/>
        <x:v>317.89999999999998</x:v>
      </x:c>
      <x:c r="F16" s="145">
        <x:f t="shared" si="1"/>
        <x:v>330</x:v>
      </x:c>
      <x:c r="G16" s="145">
        <x:f t="shared" si="1"/>
        <x:v>354</x:v>
      </x:c>
      <x:c r="H16" s="145">
        <x:f t="shared" si="1"/>
        <x:v>397.6</x:v>
      </x:c>
      <x:c r="I16" s="145">
        <x:f t="shared" si="1"/>
        <x:v>403.9</x:v>
      </x:c>
      <x:c r="J16" s="145">
        <x:f t="shared" si="1"/>
        <x:v>1065.3</x:v>
      </x:c>
      <x:c r="K16" s="145">
        <x:f t="shared" si="1"/>
        <x:v>1485.5</x:v>
      </x:c>
      <x:c r="L16" s="145">
        <x:f t="shared" si="1"/>
        <x:v>1633.3000000000002</x:v>
      </x:c>
      <x:c r="M16" s="146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8" customHeight="1">
      <x:c r="A17" s="57" t="s">
        <x:v>131</x:v>
      </x:c>
      <x:c r="B17" s="61" t="n">
        <x:f>B16/B44-1</x:f>
        <x:v>0.0027932960893852776</x:v>
      </x:c>
      <x:c r="C17" s="61" t="n">
        <x:f>C16/C44-1</x:f>
        <x:v>0.03147293327738154</x:v>
      </x:c>
      <x:c r="D17" s="61" t="n">
        <x:f>D16/D44-1</x:f>
        <x:v>0.2299097550494198</x:v>
      </x:c>
      <x:c r="E17" s="61" t="n">
        <x:f>E16/E44-1</x:f>
        <x:v>0.5402131782945734</x:v>
      </x:c>
      <x:c r="F17" s="61" t="n">
        <x:f>F16/B16-1</x:f>
        <x:v>0.5320334261838442</x:v>
      </x:c>
      <x:c r="G17" s="61" t="n">
        <x:f>G16/C16-1</x:f>
        <x:v>0.4401952807160292</x:v>
      </x:c>
      <x:c r="H17" s="61" t="n">
        <x:f>H16/D16-1</x:f>
        <x:v>0.38923829489867234</x:v>
      </x:c>
      <x:c r="I17" s="61" t="n">
        <x:f>I16/E16-1</x:f>
        <x:v>0.27052532242843674</x:v>
      </x:c>
      <x:c r="J17" s="61" t="n">
        <x:f>J16/$C$32-1</x:f>
        <x:v>0.1941486380450621</x:v>
      </x:c>
      <x:c r="K17" s="61" t="n">
        <x:f>K16/J16-1</x:f>
        <x:v>0.3944428799399231</x:v>
      </x:c>
      <x:c r="L17" s="61" t="n">
        <x:f>L16/K16-1</x:f>
        <x:v>0.09949511948838796</x:v>
      </x:c>
      <x:c r="M17" s="54" t="s">
        <x:v>132</x:v>
      </x:c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8" customHeight="1">
      <x:c r="A18" s="57" t="s">
        <x:v>133</x:v>
      </x:c>
      <x:c r="B18" s="61" t="n">
        <x:f>B16/E44-1</x:f>
        <x:v>0.04360465116279055</x:v>
      </x:c>
      <x:c r="C18" s="61" t="n">
        <x:f t="shared" ref="C18:I18" si="2">C16/B16-1</x:f>
        <x:v>0.14113277623026943</x:v>
      </x:c>
      <x:c r="D18" s="61">
        <x:f t="shared" si="2"/>
        <x:v>0.16436126932465411</x:v>
      </x:c>
      <x:c r="E18" s="61">
        <x:f t="shared" si="2"/>
        <x:v>0.11076170510132766</x:v>
      </x:c>
      <x:c r="F18" s="61">
        <x:f t="shared" si="2"/>
        <x:v>3.8062283737024361E-2</x:v>
      </x:c>
      <x:c r="G18" s="61">
        <x:f t="shared" si="2"/>
        <x:v>7.2727272727272751E-2</x:v>
      </x:c>
      <x:c r="H18" s="61">
        <x:f t="shared" si="2"/>
        <x:v>0.12316384180790974</x:v>
      </x:c>
      <x:c r="I18" s="61">
        <x:f t="shared" si="2"/>
        <x:v>1.5845070422535024E-2</x:v>
      </x:c>
      <x:c r="J18" s="62"/>
      <x:c r="K18" s="62"/>
      <x:c r="L18" s="62"/>
      <x:c r="M18" s="54" t="s">
        <x:v>132</x:v>
      </x:c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9.950000762939453" customHeight="1">
      <x:c r="A20" s="63" t="s">
        <x:v>134</x:v>
      </x:c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5"/>
      <x:c r="M20" s="5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8" customHeight="1">
      <x:c r="A21" s="54" t="s">
        <x:v>135</x:v>
      </x:c>
      <x:c r="B21" s="211" t="n">
        <x:f>'_REFLO_BRIDGE'!$N$85</x:f>
        <x:v>-6.2</x:v>
      </x:c>
      <x:c r="C21" s="211" t="n">
        <x:f>'_REFLO_BRIDGE'!$O$85</x:f>
        <x:v>1.9</x:v>
      </x:c>
      <x:c r="D21" s="211" t="n">
        <x:f>'_REFLO_BRIDGE'!$P$85</x:f>
        <x:v>24.4</x:v>
      </x:c>
      <x:c r="E21" s="211" t="n">
        <x:f>'_REFLO_BRIDGE'!$Q$85</x:f>
        <x:v>29</x:v>
      </x:c>
      <x:c r="F21" s="65">
        <x:v>40.200000000000003</x:v>
      </x:c>
      <x:c r="G21" s="65">
        <x:v>43</x:v>
      </x:c>
      <x:c r="H21" s="65">
        <x:v>48.4</x:v>
      </x:c>
      <x:c r="I21" s="65">
        <x:v>48.4</x:v>
      </x:c>
      <x:c r="J21" s="66" t="n">
        <x:f>SUM(B21:E21)</x:f>
        <x:v>49.099999999999994</x:v>
      </x:c>
      <x:c r="K21" s="66" t="n">
        <x:f>SUM(F21:I21)</x:f>
        <x:v>180</x:v>
      </x:c>
      <x:c r="L21" s="65">
        <x:v>218.3</x:v>
      </x:c>
      <x:c r="M21" s="56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8" customHeight="1">
      <x:c r="A22" s="54" t="s">
        <x:v>136</x:v>
      </x:c>
      <x:c r="B22" s="67" t="n">
        <x:f t="shared" ref="B22:L22" si="3">B21/B16</x:f>
        <x:v>-0.02878365831012071</x:v>
      </x:c>
      <x:c r="C22" s="67">
        <x:f t="shared" si="3"/>
        <x:v>7.7298616761594784E-3</x:v>
      </x:c>
      <x:c r="D22" s="67">
        <x:f t="shared" si="3"/>
        <x:v>8.5255066387141851E-2</x:v>
      </x:c>
      <x:c r="E22" s="67">
        <x:f t="shared" si="3"/>
        <x:v>9.1223655237496079E-2</x:v>
      </x:c>
      <x:c r="F22" s="67">
        <x:f t="shared" si="3"/>
        <x:v>0.12181818181818183</x:v>
      </x:c>
      <x:c r="G22" s="67">
        <x:f t="shared" si="3"/>
        <x:v>0.12146892655367232</x:v>
      </x:c>
      <x:c r="H22" s="67">
        <x:f t="shared" si="3"/>
        <x:v>0.12173038229376257</x:v>
      </x:c>
      <x:c r="I22" s="67">
        <x:f t="shared" si="3"/>
        <x:v>0.11983164149541967</x:v>
      </x:c>
      <x:c r="J22" s="67">
        <x:f t="shared" si="3"/>
        <x:v>4.6090303200976249E-2</x:v>
      </x:c>
      <x:c r="K22" s="67">
        <x:f t="shared" si="3"/>
        <x:v>0.12117132278694043</x:v>
      </x:c>
      <x:c r="L22" s="67">
        <x:f t="shared" si="3"/>
        <x:v>0.13365578889365087</x:v>
      </x:c>
      <x:c r="M22" s="56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9.950000762939453" customHeight="1">
      <x:c r="A24" s="52" t="s">
        <x:v>137</x:v>
      </x:c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8" customHeight="1">
      <x:c r="A25" s="54" t="s">
        <x:v>138</x:v>
      </x:c>
      <x:c r="B25" s="66" t="n">
        <x:f>ROUND(B21/$J$21*$J$25,1)</x:f>
        <x:v>-6.8</x:v>
      </x:c>
      <x:c r="C25" s="66" t="n">
        <x:f>ROUND(C21/$J$21*$J$25,1)</x:f>
        <x:v>2.1</x:v>
      </x:c>
      <x:c r="D25" s="66" t="n">
        <x:f>ROUND(D21/$J$21*$J$25,1)</x:f>
        <x:v>26.6</x:v>
      </x:c>
      <x:c r="E25" s="66" t="n">
        <x:f>$J$25-SUM(B25:D25)</x:f>
        <x:v>31.599999999999998</x:v>
      </x:c>
      <x:c r="F25" s="66" t="n">
        <x:f>ROUND(F21/$K$21*$K$25,1)</x:f>
        <x:v>41.8</x:v>
      </x:c>
      <x:c r="G25" s="66" t="n">
        <x:f>ROUND(G21/$K$21*$K$25,1)</x:f>
        <x:v>44.7</x:v>
      </x:c>
      <x:c r="H25" s="66" t="n">
        <x:f>ROUND(H21/$K$21*$K$25,1)</x:f>
        <x:v>50.4</x:v>
      </x:c>
      <x:c r="I25" s="66" t="n">
        <x:f>$K$25-SUM(F25:H25)</x:f>
        <x:v>50.400000000000006</x:v>
      </x:c>
      <x:c r="J25" s="65">
        <x:v>53.5</x:v>
      </x:c>
      <x:c r="K25" s="65">
        <x:v>187.3</x:v>
      </x:c>
      <x:c r="L25" s="65">
        <x:v>228.5</x:v>
      </x:c>
      <x:c r="M25" s="56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8" customHeight="1">
      <x:c r="A26" s="54" t="s">
        <x:v>139</x:v>
      </x:c>
      <x:c r="B26" s="66" t="n">
        <x:f>ROUND(B21/$J$21*$J$26,1)</x:f>
        <x:v>-6.2</x:v>
      </x:c>
      <x:c r="C26" s="66" t="n">
        <x:f>ROUND(C21/$J$21*$J$26,1)</x:f>
        <x:v>1.9</x:v>
      </x:c>
      <x:c r="D26" s="66" t="n">
        <x:f>ROUND(D21/$J$21*$J$26,1)</x:f>
        <x:v>24.3</x:v>
      </x:c>
      <x:c r="E26" s="66" t="n">
        <x:f>$J$26-SUM(B26:D26)</x:f>
        <x:v>28.799999999999997</x:v>
      </x:c>
      <x:c r="F26" s="66" t="n">
        <x:f>ROUND(F21/$K$21*$K$26,1)</x:f>
        <x:v>33.5</x:v>
      </x:c>
      <x:c r="G26" s="66" t="n">
        <x:f>ROUND(G21/$K$21*$K$26,1)</x:f>
        <x:v>35.8</x:v>
      </x:c>
      <x:c r="H26" s="66" t="n">
        <x:f>ROUND(H21/$K$21*$K$26,1)</x:f>
        <x:v>40.3</x:v>
      </x:c>
      <x:c r="I26" s="66" t="n">
        <x:f>$K$26-SUM(F26:H26)</x:f>
        <x:v>40.30000000000001</x:v>
      </x:c>
      <x:c r="J26" s="65">
        <x:v>48.8</x:v>
      </x:c>
      <x:c r="K26" s="65">
        <x:v>149.9</x:v>
      </x:c>
      <x:c r="L26" s="65">
        <x:v>182.8</x:v>
      </x:c>
      <x:c r="M26" s="56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8" customHeight="1">
      <x:c r="A28" s="68" t="s">
        <x:v>140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69" t="n">
        <x:f>'05_도표1_Valuation'!$C$6</x:f>
        <x:v>3033</x:v>
      </x:c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9.950000762939453" customHeight="1">
      <x:c r="A30" s="52" t="s">
        <x:v>141</x:v>
      </x:c>
      <x:c r="B30" s="5"/>
      <x:c r="C30" s="5"/>
      <x:c r="D30" s="5"/>
      <x:c r="E30" s="5"/>
      <x:c r="F30" s="5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9.950000762939453" customHeight="1">
      <x:c r="A31" s="53" t="s">
        <x:v>106</x:v>
      </x:c>
      <x:c r="B31" s="53" t="s">
        <x:v>142</x:v>
      </x:c>
      <x:c r="C31" s="53" t="s">
        <x:v>143</x:v>
      </x:c>
      <x:c r="D31" s="53" t="s">
        <x:v>144</x:v>
      </x:c>
      <x:c r="E31" s="53" t="s">
        <x:v>123</x:v>
      </x:c>
      <x:c r="F31" s="53" t="s">
        <x:v>124</x:v>
      </x:c>
      <x:c r="G31" s="54" t="s">
        <x:v>108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8" customHeight="1">
      <x:c r="A32" s="54" t="s">
        <x:v>145</x:v>
      </x:c>
      <x:c r="B32" s="66">
        <x:v>909.7</x:v>
      </x:c>
      <x:c r="C32" s="66">
        <x:v>892.1</x:v>
      </x:c>
      <x:c r="D32" s="66" t="n">
        <x:f>J16</x:f>
        <x:v>1065.3</x:v>
      </x:c>
      <x:c r="E32" s="66" t="n">
        <x:f>K16</x:f>
        <x:v>1485.5</x:v>
      </x:c>
      <x:c r="F32" s="66" t="n">
        <x:f>L16</x:f>
        <x:v>1633.3000000000002</x:v>
      </x:c>
      <x:c r="G32" s="54" t="s">
        <x:v>146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8" customHeight="1">
      <x:c r="A33" s="54" t="s">
        <x:v>135</x:v>
      </x:c>
      <x:c r="B33" s="66">
        <x:v>23.7</x:v>
      </x:c>
      <x:c r="C33" s="66">
        <x:v>11.3</x:v>
      </x:c>
      <x:c r="D33" s="66" t="n">
        <x:f>J21</x:f>
        <x:v>49.099999999999994</x:v>
      </x:c>
      <x:c r="E33" s="66" t="n">
        <x:f>K21</x:f>
        <x:v>180</x:v>
      </x:c>
      <x:c r="F33" s="66" t="n">
        <x:f>L21</x:f>
        <x:v>218.3</x:v>
      </x:c>
      <x:c r="G33" s="54" t="s">
        <x:v>146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8" customHeight="1">
      <x:c r="A34" s="54" t="s">
        <x:v>147</x:v>
      </x:c>
      <x:c r="B34" s="66">
        <x:v>28.4</x:v>
      </x:c>
      <x:c r="C34" s="66">
        <x:v>30.2</x:v>
      </x:c>
      <x:c r="D34" s="66" t="n">
        <x:f t="shared" ref="D34:F35" si="4">J25</x:f>
        <x:v>53.5</x:v>
      </x:c>
      <x:c r="E34" s="66">
        <x:f t="shared" si="4"/>
        <x:v>187.3</x:v>
      </x:c>
      <x:c r="F34" s="66">
        <x:f t="shared" si="4"/>
        <x:v>228.5</x:v>
      </x:c>
      <x:c r="G34" s="54" t="s">
        <x:v>146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8" customHeight="1">
      <x:c r="A35" s="54" t="s">
        <x:v>148</x:v>
      </x:c>
      <x:c r="B35" s="66">
        <x:v>25.4</x:v>
      </x:c>
      <x:c r="C35" s="66">
        <x:v>23.8</x:v>
      </x:c>
      <x:c r="D35" s="66">
        <x:f t="shared" si="4"/>
        <x:v>48.8</x:v>
      </x:c>
      <x:c r="E35" s="66">
        <x:f t="shared" si="4"/>
        <x:v>149.9</x:v>
      </x:c>
      <x:c r="F35" s="66">
        <x:f t="shared" si="4"/>
        <x:v>182.8</x:v>
      </x:c>
      <x:c r="G35" s="54" t="s">
        <x:v>146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8" customHeight="1">
      <x:c r="A36" s="54" t="s">
        <x:v>149</x:v>
      </x:c>
      <x:c r="B36" s="70" t="n">
        <x:f>B35*1000000/$B$7</x:f>
        <x:v>513.9942003646526</x:v>
      </x:c>
      <x:c r="C36" s="70" t="n">
        <x:f>C35*1000000/$B$7</x:f>
        <x:v>481.61661294010753</x:v>
      </x:c>
      <x:c r="D36" s="70" t="n">
        <x:f>D35*1000000/$B$7</x:f>
        <x:v>987.5164164486238</x:v>
      </x:c>
      <x:c r="E36" s="70" t="n">
        <x:f>E35*1000000/$B$7</x:f>
        <x:v>3033.3752218370637</x:v>
      </x:c>
      <x:c r="F36" s="70" t="n">
        <x:f>F35*1000000/$B$7</x:f>
        <x:v>3699.1393632542713</x:v>
      </x:c>
      <x:c r="G36" s="54" t="s">
        <x:v>150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9.950000762939453" customHeight="1">
      <x:c r="A38" s="52" t="s">
        <x:v>151</x:v>
      </x:c>
      <x:c r="B38" s="5"/>
      <x:c r="C38" s="5"/>
      <x:c r="D38" s="5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9.950000762939453" customHeight="1">
      <x:c r="A39" s="53" t="s">
        <x:v>152</x:v>
      </x:c>
      <x:c r="B39" s="53" t="s">
        <x:v>144</x:v>
      </x:c>
      <x:c r="C39" s="53" t="s">
        <x:v>123</x:v>
      </x:c>
      <x:c r="D39" s="53" t="s">
        <x:v>109</x:v>
      </x:c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8" customHeight="1">
      <x:c r="A40" s="54" t="s">
        <x:v>153</x:v>
      </x:c>
      <x:c r="B40" s="71" t="n">
        <x:f>J16-'10_도표6_분기실적전망_수정후'!K5</x:f>
        <x:v>0</x:v>
      </x:c>
      <x:c r="C40" s="71" t="n">
        <x:f>K16-'10_도표6_분기실적전망_수정후'!L5</x:f>
        <x:v>-0.09999999999990905</x:v>
      </x:c>
      <x:c r="D40" s="54" t="s">
        <x:v>154</x:v>
      </x:c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8" customHeight="1">
      <x:c r="A41" s="54" t="s">
        <x:v>155</x:v>
      </x:c>
      <x:c r="B41" s="72"/>
      <x:c r="C41" s="71" t="n">
        <x:f>E36-'05_도표1_Valuation'!$C$6</x:f>
        <x:v>0.37522183706369105</x:v>
      </x:c>
      <x:c r="D41" s="54" t="s">
        <x:v>156</x:v>
      </x:c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8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9.950000762939453" customHeight="1">
      <x:c r="A43" s="73" t="s">
        <x:v>157</x:v>
      </x:c>
      <x:c r="B43" s="74"/>
      <x:c r="C43" s="74"/>
      <x:c r="D43" s="74"/>
      <x:c r="E43" s="74"/>
      <x:c r="F43" s="74"/>
      <x:c r="G43" s="74"/>
      <x:c r="H43" s="74"/>
      <x:c r="I43" s="74"/>
      <x:c r="J43" s="74"/>
      <x:c r="K43" s="5"/>
      <x:c r="L43" s="5"/>
      <x:c r="M43" s="5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9.950000762939453" customHeight="1">
      <x:c r="A44" s="53" t="s">
        <x:v>158</x:v>
      </x:c>
      <x:c r="B44" s="75">
        <x:v>214.8</x:v>
      </x:c>
      <x:c r="C44" s="75">
        <x:v>238.3</x:v>
      </x:c>
      <x:c r="D44" s="75">
        <x:v>232.7</x:v>
      </x:c>
      <x:c r="E44" s="75">
        <x:v>206.4</x:v>
      </x:c>
      <x:c r="F44" s="76"/>
      <x:c r="G44" s="76"/>
      <x:c r="H44" s="76"/>
      <x:c r="I44" s="76"/>
      <x:c r="J44" s="77" t="n">
        <x:f>SUM(B44:E44)</x:f>
        <x:v>892.1999999999999</x:v>
      </x:c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8" customHeight="1">
      <x:c r="A45" s="54" t="s">
        <x:v>159</x:v>
      </x:c>
      <x:c r="B45" s="78">
        <x:v>-2.9</x:v>
      </x:c>
      <x:c r="C45" s="78">
        <x:v>10.7</x:v>
      </x:c>
      <x:c r="D45" s="78">
        <x:v>9.1999999999999993</x:v>
      </x:c>
      <x:c r="E45" s="78">
        <x:v>-6</x:v>
      </x:c>
      <x:c r="F45" s="72"/>
      <x:c r="G45" s="72"/>
      <x:c r="H45" s="72"/>
      <x:c r="I45" s="72"/>
      <x:c r="J45" s="78" t="n">
        <x:f>SUM(B45:E45)</x:f>
        <x:v>11</x:v>
      </x:c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8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28.049999237060547" customHeight="1">
      <x:c r="A47" s="147" t="s">
        <x:v>160</x:v>
      </x:c>
      <x:c r="B47" s="148"/>
      <x:c r="C47" s="148"/>
      <x:c r="D47" s="148"/>
      <x:c r="E47" s="148"/>
      <x:c r="F47" s="148"/>
      <x:c r="G47" s="148"/>
      <x:c r="H47" s="148"/>
      <x:c r="I47" s="148"/>
      <x:c r="J47" s="148"/>
      <x:c r="K47" s="148"/>
      <x:c r="L47" s="148"/>
      <x:c r="M47" s="19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28.049999237060547" customHeight="1">
      <x:c r="A48" s="147" t="s">
        <x:v>161</x:v>
      </x:c>
      <x:c r="B48" s="148"/>
      <x:c r="C48" s="148"/>
      <x:c r="D48" s="148"/>
      <x:c r="E48" s="148"/>
      <x:c r="F48" s="148"/>
      <x:c r="G48" s="148"/>
      <x:c r="H48" s="148"/>
      <x:c r="I48" s="148"/>
      <x:c r="J48" s="148"/>
      <x:c r="K48" s="148"/>
      <x:c r="L48" s="148"/>
      <x:c r="M48" s="19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28.049999237060547" customHeight="1">
      <x:c r="A49" s="147" t="s">
        <x:v>162</x:v>
      </x:c>
      <x:c r="B49" s="148"/>
      <x:c r="C49" s="148"/>
      <x:c r="D49" s="148"/>
      <x:c r="E49" s="148"/>
      <x:c r="F49" s="148"/>
      <x:c r="G49" s="148"/>
      <x:c r="H49" s="148"/>
      <x:c r="I49" s="148"/>
      <x:c r="J49" s="148"/>
      <x:c r="K49" s="148"/>
      <x:c r="L49" s="148"/>
      <x:c r="M49" s="19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28.049999237060547" customHeight="1">
      <x:c r="A50" s="147" t="s">
        <x:v>163</x:v>
      </x:c>
      <x:c r="B50" s="148"/>
      <x:c r="C50" s="148"/>
      <x:c r="D50" s="148"/>
      <x:c r="E50" s="148"/>
      <x:c r="F50" s="148"/>
      <x:c r="G50" s="148"/>
      <x:c r="H50" s="148"/>
      <x:c r="I50" s="148"/>
      <x:c r="J50" s="148"/>
      <x:c r="K50" s="148"/>
      <x:c r="L50" s="148"/>
      <x:c r="M50" s="19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28.049999237060547" customHeight="1">
      <x:c r="A51" s="147" t="s">
        <x:v>164</x:v>
      </x:c>
      <x:c r="B51" s="148"/>
      <x:c r="C51" s="148"/>
      <x:c r="D51" s="148"/>
      <x:c r="E51" s="148"/>
      <x:c r="F51" s="148"/>
      <x:c r="G51" s="148"/>
      <x:c r="H51" s="148"/>
      <x:c r="I51" s="148"/>
      <x:c r="J51" s="148"/>
      <x:c r="K51" s="148"/>
      <x:c r="L51" s="148"/>
      <x:c r="M51" s="19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9.950000762939453" customHeight="1">
      <x:c r="A52" s="147" t="s">
        <x:v>165</x:v>
      </x:c>
      <x:c r="B52" s="148"/>
      <x:c r="C52" s="148"/>
      <x:c r="D52" s="148"/>
      <x:c r="E52" s="148"/>
      <x:c r="F52" s="148"/>
      <x:c r="G52" s="148"/>
      <x:c r="H52" s="148"/>
      <x:c r="I52" s="148"/>
      <x:c r="J52" s="148"/>
      <x:c r="K52" s="148"/>
      <x:c r="L52" s="148"/>
      <x:c r="M52" s="19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8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8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8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8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8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8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8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8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</x:sheetData>
  <x:mergeCells>
    <x:mergeCell ref="A52:L52"/>
    <x:mergeCell ref="A49:L49"/>
    <x:mergeCell ref="A51:L51"/>
    <x:mergeCell ref="A47:L47"/>
    <x:mergeCell ref="A50:L50"/>
    <x:mergeCell ref="A48:L4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C000"/>
  </x:sheetPr>
  <x:sheetViews>
    <x:sheetView showGridLines="0" workbookViewId="0"/>
  </x:sheetViews>
  <x:sheetFormatPr defaultColWidth="8.69921875" defaultRowHeight="17.399999618530273"/>
  <x:cols>
    <x:col min="1" max="1" width="11" customWidth="1"/>
    <x:col min="2" max="2" width="24" customWidth="1"/>
    <x:col min="3" max="3" width="14" customWidth="1"/>
    <x:col min="4" max="4" width="8" customWidth="1"/>
    <x:col min="5" max="5" width="44" customWidth="1"/>
    <x:col min="6" max="26" width="10" customWidth="1"/>
  </x:cols>
  <x:sheetData>
    <x:row r="1" ht="19.049999237060547" customHeight="1">
      <x:c r="A1" s="49" t="s">
        <x:v>166</x:v>
      </x:c>
      <x:c r="B1" s="2"/>
      <x:c r="C1" s="2"/>
      <x:c r="D1" s="2"/>
      <x:c r="E1" s="23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8" customHeight="1">
      <x:c r="A2" s="50" t="str">
        <x:v>현재주가·컨센서스·EPS는 자동 연결됩니다. 사용자는 밸류에이션 방식과 타깃 멀티플만 최종 승인합니다.</x:v>
      </x:c>
      <x:c r="B2" s="3"/>
      <x:c r="C2" s="3"/>
      <x:c r="D2" s="3"/>
      <x:c r="E2" s="3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9.049999237060547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9.049999237060547" customHeight="1">
      <x:c r="A4" s="52" t="s">
        <x:v>167</x:v>
      </x:c>
      <x:c r="B4" s="5"/>
      <x:c r="C4" s="5"/>
      <x:c r="D4" s="5"/>
      <x:c r="E4" s="5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9.049999237060547" customHeight="1">
      <x:c r="A5" s="53" t="s">
        <x:v>3</x:v>
      </x:c>
      <x:c r="B5" s="53" t="s">
        <x:v>106</x:v>
      </x:c>
      <x:c r="C5" s="53" t="s">
        <x:v>107</x:v>
      </x:c>
      <x:c r="D5" s="53" t="s">
        <x:v>108</x:v>
      </x:c>
      <x:c r="E5" s="53" t="s">
        <x:v>168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9.049999237060547" customHeight="1">
      <x:c r="A6" s="54" t="s">
        <x:v>169</x:v>
      </x:c>
      <x:c r="B6" s="54" t="s">
        <x:v>170</x:v>
      </x:c>
      <x:c r="C6" s="88" t="s">
        <x:v>171</x:v>
      </x:c>
      <x:c r="D6" s="54" t="s">
        <x:v>169</x:v>
      </x:c>
      <x:c r="E6" s="54" t="s">
        <x:v>172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9.049999237060547" customHeight="1">
      <x:c r="A7" s="54" t="s">
        <x:v>173</x:v>
      </x:c>
      <x:c r="B7" s="54" t="s">
        <x:v>174</x:v>
      </x:c>
      <x:c r="C7" s="215" t="n">
        <x:f>IF($C$30="Peer 평균 P/E",$C$41,IF($C$30="보고서 원문 P/E",$C$32,$C$31))</x:f>
        <x:v>26.580000000000002</x:v>
      </x:c>
      <x:c r="D7" s="54" t="s">
        <x:v>175</x:v>
      </x:c>
      <x:c r="E7" s="54" t="s">
        <x:v>176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9.049999237060547" customHeight="1">
      <x:c r="A8" s="54" t="s">
        <x:v>177</x:v>
      </x:c>
      <x:c r="B8" s="54" t="s">
        <x:v>178</x:v>
      </x:c>
      <x:c r="C8" s="223" t="n">
        <x:f>'_REFLO_BRIDGE'!$B$15</x:f>
        <x:v>52500</x:v>
      </x:c>
      <x:c r="D8" s="54" t="s">
        <x:v>150</x:v>
      </x:c>
      <x:c r="E8" s="54" t="s">
        <x:v>179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9.049999237060547" customHeight="1">
      <x:c r="A9" s="54" t="s">
        <x:v>180</x:v>
      </x:c>
      <x:c r="B9" s="54" t="s">
        <x:v>181</x:v>
      </x:c>
      <x:c r="C9" s="88">
        <x:v>1000</x:v>
      </x:c>
      <x:c r="D9" s="54" t="s">
        <x:v>150</x:v>
      </x:c>
      <x:c r="E9" s="54" t="s">
        <x:v>182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9.049999237060547" customHeight="1">
      <x:c r="A10" s="54" t="s">
        <x:v>173</x:v>
      </x:c>
      <x:c r="B10" s="54" t="s">
        <x:v>183</x:v>
      </x:c>
      <x:c r="C10" s="198" t="n">
        <x:f>IF($C$6="M1 모델 EPS",'M1_실적추정_모델'!$E$36,'05_도표1_Valuation'!$C$6)</x:f>
        <x:v>3033</x:v>
      </x:c>
      <x:c r="D10" s="54" t="s">
        <x:v>150</x:v>
      </x:c>
      <x:c r="E10" s="54" t="s">
        <x:v>184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9.049999237060547" customHeight="1">
      <x:c r="A11" s="12"/>
      <x:c r="B11" s="1"/>
      <x:c r="C11" s="22"/>
      <x:c r="D11" s="1"/>
      <x:c r="E11" s="13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9.049999237060547" customHeight="1">
      <x:c r="A12" s="80" t="s">
        <x:v>185</x:v>
      </x:c>
      <x:c r="B12" s="5"/>
      <x:c r="C12" s="22"/>
      <x:c r="D12" s="5"/>
      <x:c r="E12" s="2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9.049999237060547" customHeight="1">
      <x:c r="A13" s="53" t="s">
        <x:v>3</x:v>
      </x:c>
      <x:c r="B13" s="53" t="s">
        <x:v>106</x:v>
      </x:c>
      <x:c r="C13" s="92" t="s">
        <x:v>186</x:v>
      </x:c>
      <x:c r="D13" s="53" t="s">
        <x:v>108</x:v>
      </x:c>
      <x:c r="E13" s="53" t="s">
        <x:v>187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9.049999237060547" customHeight="1">
      <x:c r="A14" s="54" t="s">
        <x:v>173</x:v>
      </x:c>
      <x:c r="B14" s="54" t="s">
        <x:v>188</x:v>
      </x:c>
      <x:c r="C14" s="213" t="n">
        <x:f>$C$10*$C$7</x:f>
        <x:v>80617.14</x:v>
      </x:c>
      <x:c r="D14" s="54" t="s">
        <x:v>150</x:v>
      </x:c>
      <x:c r="E14" s="54" t="s">
        <x:v>189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9.049999237060547" customHeight="1">
      <x:c r="A15" s="54" t="s">
        <x:v>173</x:v>
      </x:c>
      <x:c r="B15" s="54" t="s">
        <x:v>190</x:v>
      </x:c>
      <x:c r="C15" s="213" t="n">
        <x:f>ROUND($C$14/$C$9,0)*$C$9</x:f>
        <x:v>81000</x:v>
      </x:c>
      <x:c r="D15" s="54" t="s">
        <x:v>150</x:v>
      </x:c>
      <x:c r="E15" s="54" t="s">
        <x:v>191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9.049999237060547" customHeight="1">
      <x:c r="A16" s="54" t="s">
        <x:v>173</x:v>
      </x:c>
      <x:c r="B16" s="54" t="s">
        <x:v>192</x:v>
      </x:c>
      <x:c r="C16" s="217" t="n">
        <x:f>$C$15/$C$8-1</x:f>
        <x:v>0.5428571428571429</x:v>
      </x:c>
      <x:c r="D16" s="54" t="s">
        <x:v>132</x:v>
      </x:c>
      <x:c r="E16" s="54" t="s">
        <x:v>193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9.049999237060547" customHeight="1">
      <x:c r="A17" s="54" t="s">
        <x:v>173</x:v>
      </x:c>
      <x:c r="B17" s="54" t="s">
        <x:v>194</x:v>
      </x:c>
      <x:c r="C17" s="215" t="n">
        <x:f>$C$8/$C$10</x:f>
        <x:v>17.309594460929773</x:v>
      </x:c>
      <x:c r="D17" s="54" t="s">
        <x:v>175</x:v>
      </x:c>
      <x:c r="E17" s="54" t="s">
        <x:v>195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9.049999237060547" customHeight="1">
      <x:c r="A18" s="12"/>
      <x:c r="B18" s="1"/>
      <x:c r="C18" s="1"/>
      <x:c r="D18" s="1"/>
      <x:c r="E18" s="13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9.049999237060547" customHeight="1">
      <x:c r="A19" s="80" t="s">
        <x:v>196</x:v>
      </x:c>
      <x:c r="B19" s="5"/>
      <x:c r="C19" s="5"/>
      <x:c r="D19" s="5"/>
      <x:c r="E19" s="2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9.049999237060547" customHeight="1">
      <x:c r="A20" s="53" t="s">
        <x:v>3</x:v>
      </x:c>
      <x:c r="B20" s="53" t="s">
        <x:v>106</x:v>
      </x:c>
      <x:c r="C20" s="53" t="s">
        <x:v>197</x:v>
      </x:c>
      <x:c r="D20" s="53" t="s">
        <x:v>198</x:v>
      </x:c>
      <x:c r="E20" s="53" t="s">
        <x:v>109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9.049999237060547" customHeight="1">
      <x:c r="A21" s="54" t="s">
        <x:v>199</x:v>
      </x:c>
      <x:c r="B21" s="54" t="s">
        <x:v>200</x:v>
      </x:c>
      <x:c r="C21" s="198" t="n">
        <x:f>$C$15</x:f>
        <x:v>81000</x:v>
      </x:c>
      <x:c r="D21" s="54">
        <x:v>81000</x:v>
      </x:c>
      <x:c r="E21" s="54" t="s">
        <x:v>201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9.049999237060547" customHeight="1">
      <x:c r="A22" s="54" t="s">
        <x:v>199</x:v>
      </x:c>
      <x:c r="B22" s="54" t="s">
        <x:v>202</x:v>
      </x:c>
      <x:c r="C22" s="198" t="n">
        <x:f>$C$16</x:f>
        <x:v>0.5428571428571429</x:v>
      </x:c>
      <x:c r="D22" s="54">
        <x:v>0.54300000000000004</x:v>
      </x:c>
      <x:c r="E22" s="54" t="s">
        <x:v>203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9.049999237060547" customHeight="1">
      <x:c r="A23" s="54" t="s">
        <x:v>204</x:v>
      </x:c>
      <x:c r="B23" s="54" t="s">
        <x:v>205</x:v>
      </x:c>
      <x:c r="C23" s="198" t="n">
        <x:f>'02_p1_Consensus'!$C$8</x:f>
        <x:v>2579</x:v>
      </x:c>
      <x:c r="D23" s="56"/>
      <x:c r="E23" s="54" t="s">
        <x:v>206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9.049999237060547" customHeight="1">
      <x:c r="A24" s="54" t="s">
        <x:v>204</x:v>
      </x:c>
      <x:c r="B24" s="54" t="s">
        <x:v>207</x:v>
      </x:c>
      <x:c r="C24" s="198" t="n">
        <x:f>$C$10/$C$23-1</x:f>
        <x:v>0.17603722373012798</x:v>
      </x:c>
      <x:c r="D24" s="56"/>
      <x:c r="E24" s="54" t="s">
        <x:v>208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9.049999237060547" customHeight="1">
      <x:c r="A25" s="12"/>
      <x:c r="B25" s="1"/>
      <x:c r="C25" s="1"/>
      <x:c r="D25" s="1"/>
      <x:c r="E25" s="13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9.049999237060547" customHeight="1">
      <x:c r="A26" s="153" t="s">
        <x:v>209</x:v>
      </x:c>
      <x:c r="B26" s="148"/>
      <x:c r="C26" s="148"/>
      <x:c r="D26" s="148"/>
      <x:c r="E26" s="154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9.049999237060547" customHeight="1">
      <x:c r="A27" s="150" t="s">
        <x:v>210</x:v>
      </x:c>
      <x:c r="B27" s="151"/>
      <x:c r="C27" s="151"/>
      <x:c r="D27" s="151"/>
      <x:c r="E27" s="152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9.049999237060547" customHeight="1">
      <x:c r="A28" s="52" t="s">
        <x:v>211</x:v>
      </x:c>
      <x:c r="B28" s="5"/>
      <x:c r="C28" s="5"/>
      <x:c r="D28" s="5"/>
      <x:c r="E28" s="5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9.049999237060547" customHeight="1">
      <x:c r="A29" s="53" t="s">
        <x:v>3</x:v>
      </x:c>
      <x:c r="B29" s="53" t="s">
        <x:v>106</x:v>
      </x:c>
      <x:c r="C29" s="53" t="s">
        <x:v>197</x:v>
      </x:c>
      <x:c r="D29" s="53" t="s">
        <x:v>108</x:v>
      </x:c>
      <x:c r="E29" s="53" t="s">
        <x:v>109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9.049999237060547" customHeight="1">
      <x:c r="A30" s="54" t="s">
        <x:v>169</x:v>
      </x:c>
      <x:c r="B30" s="54" t="s">
        <x:v>212</x:v>
      </x:c>
      <x:c r="C30" s="88" t="s">
        <x:v>213</x:v>
      </x:c>
      <x:c r="D30" s="54" t="s">
        <x:v>169</x:v>
      </x:c>
      <x:c r="E30" s="54" t="s">
        <x:v>214</x:v>
      </x:c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9.049999237060547" customHeight="1">
      <x:c r="A31" s="54" t="s">
        <x:v>180</x:v>
      </x:c>
      <x:c r="B31" s="54" t="s">
        <x:v>215</x:v>
      </x:c>
      <x:c r="C31" s="95">
        <x:v>26.58</x:v>
      </x:c>
      <x:c r="D31" s="54" t="s">
        <x:v>175</x:v>
      </x:c>
      <x:c r="E31" s="54" t="s">
        <x:v>216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9.049999237060547" customHeight="1">
      <x:c r="A32" s="54" t="s">
        <x:v>217</x:v>
      </x:c>
      <x:c r="B32" s="54" t="s">
        <x:v>218</x:v>
      </x:c>
      <x:c r="C32" s="89">
        <x:v>26.58</x:v>
      </x:c>
      <x:c r="D32" s="54" t="s">
        <x:v>175</x:v>
      </x:c>
      <x:c r="E32" s="54" t="s">
        <x:v>219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9.049999237060547" customHeight="1">
      <x:c r="A33" s="56"/>
      <x:c r="B33" s="56"/>
      <x:c r="C33" s="96"/>
      <x:c r="D33" s="56"/>
      <x:c r="E33" s="56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9.049999237060547" customHeight="1">
      <x:c r="A34" s="53" t="s">
        <x:v>3</x:v>
      </x:c>
      <x:c r="B34" s="53" t="s">
        <x:v>220</x:v>
      </x:c>
      <x:c r="C34" s="97" t="s">
        <x:v>221</x:v>
      </x:c>
      <x:c r="D34" s="53" t="s">
        <x:v>108</x:v>
      </x:c>
      <x:c r="E34" s="53" t="s">
        <x:v>222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9.049999237060547" customHeight="1">
      <x:c r="A35" s="54" t="s">
        <x:v>223</x:v>
      </x:c>
      <x:c r="B35" s="54" t="s">
        <x:v>224</x:v>
      </x:c>
      <x:c r="C35" s="98">
        <x:v>36</x:v>
      </x:c>
      <x:c r="D35" s="54" t="s">
        <x:v>175</x:v>
      </x:c>
      <x:c r="E35" s="54" t="s">
        <x:v>225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9.049999237060547" customHeight="1">
      <x:c r="A36" s="54" t="s">
        <x:v>223</x:v>
      </x:c>
      <x:c r="B36" s="54" t="s">
        <x:v>226</x:v>
      </x:c>
      <x:c r="C36" s="98">
        <x:v>32</x:v>
      </x:c>
      <x:c r="D36" s="54" t="s">
        <x:v>175</x:v>
      </x:c>
      <x:c r="E36" s="54" t="s">
        <x:v>225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9.049999237060547" customHeight="1">
      <x:c r="A37" s="54" t="s">
        <x:v>223</x:v>
      </x:c>
      <x:c r="B37" s="54" t="s">
        <x:v>227</x:v>
      </x:c>
      <x:c r="C37" s="98">
        <x:v>22.8</x:v>
      </x:c>
      <x:c r="D37" s="54" t="s">
        <x:v>175</x:v>
      </x:c>
      <x:c r="E37" s="54" t="s">
        <x:v>225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9.049999237060547" customHeight="1">
      <x:c r="A38" s="54" t="s">
        <x:v>223</x:v>
      </x:c>
      <x:c r="B38" s="54" t="s">
        <x:v>228</x:v>
      </x:c>
      <x:c r="C38" s="98">
        <x:v>27.1</x:v>
      </x:c>
      <x:c r="D38" s="54" t="s">
        <x:v>175</x:v>
      </x:c>
      <x:c r="E38" s="54" t="s">
        <x:v>225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9.049999237060547" customHeight="1">
      <x:c r="A39" s="54" t="s">
        <x:v>223</x:v>
      </x:c>
      <x:c r="B39" s="54" t="s">
        <x:v>229</x:v>
      </x:c>
      <x:c r="C39" s="98">
        <x:v>15</x:v>
      </x:c>
      <x:c r="D39" s="54" t="s">
        <x:v>175</x:v>
      </x:c>
      <x:c r="E39" s="54" t="s">
        <x:v>225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9.049999237060547" customHeight="1">
      <x:c r="A40" s="54" t="s">
        <x:v>230</x:v>
      </x:c>
      <x:c r="B40" s="54" t="s">
        <x:v>231</x:v>
      </x:c>
      <x:c r="C40" s="95"/>
      <x:c r="D40" s="54" t="s">
        <x:v>175</x:v>
      </x:c>
      <x:c r="E40" s="54" t="s">
        <x:v>232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9.049999237060547" customHeight="1">
      <x:c r="A41" s="54" t="s">
        <x:v>173</x:v>
      </x:c>
      <x:c r="B41" s="54" t="s">
        <x:v>213</x:v>
      </x:c>
      <x:c r="C41" s="215" t="n">
        <x:f>SUM($C$35:$C$40)/COUNT($C$35:$C$40)</x:f>
        <x:v>26.580000000000002</x:v>
      </x:c>
      <x:c r="D41" s="54" t="s">
        <x:v>175</x:v>
      </x:c>
      <x:c r="E41" s="54" t="s">
        <x:v>233</x:v>
      </x:c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9.049999237060547" customHeight="1">
      <x:c r="A42" s="54" t="s">
        <x:v>199</x:v>
      </x:c>
      <x:c r="B42" s="54" t="s">
        <x:v>234</x:v>
      </x:c>
      <x:c r="C42" s="215" t="n">
        <x:f>$C$41-$C$32</x:f>
        <x:v>3.552713678800501e-15</x:v>
      </x:c>
      <x:c r="D42" s="54" t="s">
        <x:v>175</x:v>
      </x:c>
      <x:c r="E42" s="54" t="s">
        <x:v>235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8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8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8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8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8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8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8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8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8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8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8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8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8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8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8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8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8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8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</x:sheetData>
  <x:mergeCells>
    <x:mergeCell ref="A27:E27"/>
    <x:mergeCell ref="A26:E26"/>
  </x:mergeCells>
  <x:dataValidations count="2">
    <x:dataValidation type="list" sqref="C6">
      <x:formula1>"M1 모델 EPS,보고서 원문 EPS"</x:formula1>
    </x:dataValidation>
    <x:dataValidation type="list" sqref="C30">
      <x:formula1>"Peer 평균 P/E,보고서 원문 P/E,직접 입력 P/E"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FC000"/>
  </x:sheetPr>
  <x:sheetViews>
    <x:sheetView showGridLines="0" workbookViewId="0"/>
  </x:sheetViews>
  <x:sheetFormatPr defaultColWidth="8.69921875" defaultRowHeight="17.399999618530273"/>
  <x:cols>
    <x:col min="1" max="1" width="16" customWidth="1"/>
    <x:col min="2" max="6" width="13" customWidth="1"/>
    <x:col min="7" max="26" width="10" customWidth="1"/>
  </x:cols>
  <x:sheetData>
    <x:row r="1" ht="22.049999237060547" customHeight="1">
      <x:c r="A1" s="49" t="s">
        <x:v>236</x:v>
      </x:c>
      <x:c r="B1" s="2"/>
      <x:c r="C1" s="2"/>
      <x:c r="D1" s="2"/>
      <x:c r="E1" s="2"/>
      <x:c r="F1" s="2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0" customHeight="1">
      <x:c r="A2" s="50" t="s">
        <x:v>237</x:v>
      </x:c>
      <x:c r="B2" s="3"/>
      <x:c r="C2" s="3"/>
      <x:c r="D2" s="3"/>
      <x:c r="E2" s="3"/>
      <x:c r="F2" s="3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9.950000762939453" customHeight="1">
      <x:c r="A4" s="52" t="s">
        <x:v>238</x:v>
      </x:c>
      <x:c r="B4" s="5"/>
      <x:c r="C4" s="5"/>
      <x:c r="D4" s="5"/>
      <x:c r="E4" s="5"/>
      <x:c r="F4" s="5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9.950000762939453" customHeight="1">
      <x:c r="A6" s="53" t="s">
        <x:v>239</x:v>
      </x:c>
      <x:c r="B6" s="99" t="n">
        <x:f>'M2_목표주가_타겟멀티플'!$C$7+-2</x:f>
        <x:v>24.580000000000002</x:v>
      </x:c>
      <x:c r="C6" s="99" t="n">
        <x:f>'M2_목표주가_타겟멀티플'!$C$7+-1</x:f>
        <x:v>25.580000000000002</x:v>
      </x:c>
      <x:c r="D6" s="99" t="n">
        <x:f>'M2_목표주가_타겟멀티플'!$C$7+0</x:f>
        <x:v>26.580000000000002</x:v>
      </x:c>
      <x:c r="E6" s="99" t="n">
        <x:f>'M2_목표주가_타겟멀티플'!$C$7+1</x:f>
        <x:v>27.580000000000002</x:v>
      </x:c>
      <x:c r="F6" s="99" t="n">
        <x:f>'M2_목표주가_타겟멀티플'!$C$7+2</x:f>
        <x:v>28.580000000000002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8" customHeight="1">
      <x:c r="A7" s="100" t="n">
        <x:f>'M2_목표주가_타겟멀티플'!$C$10*(1+-0.1)</x:f>
        <x:v>2729.7000000000003</x:v>
      </x:c>
      <x:c r="B7" s="93" t="n">
        <x:f t="shared" ref="B7:F8" si="0">$A7*B$6</x:f>
        <x:v>67096.02600000001</x:v>
      </x:c>
      <x:c r="C7" s="93">
        <x:f t="shared" si="0"/>
        <x:v>69825.72600000001</x:v>
      </x:c>
      <x:c r="D7" s="93">
        <x:f t="shared" si="0"/>
        <x:v>72555.426000000007</x:v>
      </x:c>
      <x:c r="E7" s="93">
        <x:f t="shared" si="0"/>
        <x:v>75285.126000000018</x:v>
      </x:c>
      <x:c r="F7" s="93">
        <x:f t="shared" si="0"/>
        <x:v>78014.826000000015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8" customHeight="1">
      <x:c r="A8" s="100" t="n">
        <x:f>'M2_목표주가_타겟멀티플'!$C$10*(1+-0.05)</x:f>
        <x:v>2881.35</x:v>
      </x:c>
      <x:c r="B8" s="93">
        <x:f t="shared" si="0"/>
        <x:v>70823.582999999999</x:v>
      </x:c>
      <x:c r="C8" s="93">
        <x:f t="shared" si="0"/>
        <x:v>73704.933000000005</x:v>
      </x:c>
      <x:c r="D8" s="93">
        <x:f t="shared" si="0"/>
        <x:v>76586.282999999996</x:v>
      </x:c>
      <x:c r="E8" s="93">
        <x:f t="shared" si="0"/>
        <x:v>79467.633000000002</x:v>
      </x:c>
      <x:c r="F8" s="93">
        <x:f t="shared" si="0"/>
        <x:v>82348.983000000007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8" customHeight="1">
      <x:c r="A9" s="100" t="n">
        <x:f>'M2_목표주가_타겟멀티플'!$C$10*(1+0)</x:f>
        <x:v>3033</x:v>
      </x:c>
      <x:c r="B9" s="93" t="n">
        <x:f t="shared" ref="B9:C11" si="1">$A9*B$6</x:f>
        <x:v>74551.14</x:v>
      </x:c>
      <x:c r="C9" s="93">
        <x:f t="shared" si="1"/>
        <x:v>77584.14</x:v>
      </x:c>
      <x:c r="D9" s="101" t="n">
        <x:f>'M2_목표주가_타겟멀티플'!$C$10*'M2_목표주가_타겟멀티플'!$C$7</x:f>
        <x:v>80617.14</x:v>
      </x:c>
      <x:c r="E9" s="93" t="n">
        <x:f t="shared" ref="E9:F11" si="2">$A9*E$6</x:f>
        <x:v>83650.14</x:v>
      </x:c>
      <x:c r="F9" s="93">
        <x:f t="shared" si="2"/>
        <x:v>86683.14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8" customHeight="1">
      <x:c r="A10" s="100" t="n">
        <x:f>'M2_목표주가_타겟멀티플'!$C$10*(1+0.05)</x:f>
        <x:v>3184.65</x:v>
      </x:c>
      <x:c r="B10" s="93">
        <x:f t="shared" si="1"/>
        <x:v>78278.697000000015</x:v>
      </x:c>
      <x:c r="C10" s="93">
        <x:f t="shared" si="1"/>
        <x:v>81463.347000000009</x:v>
      </x:c>
      <x:c r="D10" s="93" t="n">
        <x:f>$A10*D$6</x:f>
        <x:v>84647.997</x:v>
      </x:c>
      <x:c r="E10" s="93">
        <x:f t="shared" si="2"/>
        <x:v>87832.647000000012</x:v>
      </x:c>
      <x:c r="F10" s="93">
        <x:f t="shared" si="2"/>
        <x:v>91017.297000000006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8" customHeight="1">
      <x:c r="A11" s="100" t="n">
        <x:f>'M2_목표주가_타겟멀티플'!$C$10*(1+0.1)</x:f>
        <x:v>3336.3</x:v>
      </x:c>
      <x:c r="B11" s="93">
        <x:f t="shared" si="1"/>
        <x:v>82006.254000000015</x:v>
      </x:c>
      <x:c r="C11" s="93">
        <x:f t="shared" si="1"/>
        <x:v>85342.554000000004</x:v>
      </x:c>
      <x:c r="D11" s="93" t="n">
        <x:f>$A11*D$6</x:f>
        <x:v>88678.854</x:v>
      </x:c>
      <x:c r="E11" s="93">
        <x:f t="shared" si="2"/>
        <x:v>92015.15400000001</x:v>
      </x:c>
      <x:c r="F11" s="93">
        <x:f t="shared" si="2"/>
        <x:v>95351.454000000012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8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8.049999237060547" customHeight="1">
      <x:c r="A13" s="155" t="s">
        <x:v>240</x:v>
      </x:c>
      <x:c r="B13" s="148"/>
      <x:c r="C13" s="148"/>
      <x:c r="D13" s="148"/>
      <x:c r="E13" s="148"/>
      <x:c r="F13" s="148"/>
      <x:c r="G13" s="148"/>
      <x:c r="H13" s="148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8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8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8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8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8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8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8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8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8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8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8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8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8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8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8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8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8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8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8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8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8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8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</x:sheetData>
  <x:mergeCells>
    <x:mergeCell ref="A13:H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6E6A"/>
  </x:sheetPr>
  <x:sheetViews>
    <x:sheetView showGridLines="0" workbookViewId="0"/>
  </x:sheetViews>
  <x:sheetFormatPr defaultColWidth="8.69921875" defaultRowHeight="17.399999618530273"/>
  <x:cols>
    <x:col min="1" max="1" width="28" customWidth="1"/>
    <x:col min="2" max="2" width="16" customWidth="1"/>
    <x:col min="3" max="3" width="32" customWidth="1"/>
    <x:col min="4" max="4" width="12" customWidth="1"/>
    <x:col min="5" max="5" width="35" customWidth="1"/>
    <x:col min="6" max="6" width="12" customWidth="1"/>
    <x:col min="7" max="26" width="10" customWidth="1"/>
  </x:cols>
  <x:sheetData>
    <x:row r="1" ht="24" customHeight="1">
      <x:c r="A1" s="157" t="s">
        <x:v>241</x:v>
      </x:c>
      <x:c r="B1" s="148"/>
      <x:c r="C1" s="148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6"/>
    </x:row>
    <x:row r="2" ht="18" customHeight="1">
      <x:c r="A2" s="161" t="s">
        <x:v>242</x:v>
      </x:c>
      <x:c r="B2" s="148"/>
      <x:c r="C2" s="148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28"/>
    </x:row>
    <x:row r="3" ht="18" customHeight="1">
      <x:c r="A3" s="85"/>
      <x:c r="B3" s="85"/>
      <x:c r="C3" s="85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3"/>
    </x:row>
    <x:row r="4" ht="19.950000762939453" customHeight="1">
      <x:c r="A4" s="158" t="s">
        <x:v>243</x:v>
      </x:c>
      <x:c r="B4" s="159"/>
      <x:c r="C4" s="160"/>
      <x:c r="D4" s="5"/>
      <x:c r="E4" s="5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3"/>
    </x:row>
    <x:row r="5" ht="19.950000762939453" customHeight="1">
      <x:c r="A5" s="102" t="s">
        <x:v>106</x:v>
      </x:c>
      <x:c r="B5" s="102" t="s">
        <x:v>197</x:v>
      </x:c>
      <x:c r="C5" s="102" t="s">
        <x:v>109</x:v>
      </x:c>
      <x:c r="D5" s="7"/>
      <x:c r="E5" s="8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3"/>
    </x:row>
    <x:row r="6" ht="18" customHeight="1">
      <x:c r="A6" s="103" t="s">
        <x:v>244</x:v>
      </x:c>
      <x:c r="B6" s="224" t="str">
        <x:f>'_REFLO_BRIDGE'!$B$10</x:f>
        <x:v>BUY (유지)</x:v>
      </x:c>
      <x:c r="C6" s="103" t="s">
        <x:v>245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3"/>
    </x:row>
    <x:row r="7" ht="18" customHeight="1">
      <x:c r="A7" s="103" t="s">
        <x:v>246</x:v>
      </x:c>
      <x:c r="B7" s="225" t="n">
        <x:f>'M2_목표주가_타겟멀티플'!$C$15</x:f>
        <x:v>81000</x:v>
      </x:c>
      <x:c r="C7" s="103" t="s">
        <x:v>247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3"/>
    </x:row>
    <x:row r="8" ht="18" customHeight="1">
      <x:c r="A8" s="103" t="s">
        <x:v>248</x:v>
      </x:c>
      <x:c r="B8" s="225" t="n">
        <x:f>'_REFLO_BRIDGE'!$B$15</x:f>
        <x:v>52500</x:v>
      </x:c>
      <x:c r="C8" s="103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3"/>
    </x:row>
    <x:row r="9" ht="18" customHeight="1">
      <x:c r="A9" s="85"/>
      <x:c r="B9" s="85"/>
      <x:c r="C9" s="85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3"/>
    </x:row>
    <x:row r="10" ht="19.950000762939453" customHeight="1">
      <x:c r="A10" s="156" t="s">
        <x:v>249</x:v>
      </x:c>
      <x:c r="B10" s="148"/>
      <x:c r="C10" s="148"/>
      <x:c r="D10" s="5"/>
      <x:c r="E10" s="5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3"/>
    </x:row>
    <x:row r="11" ht="19.950000762939453" customHeight="1">
      <x:c r="A11" s="156" t="s">
        <x:v>250</x:v>
      </x:c>
      <x:c r="B11" s="148"/>
      <x:c r="C11" s="148"/>
      <x:c r="D11" s="7"/>
      <x:c r="E11" s="8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3"/>
    </x:row>
    <x:row r="12" ht="18" customHeight="1">
      <x:c r="A12" s="85"/>
      <x:c r="B12" s="85"/>
      <x:c r="C12" s="85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3"/>
    </x:row>
    <x:row r="13" ht="18" customHeight="1">
      <x:c r="A13" s="85"/>
      <x:c r="B13" s="85"/>
      <x:c r="C13" s="85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3"/>
    </x:row>
    <x:row r="14" ht="18" customHeight="1">
      <x:c r="A14" s="85"/>
      <x:c r="B14" s="85"/>
      <x:c r="C14" s="85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3"/>
    </x:row>
    <x:row r="15" ht="18" customHeight="1">
      <x:c r="A15" s="85"/>
      <x:c r="B15" s="85"/>
      <x:c r="C15" s="85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3"/>
    </x:row>
    <x:row r="16" ht="19.950000762939453" customHeight="1">
      <x:c r="A16" s="85"/>
      <x:c r="B16" s="85"/>
      <x:c r="C16" s="85"/>
      <x:c r="D16" s="5"/>
      <x:c r="E16" s="5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3"/>
    </x:row>
    <x:row r="17" ht="19.950000762939453" customHeight="1">
      <x:c r="A17" s="85"/>
      <x:c r="B17" s="85"/>
      <x:c r="C17" s="85"/>
      <x:c r="D17" s="7"/>
      <x:c r="E17" s="8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3"/>
    </x:row>
    <x:row r="18" ht="18" customHeight="1">
      <x:c r="A18" s="85"/>
      <x:c r="B18" s="85"/>
      <x:c r="C18" s="85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3"/>
    </x:row>
    <x:row r="19" ht="18" customHeight="1">
      <x:c r="A19" s="85"/>
      <x:c r="B19" s="85"/>
      <x:c r="C19" s="85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3"/>
    </x:row>
    <x:row r="20" ht="18" customHeight="1">
      <x:c r="A20" s="85"/>
      <x:c r="B20" s="85"/>
      <x:c r="C20" s="85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3"/>
    </x:row>
    <x:row r="21" ht="18" customHeight="1">
      <x:c r="A21" s="85"/>
      <x:c r="B21" s="85"/>
      <x:c r="C21" s="85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3"/>
    </x:row>
    <x:row r="22" ht="18" customHeight="1">
      <x:c r="A22" s="85"/>
      <x:c r="B22" s="85"/>
      <x:c r="C22" s="85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3"/>
    </x:row>
    <x:row r="23" ht="18" customHeight="1">
      <x:c r="A23" s="85"/>
      <x:c r="B23" s="85"/>
      <x:c r="C23" s="85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3"/>
    </x:row>
    <x:row r="24" ht="18" customHeight="1">
      <x:c r="A24" s="85"/>
      <x:c r="B24" s="85"/>
      <x:c r="C24" s="85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3"/>
    </x:row>
    <x:row r="25" ht="18" customHeight="1">
      <x:c r="A25" s="85"/>
      <x:c r="B25" s="85"/>
      <x:c r="C25" s="85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3"/>
    </x:row>
    <x:row r="26" ht="18" customHeight="1">
      <x:c r="A26" s="85"/>
      <x:c r="B26" s="85"/>
      <x:c r="C26" s="85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3"/>
    </x:row>
    <x:row r="27" ht="18" customHeight="1">
      <x:c r="A27" s="85"/>
      <x:c r="B27" s="85"/>
      <x:c r="C27" s="85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3"/>
    </x:row>
    <x:row r="28" ht="18" customHeight="1">
      <x:c r="A28" s="85"/>
      <x:c r="B28" s="85"/>
      <x:c r="C28" s="85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3"/>
    </x:row>
    <x:row r="29" ht="18" customHeight="1">
      <x:c r="A29" s="85"/>
      <x:c r="B29" s="85"/>
      <x:c r="C29" s="85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3"/>
    </x:row>
    <x:row r="30" ht="18" customHeight="1">
      <x:c r="A30" s="85"/>
      <x:c r="B30" s="85"/>
      <x:c r="C30" s="8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3"/>
    </x:row>
    <x:row r="31" ht="18" customHeight="1">
      <x:c r="A31" s="12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3"/>
    </x:row>
    <x:row r="32" ht="18" customHeight="1">
      <x:c r="A32" s="12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3"/>
    </x:row>
    <x:row r="33" ht="18" customHeight="1">
      <x:c r="A33" s="12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3"/>
    </x:row>
    <x:row r="34" ht="18" customHeight="1">
      <x:c r="A34" s="12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3"/>
    </x:row>
    <x:row r="35" ht="18" customHeight="1">
      <x:c r="A35" s="12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3"/>
    </x:row>
    <x:row r="36" ht="18" customHeight="1">
      <x:c r="A36" s="12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3"/>
    </x:row>
    <x:row r="37" ht="18" customHeight="1">
      <x:c r="A37" s="12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3"/>
    </x:row>
    <x:row r="38" ht="18" customHeight="1">
      <x:c r="A38" s="12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3"/>
    </x:row>
    <x:row r="39" ht="18" customHeight="1">
      <x:c r="A39" s="12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3"/>
    </x:row>
    <x:row r="40" ht="18" customHeight="1">
      <x:c r="A40" s="12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3"/>
    </x:row>
    <x:row r="41" ht="18" customHeight="1">
      <x:c r="A41" s="12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3"/>
    </x:row>
    <x:row r="42" ht="18" customHeight="1">
      <x:c r="A42" s="12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3"/>
    </x:row>
    <x:row r="43" ht="18" customHeight="1">
      <x:c r="A43" s="12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3"/>
    </x:row>
    <x:row r="44" ht="18" customHeight="1">
      <x:c r="A44" s="12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3"/>
    </x:row>
    <x:row r="45" ht="18" customHeight="1">
      <x:c r="A45" s="12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3"/>
    </x:row>
    <x:row r="46" ht="18" customHeight="1">
      <x:c r="A46" s="12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3"/>
    </x:row>
    <x:row r="47" ht="18" customHeight="1">
      <x:c r="A47" s="12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3"/>
    </x:row>
    <x:row r="48" ht="18" customHeight="1">
      <x:c r="A48" s="12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3"/>
    </x:row>
    <x:row r="49" ht="18" customHeight="1">
      <x:c r="A49" s="12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3"/>
    </x:row>
    <x:row r="50" ht="18" customHeight="1">
      <x:c r="A50" s="12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3"/>
    </x:row>
    <x:row r="51" ht="18" customHeight="1">
      <x:c r="A51" s="12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3"/>
    </x:row>
    <x:row r="52" ht="18" customHeight="1">
      <x:c r="A52" s="12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3"/>
    </x:row>
    <x:row r="53" ht="18" customHeight="1">
      <x:c r="A53" s="12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3"/>
    </x:row>
    <x:row r="54" ht="18" customHeight="1">
      <x:c r="A54" s="12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3"/>
    </x:row>
    <x:row r="55" ht="18" customHeight="1">
      <x:c r="A55" s="12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3"/>
    </x:row>
    <x:row r="56" ht="18" customHeight="1">
      <x:c r="A56" s="12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3"/>
    </x:row>
    <x:row r="57" ht="18" customHeight="1">
      <x:c r="A57" s="12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3"/>
    </x:row>
    <x:row r="58" ht="18" customHeight="1">
      <x:c r="A58" s="12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3"/>
    </x:row>
    <x:row r="59" ht="18" customHeight="1">
      <x:c r="A59" s="12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3"/>
    </x:row>
    <x:row r="60" ht="18" customHeight="1">
      <x:c r="A60" s="9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</x:sheetData>
  <x:mergeCells>
    <x:mergeCell ref="A10:C10"/>
    <x:mergeCell ref="A11:C11"/>
    <x:mergeCell ref="A1:C1"/>
    <x:mergeCell ref="A4:C4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7.399999618530273"/>
  <x:cols>
    <x:col min="1" max="1" width="28" customWidth="1"/>
    <x:col min="2" max="2" width="16" customWidth="1"/>
    <x:col min="3" max="3" width="28" customWidth="1"/>
  </x:cols>
  <x:sheetData>
    <x:row r="1" ht="24" customHeight="1">
      <x:c r="A1" s="157" t="s">
        <x:v>251</x:v>
      </x:c>
      <x:c r="B1" s="148"/>
      <x:c r="C1" s="148"/>
    </x:row>
    <x:row r="2" ht="18" customHeight="1">
      <x:c r="A2" s="161" t="s">
        <x:v>242</x:v>
      </x:c>
      <x:c r="B2" s="148"/>
      <x:c r="C2" s="148"/>
    </x:row>
    <x:row r="4">
      <x:c r="A4" s="158" t="s">
        <x:v>252</x:v>
      </x:c>
      <x:c r="B4" s="159"/>
      <x:c r="C4" s="160"/>
    </x:row>
    <x:row r="5">
      <x:c r="A5" s="102" t="s">
        <x:v>106</x:v>
      </x:c>
      <x:c r="B5" s="102" t="s">
        <x:v>197</x:v>
      </x:c>
      <x:c r="C5" s="102" t="s">
        <x:v>108</x:v>
      </x:c>
    </x:row>
    <x:row r="6">
      <x:c r="A6" s="106" t="s">
        <x:v>253</x:v>
      </x:c>
      <x:c r="B6" s="226" t="n">
        <x:f>'_REFLO_BRIDGE'!$B$16</x:f>
        <x:v>5221.25</x:v>
      </x:c>
      <x:c r="C6" s="106" t="s">
        <x:v>254</x:v>
      </x:c>
    </x:row>
    <x:row r="7">
      <x:c r="A7" s="106" t="s">
        <x:v>255</x:v>
      </x:c>
      <x:c r="B7" s="227" t="n">
        <x:f>'_REFLO_BRIDGE'!$B$17</x:f>
        <x:v>54500</x:v>
      </x:c>
      <x:c r="C7" s="106" t="s">
        <x:v>150</x:v>
      </x:c>
    </x:row>
    <x:row r="8">
      <x:c r="A8" s="106" t="s">
        <x:v>256</x:v>
      </x:c>
      <x:c r="B8" s="227" t="n">
        <x:f>'_REFLO_BRIDGE'!$B$18</x:f>
        <x:v>13120</x:v>
      </x:c>
      <x:c r="C8" s="106" t="s">
        <x:v>150</x:v>
      </x:c>
    </x:row>
    <x:row r="9">
      <x:c r="A9" s="106" t="s">
        <x:v>257</x:v>
      </x:c>
      <x:c r="B9" s="228" t="n">
        <x:f>'_REFLO_BRIDGE'!$B$19</x:f>
        <x:v>2594.4</x:v>
      </x:c>
      <x:c r="C9" s="106" t="s">
        <x:v>146</x:v>
      </x:c>
    </x:row>
    <x:row r="10">
      <x:c r="A10" s="106" t="s">
        <x:v>258</x:v>
      </x:c>
      <x:c r="B10" s="229" t="n">
        <x:f>'_REFLO_BRIDGE'!$B$20</x:f>
        <x:v>0.0006</x:v>
      </x:c>
      <x:c r="C10" s="106" t="s">
        <x:v>132</x:v>
      </x:c>
    </x:row>
    <x:row r="11">
      <x:c r="A11" s="106" t="s">
        <x:v>110</x:v>
      </x:c>
      <x:c r="B11" s="228" t="n">
        <x:f>'_REFLO_BRIDGE'!$B$21</x:f>
        <x:v>49416.9</x:v>
      </x:c>
      <x:c r="C11" s="106" t="s">
        <x:v>111</x:v>
      </x:c>
    </x:row>
    <x:row r="12">
      <x:c r="A12" s="106" t="s">
        <x:v>259</x:v>
      </x:c>
      <x:c r="B12" s="228" t="n">
        <x:f>'_REFLO_BRIDGE'!$B$22</x:f>
        <x:v>1560.2</x:v>
      </x:c>
      <x:c r="C12" s="106" t="s">
        <x:v>111</x:v>
      </x:c>
    </x:row>
    <x:row r="13">
      <x:c r="A13" s="106" t="s">
        <x:v>260</x:v>
      </x:c>
      <x:c r="B13" s="228" t="n">
        <x:f>'_REFLO_BRIDGE'!$B$23</x:f>
        <x:v>74.2</x:v>
      </x:c>
      <x:c r="C13" s="106" t="s">
        <x:v>146</x:v>
      </x:c>
    </x:row>
    <x:row r="14">
      <x:c r="A14" s="106" t="s">
        <x:v>261</x:v>
      </x:c>
      <x:c r="B14" s="229" t="n">
        <x:f>'_REFLO_BRIDGE'!$B$24</x:f>
        <x:v>0.1801</x:v>
      </x:c>
      <x:c r="C14" s="106" t="s">
        <x:v>132</x:v>
      </x:c>
    </x:row>
    <x:row r="16">
      <x:c r="A16" s="158" t="s">
        <x:v>262</x:v>
      </x:c>
      <x:c r="B16" s="159"/>
      <x:c r="C16" s="160"/>
    </x:row>
    <x:row r="17">
      <x:c r="A17" s="102" t="s">
        <x:v>263</x:v>
      </x:c>
      <x:c r="B17" s="102" t="s">
        <x:v>264</x:v>
      </x:c>
      <x:c r="C17" s="102" t="s">
        <x:v>109</x:v>
      </x:c>
    </x:row>
    <x:row r="18">
      <x:c r="A18" s="230" t="str">
        <x:f>'_REFLO_BRIDGE'!$A$28</x:f>
        <x:v>대덕 외 5인</x:v>
      </x:c>
      <x:c r="B18" s="229" t="n">
        <x:f>'_REFLO_BRIDGE'!$B$28</x:f>
        <x:v>0.3276</x:v>
      </x:c>
      <x:c r="C18" s="106"/>
    </x:row>
    <x:row r="19">
      <x:c r="A19" s="230" t="str">
        <x:f>'_REFLO_BRIDGE'!$A$29</x:f>
        <x:v>국민연금공단</x:v>
      </x:c>
      <x:c r="B19" s="229" t="n">
        <x:f>'_REFLO_BRIDGE'!$B$29</x:f>
        <x:v>0.1203</x:v>
      </x:c>
      <x:c r="C19" s="106"/>
    </x:row>
    <x:row r="21">
      <x:c r="A21" s="148" t="s">
        <x:v>249</x:v>
      </x:c>
      <x:c r="B21" s="148"/>
      <x:c r="C21" s="148"/>
    </x:row>
    <x:row r="22">
      <x:c r="A22" s="148" t="s">
        <x:v>265</x:v>
      </x:c>
      <x:c r="B22" s="148"/>
      <x:c r="C22" s="148"/>
    </x:row>
  </x:sheetData>
  <x:mergeCells>
    <x:mergeCell ref="A1:C1"/>
    <x:mergeCell ref="A16:C16"/>
    <x:mergeCell ref="A22:C22"/>
    <x:mergeCell ref="A21:C21"/>
    <x:mergeCell ref="A4:C4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F6E6A"/>
  </x:sheetPr>
  <x:sheetViews>
    <x:sheetView showGridLines="0" workbookViewId="0"/>
  </x:sheetViews>
  <x:sheetFormatPr defaultColWidth="8.69921875" defaultRowHeight="17.399999618530273"/>
  <x:cols>
    <x:col min="1" max="1" width="24" customWidth="1"/>
    <x:col min="2" max="4" width="12" customWidth="1"/>
    <x:col min="5" max="5" width="35" customWidth="1"/>
    <x:col min="6" max="6" width="12" customWidth="1"/>
    <x:col min="7" max="26" width="10" customWidth="1"/>
  </x:cols>
  <x:sheetData>
    <x:row r="1" ht="22.049999237060547" customHeight="1">
      <x:c r="A1" s="111" t="s">
        <x:v>266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6"/>
    </x:row>
    <x:row r="2" ht="18" customHeight="1">
      <x:c r="A2" s="112" t="s">
        <x:v>267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28"/>
    </x:row>
    <x:row r="3" ht="18" customHeight="1">
      <x:c r="A3" s="12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3"/>
    </x:row>
    <x:row r="4" ht="19.950000762939453" customHeight="1">
      <x:c r="A4" s="73" t="s">
        <x:v>106</x:v>
      </x:c>
      <x:c r="B4" s="73" t="s">
        <x:v>122</x:v>
      </x:c>
      <x:c r="C4" s="73" t="s">
        <x:v>268</x:v>
      </x:c>
      <x:c r="D4" s="73" t="s">
        <x:v>109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3"/>
    </x:row>
    <x:row r="5" ht="19.950000762939453" customHeight="1">
      <x:c r="A5" s="53" t="s">
        <x:v>269</x:v>
      </x:c>
      <x:c r="B5" s="231" t="n">
        <x:f>'_REFLO_BRIDGE'!$N$5</x:f>
        <x:v>1049.6</x:v>
      </x:c>
      <x:c r="C5" s="231" t="n">
        <x:f>'_REFLO_BRIDGE'!$O$5</x:f>
        <x:v>1353.9</x:v>
      </x:c>
      <x:c r="D5" s="114"/>
      <x:c r="E5" s="8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3"/>
    </x:row>
    <x:row r="6" ht="18" customHeight="1">
      <x:c r="A6" s="54" t="s">
        <x:v>270</x:v>
      </x:c>
      <x:c r="B6" s="198" t="n">
        <x:f>'_REFLO_BRIDGE'!$N$6</x:f>
        <x:v>47</x:v>
      </x:c>
      <x:c r="C6" s="198" t="n">
        <x:f>'_REFLO_BRIDGE'!$O$6</x:f>
        <x:v>155.9</x:v>
      </x:c>
      <x:c r="D6" s="56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3"/>
    </x:row>
    <x:row r="7" ht="18" customHeight="1">
      <x:c r="A7" s="54" t="s">
        <x:v>271</x:v>
      </x:c>
      <x:c r="B7" s="198" t="n">
        <x:f>'_REFLO_BRIDGE'!$N$7</x:f>
        <x:v>45.6</x:v>
      </x:c>
      <x:c r="C7" s="198" t="n">
        <x:f>'_REFLO_BRIDGE'!$O$7</x:f>
        <x:v>133.9</x:v>
      </x:c>
      <x:c r="D7" s="56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3"/>
    </x:row>
    <x:row r="8" ht="18" customHeight="1">
      <x:c r="A8" s="54" t="s">
        <x:v>272</x:v>
      </x:c>
      <x:c r="B8" s="198" t="n">
        <x:f>'_REFLO_BRIDGE'!$N$8</x:f>
        <x:v>887</x:v>
      </x:c>
      <x:c r="C8" s="198" t="n">
        <x:f>'_REFLO_BRIDGE'!$O$8</x:f>
        <x:v>2579</x:v>
      </x:c>
      <x:c r="D8" s="56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3"/>
    </x:row>
    <x:row r="9" ht="18" customHeight="1">
      <x:c r="A9" s="54" t="s">
        <x:v>273</x:v>
      </x:c>
      <x:c r="B9" s="198" t="n">
        <x:f>'_REFLO_BRIDGE'!$N$9</x:f>
        <x:v>17520</x:v>
      </x:c>
      <x:c r="C9" s="198" t="n">
        <x:f>'_REFLO_BRIDGE'!$O$9</x:f>
        <x:v>19891</x:v>
      </x:c>
      <x:c r="D9" s="56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3"/>
    </x:row>
    <x:row r="10" ht="19.950000762939453" customHeight="1">
      <x:c r="A10" s="20"/>
      <x:c r="B10" s="5"/>
      <x:c r="C10" s="5"/>
      <x:c r="D10" s="5"/>
      <x:c r="E10" s="5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3"/>
    </x:row>
    <x:row r="11" ht="19.950000762939453" customHeight="1">
      <x:c r="A11" s="162" t="s">
        <x:v>274</x:v>
      </x:c>
      <x:c r="B11" s="163"/>
      <x:c r="C11" s="163"/>
      <x:c r="D11" s="163"/>
      <x:c r="E11" s="8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3"/>
    </x:row>
    <x:row r="12" ht="18" customHeight="1">
      <x:c r="A12" s="116" t="s">
        <x:v>275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3"/>
    </x:row>
    <x:row r="13" ht="18" customHeight="1">
      <x:c r="A13" s="54" t="s">
        <x:v>106</x:v>
      </x:c>
      <x:c r="B13" s="54" t="s">
        <x:v>122</x:v>
      </x:c>
      <x:c r="C13" s="54" t="s">
        <x:v>268</x:v>
      </x:c>
      <x:c r="D13" s="54" t="s">
        <x:v>109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3"/>
    </x:row>
    <x:row r="14" ht="18" customHeight="1">
      <x:c r="A14" s="54" t="s">
        <x:v>276</x:v>
      </x:c>
      <x:c r="B14" s="117" t="n">
        <x:f>'12_p4_손익계산서'!D5/B5-1</x:f>
        <x:v>0.014958079268292623</x:v>
      </x:c>
      <x:c r="C14" s="117" t="n">
        <x:f>'12_p4_손익계산서'!E5/C5-1</x:f>
        <x:v>0.09720067951842815</x:v>
      </x:c>
      <x:c r="D14" s="56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3"/>
    </x:row>
    <x:row r="15" ht="18" customHeight="1">
      <x:c r="A15" s="54" t="s">
        <x:v>277</x:v>
      </x:c>
      <x:c r="B15" s="117" t="n">
        <x:f>'14_p4_투자지표'!D6/B8-1</x:f>
        <x:v>0.06764374295377684</x:v>
      </x:c>
      <x:c r="C15" s="117" t="n">
        <x:f>'14_p4_투자지표'!E6/C8-1</x:f>
        <x:v>0.17603722373012798</x:v>
      </x:c>
      <x:c r="D15" s="56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3"/>
    </x:row>
    <x:row r="16" ht="19.950000762939453" customHeight="1">
      <x:c r="A16" s="20"/>
      <x:c r="B16" s="5"/>
      <x:c r="C16" s="5"/>
      <x:c r="D16" s="5"/>
      <x:c r="E16" s="5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3"/>
    </x:row>
    <x:row r="17" ht="19.950000762939453" customHeight="1">
      <x:c r="A17" s="6"/>
      <x:c r="B17" s="7"/>
      <x:c r="C17" s="7"/>
      <x:c r="D17" s="7"/>
      <x:c r="E17" s="8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3"/>
    </x:row>
    <x:row r="18" ht="18" customHeight="1">
      <x:c r="A18" s="12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3"/>
    </x:row>
    <x:row r="19" ht="18" customHeight="1">
      <x:c r="A19" s="12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3"/>
    </x:row>
    <x:row r="20" ht="18" customHeight="1">
      <x:c r="A20" s="12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3"/>
    </x:row>
    <x:row r="21" ht="18" customHeight="1">
      <x:c r="A21" s="12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3"/>
    </x:row>
    <x:row r="22" ht="18" customHeight="1">
      <x:c r="A22" s="12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3"/>
    </x:row>
    <x:row r="23" ht="18" customHeight="1">
      <x:c r="A23" s="12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3"/>
    </x:row>
    <x:row r="24" ht="18" customHeight="1">
      <x:c r="A24" s="12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3"/>
    </x:row>
    <x:row r="25" ht="18" customHeight="1">
      <x:c r="A25" s="12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3"/>
    </x:row>
    <x:row r="26" ht="18" customHeight="1">
      <x:c r="A26" s="12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3"/>
    </x:row>
    <x:row r="27" ht="18" customHeight="1">
      <x:c r="A27" s="12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3"/>
    </x:row>
    <x:row r="28" ht="18" customHeight="1">
      <x:c r="A28" s="12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3"/>
    </x:row>
    <x:row r="29" ht="18" customHeight="1">
      <x:c r="A29" s="12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3"/>
    </x:row>
    <x:row r="30" ht="18" customHeight="1">
      <x:c r="A30" s="12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3"/>
    </x:row>
    <x:row r="31" ht="18" customHeight="1">
      <x:c r="A31" s="12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3"/>
    </x:row>
    <x:row r="32" ht="18" customHeight="1">
      <x:c r="A32" s="12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3"/>
    </x:row>
    <x:row r="33" ht="18" customHeight="1">
      <x:c r="A33" s="12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3"/>
    </x:row>
    <x:row r="34" ht="18" customHeight="1">
      <x:c r="A34" s="12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3"/>
    </x:row>
    <x:row r="35" ht="18" customHeight="1">
      <x:c r="A35" s="12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3"/>
    </x:row>
    <x:row r="36" ht="18" customHeight="1">
      <x:c r="A36" s="12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3"/>
    </x:row>
    <x:row r="37" ht="18" customHeight="1">
      <x:c r="A37" s="12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3"/>
    </x:row>
    <x:row r="38" ht="18" customHeight="1">
      <x:c r="A38" s="12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3"/>
    </x:row>
    <x:row r="39" ht="18" customHeight="1">
      <x:c r="A39" s="12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3"/>
    </x:row>
    <x:row r="40" ht="18" customHeight="1">
      <x:c r="A40" s="12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3"/>
    </x:row>
    <x:row r="41" ht="18" customHeight="1">
      <x:c r="A41" s="12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3"/>
    </x:row>
    <x:row r="42" ht="18" customHeight="1">
      <x:c r="A42" s="12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3"/>
    </x:row>
    <x:row r="43" ht="18" customHeight="1">
      <x:c r="A43" s="12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3"/>
    </x:row>
    <x:row r="44" ht="18" customHeight="1">
      <x:c r="A44" s="12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3"/>
    </x:row>
    <x:row r="45" ht="18" customHeight="1">
      <x:c r="A45" s="12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3"/>
    </x:row>
    <x:row r="46" ht="18" customHeight="1">
      <x:c r="A46" s="12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3"/>
    </x:row>
    <x:row r="47" ht="18" customHeight="1">
      <x:c r="A47" s="12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3"/>
    </x:row>
    <x:row r="48" ht="18" customHeight="1">
      <x:c r="A48" s="12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3"/>
    </x:row>
    <x:row r="49" ht="18" customHeight="1">
      <x:c r="A49" s="12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3"/>
    </x:row>
    <x:row r="50" ht="18" customHeight="1">
      <x:c r="A50" s="12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3"/>
    </x:row>
    <x:row r="51" ht="18" customHeight="1">
      <x:c r="A51" s="12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3"/>
    </x:row>
    <x:row r="52" ht="18" customHeight="1">
      <x:c r="A52" s="12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3"/>
    </x:row>
    <x:row r="53" ht="18" customHeight="1">
      <x:c r="A53" s="12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3"/>
    </x:row>
    <x:row r="54" ht="18" customHeight="1">
      <x:c r="A54" s="12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3"/>
    </x:row>
    <x:row r="55" ht="18" customHeight="1">
      <x:c r="A55" s="12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3"/>
    </x:row>
    <x:row r="56" ht="18" customHeight="1">
      <x:c r="A56" s="12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3"/>
    </x:row>
    <x:row r="57" ht="18" customHeight="1">
      <x:c r="A57" s="12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3"/>
    </x:row>
    <x:row r="58" ht="18" customHeight="1">
      <x:c r="A58" s="12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3"/>
    </x:row>
    <x:row r="59" ht="18" customHeight="1">
      <x:c r="A59" s="12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3"/>
    </x:row>
    <x:row r="60" ht="18" customHeight="1">
      <x:c r="A60" s="9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</x:sheetData>
  <x:mergeCells>
    <x:mergeCell ref="A11:D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F6E6A"/>
  </x:sheetPr>
  <x:sheetViews>
    <x:sheetView showGridLines="0" workbookViewId="0"/>
  </x:sheetViews>
  <x:sheetFormatPr defaultColWidth="8.69921875" defaultRowHeight="17.399999618530273"/>
  <x:cols>
    <x:col min="1" max="1" width="15" hidden="0" customWidth="1"/>
    <x:col min="2" max="4" width="12" customWidth="1"/>
    <x:col min="5" max="5" width="15" hidden="0" customWidth="1"/>
    <x:col min="6" max="6" width="15" hidden="0" customWidth="1"/>
    <x:col min="7" max="26" width="10" customWidth="1"/>
    <x:col min="2" max="2" width="15" hidden="0" customWidth="1"/>
    <x:col min="3" max="3" width="15" hidden="0" customWidth="1"/>
    <x:col min="4" max="4" width="15" hidden="0" customWidth="1"/>
    <x:col min="7" max="7" width="15" hidden="0" customWidth="1"/>
  </x:cols>
  <x:sheetData>
    <x:row r="1" ht="22.049999237060547" customHeight="1">
      <x:c r="A1" s="111" t="s">
        <x:v>278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6"/>
    </x:row>
    <x:row r="2" ht="18" customHeight="1">
      <x:c r="A2" s="165" t="s">
        <x:v>279</x:v>
      </x:c>
      <x:c r="B2" s="148"/>
      <x:c r="C2" s="148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28"/>
    </x:row>
    <x:row r="3" ht="18" customHeight="1">
      <x:c r="A3" s="12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3"/>
    </x:row>
    <x:row r="4" ht="19.950000762939453" customHeight="1">
      <x:c r="A4" s="80" t="s">
        <x:v>280</x:v>
      </x:c>
      <x:c r="B4" s="5"/>
      <x:c r="C4" s="5"/>
      <x:c r="D4" s="5"/>
      <x:c r="E4" s="5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3"/>
    </x:row>
    <x:row r="5" ht="19.950000762939453" customHeight="1">
      <x:c r="A5" s="53" t="s">
        <x:v>106</x:v>
      </x:c>
      <x:c r="B5" s="53" t="s">
        <x:v>197</x:v>
      </x:c>
      <x:c r="C5" s="53" t="s">
        <x:v>109</x:v>
      </x:c>
      <x:c r="D5" s="7"/>
      <x:c r="E5" s="8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3"/>
    </x:row>
    <x:row r="6" ht="18" customHeight="1">
      <x:c r="A6" s="54" t="s">
        <x:v>178</x:v>
      </x:c>
      <x:c r="B6" s="198" t="n">
        <x:f>'_REFLO_BRIDGE'!$B$15</x:f>
        <x:v>52500</x:v>
      </x:c>
      <x:c r="C6" s="54" t="s">
        <x:v>281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3"/>
    </x:row>
    <x:row r="7" ht="18" customHeight="1">
      <x:c r="A7" s="54" t="s">
        <x:v>255</x:v>
      </x:c>
      <x:c r="B7" s="198" t="n">
        <x:f>'_REFLO_BRIDGE'!$B$17</x:f>
        <x:v>54500</x:v>
      </x:c>
      <x:c r="C7" s="56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3"/>
    </x:row>
    <x:row r="8" ht="18" customHeight="1">
      <x:c r="A8" s="54" t="s">
        <x:v>256</x:v>
      </x:c>
      <x:c r="B8" s="198" t="n">
        <x:f>'_REFLO_BRIDGE'!$B$18</x:f>
        <x:v>13120</x:v>
      </x:c>
      <x:c r="C8" s="56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3"/>
    </x:row>
    <x:row r="9" ht="18" customHeight="1">
      <x:c r="A9" s="54" t="s">
        <x:v>282</x:v>
      </x:c>
      <x:c r="B9" s="198" t="n">
        <x:f>'_REFLO_BRIDGE'!$B$19</x:f>
        <x:v>2594.4</x:v>
      </x:c>
      <x:c r="C9" s="54" t="s">
        <x:v>283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3"/>
    </x:row>
    <x:row r="10" ht="19.950000762939453" customHeight="1">
      <x:c r="A10" s="20"/>
      <x:c r="B10" s="5"/>
      <x:c r="C10" s="5"/>
      <x:c r="D10" s="5"/>
      <x:c r="E10" s="5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3"/>
    </x:row>
    <x:row r="11" ht="19.950000762939453" customHeight="1">
      <x:c r="A11" s="162" t="s">
        <x:v>284</x:v>
      </x:c>
      <x:c r="B11" s="163"/>
      <x:c r="C11" s="163"/>
      <x:c r="D11" s="7"/>
      <x:c r="E11" s="8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3"/>
    </x:row>
    <x:row r="12" ht="18" customHeight="1">
      <x:c r="A12" s="164" t="s">
        <x:v>285</x:v>
      </x:c>
      <x:c r="B12" s="148"/>
      <x:c r="C12" s="148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3"/>
    </x:row>
    <x:row r="13" ht="18" customHeight="1">
      <x:c r="A13" s="236" t="str">
        <x:v>자동화 시계열 — KRX 수정주가·KOSPI</x:v>
      </x:c>
      <x:c r="B13" s="237" t="str">
        <x:v>자동화 시계열 — KRX 수정주가·KOSPI</x:v>
      </x:c>
      <x:c r="C13" s="237" t="str">
        <x:v>자동화 시계열 — KRX 수정주가·KOSPI</x:v>
      </x:c>
      <x:c r="D13" s="237" t="str">
        <x:v>자동화 시계열 — KRX 수정주가·KOSPI</x:v>
      </x:c>
      <x:c r="E13" s="237" t="str">
        <x:v>자동화 시계열 — KRX 수정주가·KOSPI</x:v>
      </x:c>
      <x:c r="F13" s="237" t="str">
        <x:v>자동화 시계열 — KRX 수정주가·KOSPI</x:v>
      </x:c>
      <x:c r="G13" s="237" t="str">
        <x:v>자동화 시계열 — KRX 수정주가·KOSPI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3"/>
    </x:row>
    <x:row r="14" ht="18" customHeight="1">
      <x:c r="A14" s="244" t="str">
        <x:v>Date</x:v>
      </x:c>
      <x:c r="B14" s="244" t="str">
        <x:v>Date Label</x:v>
      </x:c>
      <x:c r="C14" s="244" t="str">
        <x:v>Close</x:v>
      </x:c>
      <x:c r="D14" s="244" t="str">
        <x:v>Adjusted Close</x:v>
      </x:c>
      <x:c r="E14" s="244" t="str">
        <x:v>KOSPI</x:v>
      </x:c>
      <x:c r="F14" s="244" t="str">
        <x:v>Stock Rebased</x:v>
      </x:c>
      <x:c r="G14" s="244" t="str">
        <x:v>KOSPI Rebased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3"/>
    </x:row>
    <x:row r="15" ht="18" customHeight="1">
      <x:c r="A15" s="272" t="n">
        <x:f>IF('_REFLO_BRIDGE'!$A$33="","",'_REFLO_BRIDGE'!$A$33)</x:f>
        <x:v>46051</x:v>
      </x:c>
      <x:c r="B15" s="273" t="str">
        <x:f>IF('_REFLO_BRIDGE'!$B$33="","",'_REFLO_BRIDGE'!$B$33)</x:f>
        <x:v>2026-01</x:v>
      </x:c>
      <x:c r="C15" s="274" t="n">
        <x:f>IF('_REFLO_BRIDGE'!$C$33="","",'_REFLO_BRIDGE'!$C$33)</x:f>
        <x:v>52500</x:v>
      </x:c>
      <x:c r="D15" s="274" t="n">
        <x:f>IF('_REFLO_BRIDGE'!$D$33="","",'_REFLO_BRIDGE'!$D$33)</x:f>
        <x:v>52500</x:v>
      </x:c>
      <x:c r="E15" s="274" t="n">
        <x:f>IF('_REFLO_BRIDGE'!$E$33="","",'_REFLO_BRIDGE'!$E$33)</x:f>
        <x:v>5221.25</x:v>
      </x:c>
      <x:c r="F15" s="274" t="n">
        <x:f>IF('_REFLO_BRIDGE'!$F$33="","",'_REFLO_BRIDGE'!$F$33)</x:f>
        <x:v>100</x:v>
      </x:c>
      <x:c r="G15" s="274" t="n">
        <x:f>IF('_REFLO_BRIDGE'!$G$33="","",'_REFLO_BRIDGE'!$G$33)</x:f>
        <x:v>100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3"/>
    </x:row>
    <x:row r="16" ht="19.950000762939453" customHeight="1">
      <x:c r="A16" s="275" t="str">
        <x:f>IF('_REFLO_BRIDGE'!$A$34="","",'_REFLO_BRIDGE'!$A$34)</x:f>
      </x:c>
      <x:c r="B16" s="276" t="str">
        <x:f>IF('_REFLO_BRIDGE'!$B$34="","",'_REFLO_BRIDGE'!$B$34)</x:f>
      </x:c>
      <x:c r="C16" s="277" t="str">
        <x:f>IF('_REFLO_BRIDGE'!$C$34="","",'_REFLO_BRIDGE'!$C$34)</x:f>
      </x:c>
      <x:c r="D16" s="277" t="str">
        <x:f>IF('_REFLO_BRIDGE'!$D$34="","",'_REFLO_BRIDGE'!$D$34)</x:f>
      </x:c>
      <x:c r="E16" s="277" t="str">
        <x:f>IF('_REFLO_BRIDGE'!$E$34="","",'_REFLO_BRIDGE'!$E$34)</x:f>
      </x:c>
      <x:c r="F16" s="278" t="str">
        <x:f>IF('_REFLO_BRIDGE'!$F$34="","",'_REFLO_BRIDGE'!$F$34)</x:f>
      </x:c>
      <x:c r="G16" s="278" t="str">
        <x:f>IF('_REFLO_BRIDGE'!$G$34="","",'_REFLO_BRIDGE'!$G$34)</x:f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3"/>
    </x:row>
    <x:row r="17" ht="19.950000762939453" customHeight="1">
      <x:c r="A17" s="279" t="str">
        <x:f>IF('_REFLO_BRIDGE'!$A$35="","",'_REFLO_BRIDGE'!$A$35)</x:f>
      </x:c>
      <x:c r="B17" s="280" t="str">
        <x:f>IF('_REFLO_BRIDGE'!$B$35="","",'_REFLO_BRIDGE'!$B$35)</x:f>
      </x:c>
      <x:c r="C17" s="281" t="str">
        <x:f>IF('_REFLO_BRIDGE'!$C$35="","",'_REFLO_BRIDGE'!$C$35)</x:f>
      </x:c>
      <x:c r="D17" s="281" t="str">
        <x:f>IF('_REFLO_BRIDGE'!$D$35="","",'_REFLO_BRIDGE'!$D$35)</x:f>
      </x:c>
      <x:c r="E17" s="282" t="str">
        <x:f>IF('_REFLO_BRIDGE'!$E$35="","",'_REFLO_BRIDGE'!$E$35)</x:f>
      </x:c>
      <x:c r="F17" s="278" t="str">
        <x:f>IF('_REFLO_BRIDGE'!$F$35="","",'_REFLO_BRIDGE'!$F$35)</x:f>
      </x:c>
      <x:c r="G17" s="278" t="str">
        <x:f>IF('_REFLO_BRIDGE'!$G$35="","",'_REFLO_BRIDGE'!$G$35)</x:f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3"/>
    </x:row>
    <x:row r="18" ht="18" customHeight="1">
      <x:c r="A18" s="283" t="str">
        <x:f>IF('_REFLO_BRIDGE'!$A$36="","",'_REFLO_BRIDGE'!$A$36)</x:f>
      </x:c>
      <x:c r="B18" s="284" t="str">
        <x:f>IF('_REFLO_BRIDGE'!$B$36="","",'_REFLO_BRIDGE'!$B$36)</x:f>
      </x:c>
      <x:c r="C18" s="278" t="str">
        <x:f>IF('_REFLO_BRIDGE'!$C$36="","",'_REFLO_BRIDGE'!$C$36)</x:f>
      </x:c>
      <x:c r="D18" s="278" t="str">
        <x:f>IF('_REFLO_BRIDGE'!$D$36="","",'_REFLO_BRIDGE'!$D$36)</x:f>
      </x:c>
      <x:c r="E18" s="278" t="str">
        <x:f>IF('_REFLO_BRIDGE'!$E$36="","",'_REFLO_BRIDGE'!$E$36)</x:f>
      </x:c>
      <x:c r="F18" s="278" t="str">
        <x:f>IF('_REFLO_BRIDGE'!$F$36="","",'_REFLO_BRIDGE'!$F$36)</x:f>
      </x:c>
      <x:c r="G18" s="278" t="str">
        <x:f>IF('_REFLO_BRIDGE'!$G$36="","",'_REFLO_BRIDGE'!$G$36)</x:f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3"/>
    </x:row>
    <x:row r="19" ht="18" customHeight="1">
      <x:c r="A19" s="283" t="str">
        <x:f>IF('_REFLO_BRIDGE'!$A$37="","",'_REFLO_BRIDGE'!$A$37)</x:f>
      </x:c>
      <x:c r="B19" s="284" t="str">
        <x:f>IF('_REFLO_BRIDGE'!$B$37="","",'_REFLO_BRIDGE'!$B$37)</x:f>
      </x:c>
      <x:c r="C19" s="278" t="str">
        <x:f>IF('_REFLO_BRIDGE'!$C$37="","",'_REFLO_BRIDGE'!$C$37)</x:f>
      </x:c>
      <x:c r="D19" s="278" t="str">
        <x:f>IF('_REFLO_BRIDGE'!$D$37="","",'_REFLO_BRIDGE'!$D$37)</x:f>
      </x:c>
      <x:c r="E19" s="278" t="str">
        <x:f>IF('_REFLO_BRIDGE'!$E$37="","",'_REFLO_BRIDGE'!$E$37)</x:f>
      </x:c>
      <x:c r="F19" s="278" t="str">
        <x:f>IF('_REFLO_BRIDGE'!$F$37="","",'_REFLO_BRIDGE'!$F$37)</x:f>
      </x:c>
      <x:c r="G19" s="278" t="str">
        <x:f>IF('_REFLO_BRIDGE'!$G$37="","",'_REFLO_BRIDGE'!$G$37)</x:f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3"/>
    </x:row>
    <x:row r="20" ht="18" customHeight="1">
      <x:c r="A20" s="283" t="str">
        <x:f>IF('_REFLO_BRIDGE'!$A$38="","",'_REFLO_BRIDGE'!$A$38)</x:f>
      </x:c>
      <x:c r="B20" s="284" t="str">
        <x:f>IF('_REFLO_BRIDGE'!$B$38="","",'_REFLO_BRIDGE'!$B$38)</x:f>
      </x:c>
      <x:c r="C20" s="278" t="str">
        <x:f>IF('_REFLO_BRIDGE'!$C$38="","",'_REFLO_BRIDGE'!$C$38)</x:f>
      </x:c>
      <x:c r="D20" s="278" t="str">
        <x:f>IF('_REFLO_BRIDGE'!$D$38="","",'_REFLO_BRIDGE'!$D$38)</x:f>
      </x:c>
      <x:c r="E20" s="278" t="str">
        <x:f>IF('_REFLO_BRIDGE'!$E$38="","",'_REFLO_BRIDGE'!$E$38)</x:f>
      </x:c>
      <x:c r="F20" s="278" t="str">
        <x:f>IF('_REFLO_BRIDGE'!$F$38="","",'_REFLO_BRIDGE'!$F$38)</x:f>
      </x:c>
      <x:c r="G20" s="278" t="str">
        <x:f>IF('_REFLO_BRIDGE'!$G$38="","",'_REFLO_BRIDGE'!$G$38)</x:f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3"/>
    </x:row>
    <x:row r="21" ht="18" customHeight="1">
      <x:c r="A21" s="283" t="str">
        <x:f>IF('_REFLO_BRIDGE'!$A$39="","",'_REFLO_BRIDGE'!$A$39)</x:f>
      </x:c>
      <x:c r="B21" s="284" t="str">
        <x:f>IF('_REFLO_BRIDGE'!$B$39="","",'_REFLO_BRIDGE'!$B$39)</x:f>
      </x:c>
      <x:c r="C21" s="278" t="str">
        <x:f>IF('_REFLO_BRIDGE'!$C$39="","",'_REFLO_BRIDGE'!$C$39)</x:f>
      </x:c>
      <x:c r="D21" s="278" t="str">
        <x:f>IF('_REFLO_BRIDGE'!$D$39="","",'_REFLO_BRIDGE'!$D$39)</x:f>
      </x:c>
      <x:c r="E21" s="278" t="str">
        <x:f>IF('_REFLO_BRIDGE'!$E$39="","",'_REFLO_BRIDGE'!$E$39)</x:f>
      </x:c>
      <x:c r="F21" s="278" t="str">
        <x:f>IF('_REFLO_BRIDGE'!$F$39="","",'_REFLO_BRIDGE'!$F$39)</x:f>
      </x:c>
      <x:c r="G21" s="278" t="str">
        <x:f>IF('_REFLO_BRIDGE'!$G$39="","",'_REFLO_BRIDGE'!$G$39)</x:f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3"/>
    </x:row>
    <x:row r="22" ht="18" customHeight="1">
      <x:c r="A22" s="283" t="str">
        <x:f>IF('_REFLO_BRIDGE'!$A$40="","",'_REFLO_BRIDGE'!$A$40)</x:f>
      </x:c>
      <x:c r="B22" s="284" t="str">
        <x:f>IF('_REFLO_BRIDGE'!$B$40="","",'_REFLO_BRIDGE'!$B$40)</x:f>
      </x:c>
      <x:c r="C22" s="278" t="str">
        <x:f>IF('_REFLO_BRIDGE'!$C$40="","",'_REFLO_BRIDGE'!$C$40)</x:f>
      </x:c>
      <x:c r="D22" s="278" t="str">
        <x:f>IF('_REFLO_BRIDGE'!$D$40="","",'_REFLO_BRIDGE'!$D$40)</x:f>
      </x:c>
      <x:c r="E22" s="278" t="str">
        <x:f>IF('_REFLO_BRIDGE'!$E$40="","",'_REFLO_BRIDGE'!$E$40)</x:f>
      </x:c>
      <x:c r="F22" s="278" t="str">
        <x:f>IF('_REFLO_BRIDGE'!$F$40="","",'_REFLO_BRIDGE'!$F$40)</x:f>
      </x:c>
      <x:c r="G22" s="278" t="str">
        <x:f>IF('_REFLO_BRIDGE'!$G$40="","",'_REFLO_BRIDGE'!$G$40)</x:f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3"/>
    </x:row>
    <x:row r="23" ht="18" customHeight="1">
      <x:c r="A23" s="283" t="str">
        <x:f>IF('_REFLO_BRIDGE'!$A$41="","",'_REFLO_BRIDGE'!$A$41)</x:f>
      </x:c>
      <x:c r="B23" s="284" t="str">
        <x:f>IF('_REFLO_BRIDGE'!$B$41="","",'_REFLO_BRIDGE'!$B$41)</x:f>
      </x:c>
      <x:c r="C23" s="278" t="str">
        <x:f>IF('_REFLO_BRIDGE'!$C$41="","",'_REFLO_BRIDGE'!$C$41)</x:f>
      </x:c>
      <x:c r="D23" s="278" t="str">
        <x:f>IF('_REFLO_BRIDGE'!$D$41="","",'_REFLO_BRIDGE'!$D$41)</x:f>
      </x:c>
      <x:c r="E23" s="278" t="str">
        <x:f>IF('_REFLO_BRIDGE'!$E$41="","",'_REFLO_BRIDGE'!$E$41)</x:f>
      </x:c>
      <x:c r="F23" s="278" t="str">
        <x:f>IF('_REFLO_BRIDGE'!$F$41="","",'_REFLO_BRIDGE'!$F$41)</x:f>
      </x:c>
      <x:c r="G23" s="278" t="str">
        <x:f>IF('_REFLO_BRIDGE'!$G$41="","",'_REFLO_BRIDGE'!$G$41)</x:f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3"/>
    </x:row>
    <x:row r="24" ht="18" customHeight="1">
      <x:c r="A24" s="283" t="str">
        <x:f>IF('_REFLO_BRIDGE'!$A$42="","",'_REFLO_BRIDGE'!$A$42)</x:f>
      </x:c>
      <x:c r="B24" s="284" t="str">
        <x:f>IF('_REFLO_BRIDGE'!$B$42="","",'_REFLO_BRIDGE'!$B$42)</x:f>
      </x:c>
      <x:c r="C24" s="278" t="str">
        <x:f>IF('_REFLO_BRIDGE'!$C$42="","",'_REFLO_BRIDGE'!$C$42)</x:f>
      </x:c>
      <x:c r="D24" s="278" t="str">
        <x:f>IF('_REFLO_BRIDGE'!$D$42="","",'_REFLO_BRIDGE'!$D$42)</x:f>
      </x:c>
      <x:c r="E24" s="278" t="str">
        <x:f>IF('_REFLO_BRIDGE'!$E$42="","",'_REFLO_BRIDGE'!$E$42)</x:f>
      </x:c>
      <x:c r="F24" s="278" t="str">
        <x:f>IF('_REFLO_BRIDGE'!$F$42="","",'_REFLO_BRIDGE'!$F$42)</x:f>
      </x:c>
      <x:c r="G24" s="278" t="str">
        <x:f>IF('_REFLO_BRIDGE'!$G$42="","",'_REFLO_BRIDGE'!$G$42)</x:f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3"/>
    </x:row>
    <x:row r="25" ht="18" customHeight="1">
      <x:c r="A25" s="283" t="str">
        <x:f>IF('_REFLO_BRIDGE'!$A$43="","",'_REFLO_BRIDGE'!$A$43)</x:f>
      </x:c>
      <x:c r="B25" s="284" t="str">
        <x:f>IF('_REFLO_BRIDGE'!$B$43="","",'_REFLO_BRIDGE'!$B$43)</x:f>
      </x:c>
      <x:c r="C25" s="278" t="str">
        <x:f>IF('_REFLO_BRIDGE'!$C$43="","",'_REFLO_BRIDGE'!$C$43)</x:f>
      </x:c>
      <x:c r="D25" s="278" t="str">
        <x:f>IF('_REFLO_BRIDGE'!$D$43="","",'_REFLO_BRIDGE'!$D$43)</x:f>
      </x:c>
      <x:c r="E25" s="278" t="str">
        <x:f>IF('_REFLO_BRIDGE'!$E$43="","",'_REFLO_BRIDGE'!$E$43)</x:f>
      </x:c>
      <x:c r="F25" s="278" t="str">
        <x:f>IF('_REFLO_BRIDGE'!$F$43="","",'_REFLO_BRIDGE'!$F$43)</x:f>
      </x:c>
      <x:c r="G25" s="278" t="str">
        <x:f>IF('_REFLO_BRIDGE'!$G$43="","",'_REFLO_BRIDGE'!$G$43)</x:f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3"/>
    </x:row>
    <x:row r="26" ht="18" customHeight="1">
      <x:c r="A26" s="283" t="str">
        <x:f>IF('_REFLO_BRIDGE'!$A$44="","",'_REFLO_BRIDGE'!$A$44)</x:f>
      </x:c>
      <x:c r="B26" s="284" t="str">
        <x:f>IF('_REFLO_BRIDGE'!$B$44="","",'_REFLO_BRIDGE'!$B$44)</x:f>
      </x:c>
      <x:c r="C26" s="278" t="str">
        <x:f>IF('_REFLO_BRIDGE'!$C$44="","",'_REFLO_BRIDGE'!$C$44)</x:f>
      </x:c>
      <x:c r="D26" s="278" t="str">
        <x:f>IF('_REFLO_BRIDGE'!$D$44="","",'_REFLO_BRIDGE'!$D$44)</x:f>
      </x:c>
      <x:c r="E26" s="278" t="str">
        <x:f>IF('_REFLO_BRIDGE'!$E$44="","",'_REFLO_BRIDGE'!$E$44)</x:f>
      </x:c>
      <x:c r="F26" s="278" t="str">
        <x:f>IF('_REFLO_BRIDGE'!$F$44="","",'_REFLO_BRIDGE'!$F$44)</x:f>
      </x:c>
      <x:c r="G26" s="278" t="str">
        <x:f>IF('_REFLO_BRIDGE'!$G$44="","",'_REFLO_BRIDGE'!$G$44)</x:f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3"/>
    </x:row>
    <x:row r="27" ht="18" customHeight="1">
      <x:c r="A27" s="283" t="str">
        <x:f>IF('_REFLO_BRIDGE'!$A$45="","",'_REFLO_BRIDGE'!$A$45)</x:f>
      </x:c>
      <x:c r="B27" s="284" t="str">
        <x:f>IF('_REFLO_BRIDGE'!$B$45="","",'_REFLO_BRIDGE'!$B$45)</x:f>
      </x:c>
      <x:c r="C27" s="278" t="str">
        <x:f>IF('_REFLO_BRIDGE'!$C$45="","",'_REFLO_BRIDGE'!$C$45)</x:f>
      </x:c>
      <x:c r="D27" s="278" t="str">
        <x:f>IF('_REFLO_BRIDGE'!$D$45="","",'_REFLO_BRIDGE'!$D$45)</x:f>
      </x:c>
      <x:c r="E27" s="278" t="str">
        <x:f>IF('_REFLO_BRIDGE'!$E$45="","",'_REFLO_BRIDGE'!$E$45)</x:f>
      </x:c>
      <x:c r="F27" s="278" t="str">
        <x:f>IF('_REFLO_BRIDGE'!$F$45="","",'_REFLO_BRIDGE'!$F$45)</x:f>
      </x:c>
      <x:c r="G27" s="278" t="str">
        <x:f>IF('_REFLO_BRIDGE'!$G$45="","",'_REFLO_BRIDGE'!$G$45)</x:f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3"/>
    </x:row>
    <x:row r="28" ht="18" customHeight="1">
      <x:c r="A28" s="283" t="str">
        <x:f>IF('_REFLO_BRIDGE'!$A$46="","",'_REFLO_BRIDGE'!$A$46)</x:f>
      </x:c>
      <x:c r="B28" s="284" t="str">
        <x:f>IF('_REFLO_BRIDGE'!$B$46="","",'_REFLO_BRIDGE'!$B$46)</x:f>
      </x:c>
      <x:c r="C28" s="278" t="str">
        <x:f>IF('_REFLO_BRIDGE'!$C$46="","",'_REFLO_BRIDGE'!$C$46)</x:f>
      </x:c>
      <x:c r="D28" s="278" t="str">
        <x:f>IF('_REFLO_BRIDGE'!$D$46="","",'_REFLO_BRIDGE'!$D$46)</x:f>
      </x:c>
      <x:c r="E28" s="278" t="str">
        <x:f>IF('_REFLO_BRIDGE'!$E$46="","",'_REFLO_BRIDGE'!$E$46)</x:f>
      </x:c>
      <x:c r="F28" s="278" t="str">
        <x:f>IF('_REFLO_BRIDGE'!$F$46="","",'_REFLO_BRIDGE'!$F$46)</x:f>
      </x:c>
      <x:c r="G28" s="278" t="str">
        <x:f>IF('_REFLO_BRIDGE'!$G$46="","",'_REFLO_BRIDGE'!$G$46)</x:f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3"/>
    </x:row>
    <x:row r="29" ht="18" customHeight="1">
      <x:c r="A29" s="283" t="str">
        <x:f>IF('_REFLO_BRIDGE'!$A$47="","",'_REFLO_BRIDGE'!$A$47)</x:f>
      </x:c>
      <x:c r="B29" s="284" t="str">
        <x:f>IF('_REFLO_BRIDGE'!$B$47="","",'_REFLO_BRIDGE'!$B$47)</x:f>
      </x:c>
      <x:c r="C29" s="278" t="str">
        <x:f>IF('_REFLO_BRIDGE'!$C$47="","",'_REFLO_BRIDGE'!$C$47)</x:f>
      </x:c>
      <x:c r="D29" s="278" t="str">
        <x:f>IF('_REFLO_BRIDGE'!$D$47="","",'_REFLO_BRIDGE'!$D$47)</x:f>
      </x:c>
      <x:c r="E29" s="278" t="str">
        <x:f>IF('_REFLO_BRIDGE'!$E$47="","",'_REFLO_BRIDGE'!$E$47)</x:f>
      </x:c>
      <x:c r="F29" s="278" t="str">
        <x:f>IF('_REFLO_BRIDGE'!$F$47="","",'_REFLO_BRIDGE'!$F$47)</x:f>
      </x:c>
      <x:c r="G29" s="278" t="str">
        <x:f>IF('_REFLO_BRIDGE'!$G$47="","",'_REFLO_BRIDGE'!$G$47)</x:f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3"/>
    </x:row>
    <x:row r="30" ht="18" customHeight="1">
      <x:c r="A30" s="283" t="str">
        <x:f>IF('_REFLO_BRIDGE'!$A$48="","",'_REFLO_BRIDGE'!$A$48)</x:f>
      </x:c>
      <x:c r="B30" s="284" t="str">
        <x:f>IF('_REFLO_BRIDGE'!$B$48="","",'_REFLO_BRIDGE'!$B$48)</x:f>
      </x:c>
      <x:c r="C30" s="278" t="str">
        <x:f>IF('_REFLO_BRIDGE'!$C$48="","",'_REFLO_BRIDGE'!$C$48)</x:f>
      </x:c>
      <x:c r="D30" s="278" t="str">
        <x:f>IF('_REFLO_BRIDGE'!$D$48="","",'_REFLO_BRIDGE'!$D$48)</x:f>
      </x:c>
      <x:c r="E30" s="278" t="str">
        <x:f>IF('_REFLO_BRIDGE'!$E$48="","",'_REFLO_BRIDGE'!$E$48)</x:f>
      </x:c>
      <x:c r="F30" s="278" t="str">
        <x:f>IF('_REFLO_BRIDGE'!$F$48="","",'_REFLO_BRIDGE'!$F$48)</x:f>
      </x:c>
      <x:c r="G30" s="278" t="str">
        <x:f>IF('_REFLO_BRIDGE'!$G$48="","",'_REFLO_BRIDGE'!$G$48)</x:f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3"/>
    </x:row>
    <x:row r="31" ht="18" customHeight="1">
      <x:c r="A31" s="283" t="str">
        <x:f>IF('_REFLO_BRIDGE'!$A$49="","",'_REFLO_BRIDGE'!$A$49)</x:f>
      </x:c>
      <x:c r="B31" s="284" t="str">
        <x:f>IF('_REFLO_BRIDGE'!$B$49="","",'_REFLO_BRIDGE'!$B$49)</x:f>
      </x:c>
      <x:c r="C31" s="278" t="str">
        <x:f>IF('_REFLO_BRIDGE'!$C$49="","",'_REFLO_BRIDGE'!$C$49)</x:f>
      </x:c>
      <x:c r="D31" s="278" t="str">
        <x:f>IF('_REFLO_BRIDGE'!$D$49="","",'_REFLO_BRIDGE'!$D$49)</x:f>
      </x:c>
      <x:c r="E31" s="278" t="str">
        <x:f>IF('_REFLO_BRIDGE'!$E$49="","",'_REFLO_BRIDGE'!$E$49)</x:f>
      </x:c>
      <x:c r="F31" s="278" t="str">
        <x:f>IF('_REFLO_BRIDGE'!$F$49="","",'_REFLO_BRIDGE'!$F$49)</x:f>
      </x:c>
      <x:c r="G31" s="278" t="str">
        <x:f>IF('_REFLO_BRIDGE'!$G$49="","",'_REFLO_BRIDGE'!$G$49)</x:f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3"/>
    </x:row>
    <x:row r="32" ht="18" customHeight="1">
      <x:c r="A32" s="283" t="str">
        <x:f>IF('_REFLO_BRIDGE'!$A$50="","",'_REFLO_BRIDGE'!$A$50)</x:f>
      </x:c>
      <x:c r="B32" s="284" t="str">
        <x:f>IF('_REFLO_BRIDGE'!$B$50="","",'_REFLO_BRIDGE'!$B$50)</x:f>
      </x:c>
      <x:c r="C32" s="278" t="str">
        <x:f>IF('_REFLO_BRIDGE'!$C$50="","",'_REFLO_BRIDGE'!$C$50)</x:f>
      </x:c>
      <x:c r="D32" s="278" t="str">
        <x:f>IF('_REFLO_BRIDGE'!$D$50="","",'_REFLO_BRIDGE'!$D$50)</x:f>
      </x:c>
      <x:c r="E32" s="278" t="str">
        <x:f>IF('_REFLO_BRIDGE'!$E$50="","",'_REFLO_BRIDGE'!$E$50)</x:f>
      </x:c>
      <x:c r="F32" s="278" t="str">
        <x:f>IF('_REFLO_BRIDGE'!$F$50="","",'_REFLO_BRIDGE'!$F$50)</x:f>
      </x:c>
      <x:c r="G32" s="278" t="str">
        <x:f>IF('_REFLO_BRIDGE'!$G$50="","",'_REFLO_BRIDGE'!$G$50)</x:f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3"/>
    </x:row>
    <x:row r="33" ht="18" customHeight="1">
      <x:c r="A33" s="283" t="str">
        <x:f>IF('_REFLO_BRIDGE'!$A$51="","",'_REFLO_BRIDGE'!$A$51)</x:f>
      </x:c>
      <x:c r="B33" s="284" t="str">
        <x:f>IF('_REFLO_BRIDGE'!$B$51="","",'_REFLO_BRIDGE'!$B$51)</x:f>
      </x:c>
      <x:c r="C33" s="278" t="str">
        <x:f>IF('_REFLO_BRIDGE'!$C$51="","",'_REFLO_BRIDGE'!$C$51)</x:f>
      </x:c>
      <x:c r="D33" s="278" t="str">
        <x:f>IF('_REFLO_BRIDGE'!$D$51="","",'_REFLO_BRIDGE'!$D$51)</x:f>
      </x:c>
      <x:c r="E33" s="278" t="str">
        <x:f>IF('_REFLO_BRIDGE'!$E$51="","",'_REFLO_BRIDGE'!$E$51)</x:f>
      </x:c>
      <x:c r="F33" s="278" t="str">
        <x:f>IF('_REFLO_BRIDGE'!$F$51="","",'_REFLO_BRIDGE'!$F$51)</x:f>
      </x:c>
      <x:c r="G33" s="278" t="str">
        <x:f>IF('_REFLO_BRIDGE'!$G$51="","",'_REFLO_BRIDGE'!$G$51)</x:f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3"/>
    </x:row>
    <x:row r="34" ht="18" customHeight="1">
      <x:c r="A34" s="283" t="str">
        <x:f>IF('_REFLO_BRIDGE'!$A$52="","",'_REFLO_BRIDGE'!$A$52)</x:f>
      </x:c>
      <x:c r="B34" s="284" t="str">
        <x:f>IF('_REFLO_BRIDGE'!$B$52="","",'_REFLO_BRIDGE'!$B$52)</x:f>
      </x:c>
      <x:c r="C34" s="278" t="str">
        <x:f>IF('_REFLO_BRIDGE'!$C$52="","",'_REFLO_BRIDGE'!$C$52)</x:f>
      </x:c>
      <x:c r="D34" s="278" t="str">
        <x:f>IF('_REFLO_BRIDGE'!$D$52="","",'_REFLO_BRIDGE'!$D$52)</x:f>
      </x:c>
      <x:c r="E34" s="278" t="str">
        <x:f>IF('_REFLO_BRIDGE'!$E$52="","",'_REFLO_BRIDGE'!$E$52)</x:f>
      </x:c>
      <x:c r="F34" s="278" t="str">
        <x:f>IF('_REFLO_BRIDGE'!$F$52="","",'_REFLO_BRIDGE'!$F$52)</x:f>
      </x:c>
      <x:c r="G34" s="278" t="str">
        <x:f>IF('_REFLO_BRIDGE'!$G$52="","",'_REFLO_BRIDGE'!$G$52)</x:f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3"/>
    </x:row>
    <x:row r="35" ht="18" customHeight="1">
      <x:c r="A35" s="283" t="str">
        <x:f>IF('_REFLO_BRIDGE'!$A$53="","",'_REFLO_BRIDGE'!$A$53)</x:f>
      </x:c>
      <x:c r="B35" s="284" t="str">
        <x:f>IF('_REFLO_BRIDGE'!$B$53="","",'_REFLO_BRIDGE'!$B$53)</x:f>
      </x:c>
      <x:c r="C35" s="278" t="str">
        <x:f>IF('_REFLO_BRIDGE'!$C$53="","",'_REFLO_BRIDGE'!$C$53)</x:f>
      </x:c>
      <x:c r="D35" s="278" t="str">
        <x:f>IF('_REFLO_BRIDGE'!$D$53="","",'_REFLO_BRIDGE'!$D$53)</x:f>
      </x:c>
      <x:c r="E35" s="278" t="str">
        <x:f>IF('_REFLO_BRIDGE'!$E$53="","",'_REFLO_BRIDGE'!$E$53)</x:f>
      </x:c>
      <x:c r="F35" s="278" t="str">
        <x:f>IF('_REFLO_BRIDGE'!$F$53="","",'_REFLO_BRIDGE'!$F$53)</x:f>
      </x:c>
      <x:c r="G35" s="278" t="str">
        <x:f>IF('_REFLO_BRIDGE'!$G$53="","",'_REFLO_BRIDGE'!$G$53)</x:f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3"/>
    </x:row>
    <x:row r="36" ht="18" customHeight="1">
      <x:c r="A36" s="283" t="str">
        <x:f>IF('_REFLO_BRIDGE'!$A$54="","",'_REFLO_BRIDGE'!$A$54)</x:f>
      </x:c>
      <x:c r="B36" s="284" t="str">
        <x:f>IF('_REFLO_BRIDGE'!$B$54="","",'_REFLO_BRIDGE'!$B$54)</x:f>
      </x:c>
      <x:c r="C36" s="278" t="str">
        <x:f>IF('_REFLO_BRIDGE'!$C$54="","",'_REFLO_BRIDGE'!$C$54)</x:f>
      </x:c>
      <x:c r="D36" s="278" t="str">
        <x:f>IF('_REFLO_BRIDGE'!$D$54="","",'_REFLO_BRIDGE'!$D$54)</x:f>
      </x:c>
      <x:c r="E36" s="278" t="str">
        <x:f>IF('_REFLO_BRIDGE'!$E$54="","",'_REFLO_BRIDGE'!$E$54)</x:f>
      </x:c>
      <x:c r="F36" s="278" t="str">
        <x:f>IF('_REFLO_BRIDGE'!$F$54="","",'_REFLO_BRIDGE'!$F$54)</x:f>
      </x:c>
      <x:c r="G36" s="278" t="str">
        <x:f>IF('_REFLO_BRIDGE'!$G$54="","",'_REFLO_BRIDGE'!$G$54)</x:f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3"/>
    </x:row>
    <x:row r="37" ht="18" customHeight="1">
      <x:c r="A37" s="283" t="str">
        <x:f>IF('_REFLO_BRIDGE'!$A$55="","",'_REFLO_BRIDGE'!$A$55)</x:f>
      </x:c>
      <x:c r="B37" s="284" t="str">
        <x:f>IF('_REFLO_BRIDGE'!$B$55="","",'_REFLO_BRIDGE'!$B$55)</x:f>
      </x:c>
      <x:c r="C37" s="278" t="str">
        <x:f>IF('_REFLO_BRIDGE'!$C$55="","",'_REFLO_BRIDGE'!$C$55)</x:f>
      </x:c>
      <x:c r="D37" s="278" t="str">
        <x:f>IF('_REFLO_BRIDGE'!$D$55="","",'_REFLO_BRIDGE'!$D$55)</x:f>
      </x:c>
      <x:c r="E37" s="278" t="str">
        <x:f>IF('_REFLO_BRIDGE'!$E$55="","",'_REFLO_BRIDGE'!$E$55)</x:f>
      </x:c>
      <x:c r="F37" s="278" t="str">
        <x:f>IF('_REFLO_BRIDGE'!$F$55="","",'_REFLO_BRIDGE'!$F$55)</x:f>
      </x:c>
      <x:c r="G37" s="278" t="str">
        <x:f>IF('_REFLO_BRIDGE'!$G$55="","",'_REFLO_BRIDGE'!$G$55)</x:f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3"/>
    </x:row>
    <x:row r="38" ht="18" customHeight="1">
      <x:c r="A38" s="283" t="str">
        <x:f>IF('_REFLO_BRIDGE'!$A$56="","",'_REFLO_BRIDGE'!$A$56)</x:f>
      </x:c>
      <x:c r="B38" s="284" t="str">
        <x:f>IF('_REFLO_BRIDGE'!$B$56="","",'_REFLO_BRIDGE'!$B$56)</x:f>
      </x:c>
      <x:c r="C38" s="278" t="str">
        <x:f>IF('_REFLO_BRIDGE'!$C$56="","",'_REFLO_BRIDGE'!$C$56)</x:f>
      </x:c>
      <x:c r="D38" s="278" t="str">
        <x:f>IF('_REFLO_BRIDGE'!$D$56="","",'_REFLO_BRIDGE'!$D$56)</x:f>
      </x:c>
      <x:c r="E38" s="278" t="str">
        <x:f>IF('_REFLO_BRIDGE'!$E$56="","",'_REFLO_BRIDGE'!$E$56)</x:f>
      </x:c>
      <x:c r="F38" s="278" t="str">
        <x:f>IF('_REFLO_BRIDGE'!$F$56="","",'_REFLO_BRIDGE'!$F$56)</x:f>
      </x:c>
      <x:c r="G38" s="278" t="str">
        <x:f>IF('_REFLO_BRIDGE'!$G$56="","",'_REFLO_BRIDGE'!$G$56)</x:f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3"/>
    </x:row>
    <x:row r="39" ht="18" customHeight="1">
      <x:c r="A39" s="283" t="str">
        <x:f>IF('_REFLO_BRIDGE'!$A$57="","",'_REFLO_BRIDGE'!$A$57)</x:f>
      </x:c>
      <x:c r="B39" s="284" t="str">
        <x:f>IF('_REFLO_BRIDGE'!$B$57="","",'_REFLO_BRIDGE'!$B$57)</x:f>
      </x:c>
      <x:c r="C39" s="278" t="str">
        <x:f>IF('_REFLO_BRIDGE'!$C$57="","",'_REFLO_BRIDGE'!$C$57)</x:f>
      </x:c>
      <x:c r="D39" s="278" t="str">
        <x:f>IF('_REFLO_BRIDGE'!$D$57="","",'_REFLO_BRIDGE'!$D$57)</x:f>
      </x:c>
      <x:c r="E39" s="278" t="str">
        <x:f>IF('_REFLO_BRIDGE'!$E$57="","",'_REFLO_BRIDGE'!$E$57)</x:f>
      </x:c>
      <x:c r="F39" s="278" t="str">
        <x:f>IF('_REFLO_BRIDGE'!$F$57="","",'_REFLO_BRIDGE'!$F$57)</x:f>
      </x:c>
      <x:c r="G39" s="278" t="str">
        <x:f>IF('_REFLO_BRIDGE'!$G$57="","",'_REFLO_BRIDGE'!$G$57)</x:f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3"/>
    </x:row>
    <x:row r="40" ht="18" customHeight="1">
      <x:c r="A40" s="283" t="str">
        <x:f>IF('_REFLO_BRIDGE'!$A$58="","",'_REFLO_BRIDGE'!$A$58)</x:f>
      </x:c>
      <x:c r="B40" s="284" t="str">
        <x:f>IF('_REFLO_BRIDGE'!$B$58="","",'_REFLO_BRIDGE'!$B$58)</x:f>
      </x:c>
      <x:c r="C40" s="278" t="str">
        <x:f>IF('_REFLO_BRIDGE'!$C$58="","",'_REFLO_BRIDGE'!$C$58)</x:f>
      </x:c>
      <x:c r="D40" s="278" t="str">
        <x:f>IF('_REFLO_BRIDGE'!$D$58="","",'_REFLO_BRIDGE'!$D$58)</x:f>
      </x:c>
      <x:c r="E40" s="278" t="str">
        <x:f>IF('_REFLO_BRIDGE'!$E$58="","",'_REFLO_BRIDGE'!$E$58)</x:f>
      </x:c>
      <x:c r="F40" s="278" t="str">
        <x:f>IF('_REFLO_BRIDGE'!$F$58="","",'_REFLO_BRIDGE'!$F$58)</x:f>
      </x:c>
      <x:c r="G40" s="278" t="str">
        <x:f>IF('_REFLO_BRIDGE'!$G$58="","",'_REFLO_BRIDGE'!$G$58)</x:f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3"/>
    </x:row>
    <x:row r="41" ht="18" customHeight="1">
      <x:c r="A41" s="283" t="str">
        <x:f>IF('_REFLO_BRIDGE'!$A$59="","",'_REFLO_BRIDGE'!$A$59)</x:f>
      </x:c>
      <x:c r="B41" s="284" t="str">
        <x:f>IF('_REFLO_BRIDGE'!$B$59="","",'_REFLO_BRIDGE'!$B$59)</x:f>
      </x:c>
      <x:c r="C41" s="278" t="str">
        <x:f>IF('_REFLO_BRIDGE'!$C$59="","",'_REFLO_BRIDGE'!$C$59)</x:f>
      </x:c>
      <x:c r="D41" s="278" t="str">
        <x:f>IF('_REFLO_BRIDGE'!$D$59="","",'_REFLO_BRIDGE'!$D$59)</x:f>
      </x:c>
      <x:c r="E41" s="278" t="str">
        <x:f>IF('_REFLO_BRIDGE'!$E$59="","",'_REFLO_BRIDGE'!$E$59)</x:f>
      </x:c>
      <x:c r="F41" s="278" t="str">
        <x:f>IF('_REFLO_BRIDGE'!$F$59="","",'_REFLO_BRIDGE'!$F$59)</x:f>
      </x:c>
      <x:c r="G41" s="278" t="str">
        <x:f>IF('_REFLO_BRIDGE'!$G$59="","",'_REFLO_BRIDGE'!$G$59)</x:f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3"/>
    </x:row>
    <x:row r="42" ht="18" customHeight="1">
      <x:c r="A42" s="283" t="str">
        <x:f>IF('_REFLO_BRIDGE'!$A$60="","",'_REFLO_BRIDGE'!$A$60)</x:f>
      </x:c>
      <x:c r="B42" s="284" t="str">
        <x:f>IF('_REFLO_BRIDGE'!$B$60="","",'_REFLO_BRIDGE'!$B$60)</x:f>
      </x:c>
      <x:c r="C42" s="278" t="str">
        <x:f>IF('_REFLO_BRIDGE'!$C$60="","",'_REFLO_BRIDGE'!$C$60)</x:f>
      </x:c>
      <x:c r="D42" s="278" t="str">
        <x:f>IF('_REFLO_BRIDGE'!$D$60="","",'_REFLO_BRIDGE'!$D$60)</x:f>
      </x:c>
      <x:c r="E42" s="278" t="str">
        <x:f>IF('_REFLO_BRIDGE'!$E$60="","",'_REFLO_BRIDGE'!$E$60)</x:f>
      </x:c>
      <x:c r="F42" s="278" t="str">
        <x:f>IF('_REFLO_BRIDGE'!$F$60="","",'_REFLO_BRIDGE'!$F$60)</x:f>
      </x:c>
      <x:c r="G42" s="278" t="str">
        <x:f>IF('_REFLO_BRIDGE'!$G$60="","",'_REFLO_BRIDGE'!$G$60)</x:f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3"/>
    </x:row>
    <x:row r="43" ht="18" customHeight="1">
      <x:c r="A43" s="283" t="str">
        <x:f>IF('_REFLO_BRIDGE'!$A$61="","",'_REFLO_BRIDGE'!$A$61)</x:f>
      </x:c>
      <x:c r="B43" s="284" t="str">
        <x:f>IF('_REFLO_BRIDGE'!$B$61="","",'_REFLO_BRIDGE'!$B$61)</x:f>
      </x:c>
      <x:c r="C43" s="278" t="str">
        <x:f>IF('_REFLO_BRIDGE'!$C$61="","",'_REFLO_BRIDGE'!$C$61)</x:f>
      </x:c>
      <x:c r="D43" s="278" t="str">
        <x:f>IF('_REFLO_BRIDGE'!$D$61="","",'_REFLO_BRIDGE'!$D$61)</x:f>
      </x:c>
      <x:c r="E43" s="278" t="str">
        <x:f>IF('_REFLO_BRIDGE'!$E$61="","",'_REFLO_BRIDGE'!$E$61)</x:f>
      </x:c>
      <x:c r="F43" s="278" t="str">
        <x:f>IF('_REFLO_BRIDGE'!$F$61="","",'_REFLO_BRIDGE'!$F$61)</x:f>
      </x:c>
      <x:c r="G43" s="278" t="str">
        <x:f>IF('_REFLO_BRIDGE'!$G$61="","",'_REFLO_BRIDGE'!$G$61)</x:f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3"/>
    </x:row>
    <x:row r="44" ht="18" customHeight="1">
      <x:c r="A44" s="283" t="str">
        <x:f>IF('_REFLO_BRIDGE'!$A$62="","",'_REFLO_BRIDGE'!$A$62)</x:f>
      </x:c>
      <x:c r="B44" s="284" t="str">
        <x:f>IF('_REFLO_BRIDGE'!$B$62="","",'_REFLO_BRIDGE'!$B$62)</x:f>
      </x:c>
      <x:c r="C44" s="278" t="str">
        <x:f>IF('_REFLO_BRIDGE'!$C$62="","",'_REFLO_BRIDGE'!$C$62)</x:f>
      </x:c>
      <x:c r="D44" s="278" t="str">
        <x:f>IF('_REFLO_BRIDGE'!$D$62="","",'_REFLO_BRIDGE'!$D$62)</x:f>
      </x:c>
      <x:c r="E44" s="278" t="str">
        <x:f>IF('_REFLO_BRIDGE'!$E$62="","",'_REFLO_BRIDGE'!$E$62)</x:f>
      </x:c>
      <x:c r="F44" s="278" t="str">
        <x:f>IF('_REFLO_BRIDGE'!$F$62="","",'_REFLO_BRIDGE'!$F$62)</x:f>
      </x:c>
      <x:c r="G44" s="278" t="str">
        <x:f>IF('_REFLO_BRIDGE'!$G$62="","",'_REFLO_BRIDGE'!$G$62)</x:f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3"/>
    </x:row>
    <x:row r="45" ht="18" customHeight="1">
      <x:c r="A45" s="283" t="str">
        <x:f>IF('_REFLO_BRIDGE'!$A$63="","",'_REFLO_BRIDGE'!$A$63)</x:f>
      </x:c>
      <x:c r="B45" s="284" t="str">
        <x:f>IF('_REFLO_BRIDGE'!$B$63="","",'_REFLO_BRIDGE'!$B$63)</x:f>
      </x:c>
      <x:c r="C45" s="278" t="str">
        <x:f>IF('_REFLO_BRIDGE'!$C$63="","",'_REFLO_BRIDGE'!$C$63)</x:f>
      </x:c>
      <x:c r="D45" s="278" t="str">
        <x:f>IF('_REFLO_BRIDGE'!$D$63="","",'_REFLO_BRIDGE'!$D$63)</x:f>
      </x:c>
      <x:c r="E45" s="278" t="str">
        <x:f>IF('_REFLO_BRIDGE'!$E$63="","",'_REFLO_BRIDGE'!$E$63)</x:f>
      </x:c>
      <x:c r="F45" s="278" t="str">
        <x:f>IF('_REFLO_BRIDGE'!$F$63="","",'_REFLO_BRIDGE'!$F$63)</x:f>
      </x:c>
      <x:c r="G45" s="278" t="str">
        <x:f>IF('_REFLO_BRIDGE'!$G$63="","",'_REFLO_BRIDGE'!$G$63)</x:f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3"/>
    </x:row>
    <x:row r="46" ht="18" customHeight="1">
      <x:c r="A46" s="283" t="str">
        <x:f>IF('_REFLO_BRIDGE'!$A$64="","",'_REFLO_BRIDGE'!$A$64)</x:f>
      </x:c>
      <x:c r="B46" s="284" t="str">
        <x:f>IF('_REFLO_BRIDGE'!$B$64="","",'_REFLO_BRIDGE'!$B$64)</x:f>
      </x:c>
      <x:c r="C46" s="278" t="str">
        <x:f>IF('_REFLO_BRIDGE'!$C$64="","",'_REFLO_BRIDGE'!$C$64)</x:f>
      </x:c>
      <x:c r="D46" s="278" t="str">
        <x:f>IF('_REFLO_BRIDGE'!$D$64="","",'_REFLO_BRIDGE'!$D$64)</x:f>
      </x:c>
      <x:c r="E46" s="278" t="str">
        <x:f>IF('_REFLO_BRIDGE'!$E$64="","",'_REFLO_BRIDGE'!$E$64)</x:f>
      </x:c>
      <x:c r="F46" s="278" t="str">
        <x:f>IF('_REFLO_BRIDGE'!$F$64="","",'_REFLO_BRIDGE'!$F$64)</x:f>
      </x:c>
      <x:c r="G46" s="278" t="str">
        <x:f>IF('_REFLO_BRIDGE'!$G$64="","",'_REFLO_BRIDGE'!$G$64)</x:f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3"/>
    </x:row>
    <x:row r="47" ht="18" customHeight="1">
      <x:c r="A47" s="283" t="str">
        <x:f>IF('_REFLO_BRIDGE'!$A$65="","",'_REFLO_BRIDGE'!$A$65)</x:f>
      </x:c>
      <x:c r="B47" s="284" t="str">
        <x:f>IF('_REFLO_BRIDGE'!$B$65="","",'_REFLO_BRIDGE'!$B$65)</x:f>
      </x:c>
      <x:c r="C47" s="278" t="str">
        <x:f>IF('_REFLO_BRIDGE'!$C$65="","",'_REFLO_BRIDGE'!$C$65)</x:f>
      </x:c>
      <x:c r="D47" s="278" t="str">
        <x:f>IF('_REFLO_BRIDGE'!$D$65="","",'_REFLO_BRIDGE'!$D$65)</x:f>
      </x:c>
      <x:c r="E47" s="278" t="str">
        <x:f>IF('_REFLO_BRIDGE'!$E$65="","",'_REFLO_BRIDGE'!$E$65)</x:f>
      </x:c>
      <x:c r="F47" s="278" t="str">
        <x:f>IF('_REFLO_BRIDGE'!$F$65="","",'_REFLO_BRIDGE'!$F$65)</x:f>
      </x:c>
      <x:c r="G47" s="278" t="str">
        <x:f>IF('_REFLO_BRIDGE'!$G$65="","",'_REFLO_BRIDGE'!$G$65)</x:f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3"/>
    </x:row>
    <x:row r="48" ht="18" customHeight="1">
      <x:c r="A48" s="283" t="str">
        <x:f>IF('_REFLO_BRIDGE'!$A$66="","",'_REFLO_BRIDGE'!$A$66)</x:f>
      </x:c>
      <x:c r="B48" s="284" t="str">
        <x:f>IF('_REFLO_BRIDGE'!$B$66="","",'_REFLO_BRIDGE'!$B$66)</x:f>
      </x:c>
      <x:c r="C48" s="278" t="str">
        <x:f>IF('_REFLO_BRIDGE'!$C$66="","",'_REFLO_BRIDGE'!$C$66)</x:f>
      </x:c>
      <x:c r="D48" s="278" t="str">
        <x:f>IF('_REFLO_BRIDGE'!$D$66="","",'_REFLO_BRIDGE'!$D$66)</x:f>
      </x:c>
      <x:c r="E48" s="278" t="str">
        <x:f>IF('_REFLO_BRIDGE'!$E$66="","",'_REFLO_BRIDGE'!$E$66)</x:f>
      </x:c>
      <x:c r="F48" s="278" t="str">
        <x:f>IF('_REFLO_BRIDGE'!$F$66="","",'_REFLO_BRIDGE'!$F$66)</x:f>
      </x:c>
      <x:c r="G48" s="278" t="str">
        <x:f>IF('_REFLO_BRIDGE'!$G$66="","",'_REFLO_BRIDGE'!$G$66)</x:f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3"/>
    </x:row>
    <x:row r="49" ht="18" customHeight="1">
      <x:c r="A49" s="283" t="str">
        <x:f>IF('_REFLO_BRIDGE'!$A$67="","",'_REFLO_BRIDGE'!$A$67)</x:f>
      </x:c>
      <x:c r="B49" s="284" t="str">
        <x:f>IF('_REFLO_BRIDGE'!$B$67="","",'_REFLO_BRIDGE'!$B$67)</x:f>
      </x:c>
      <x:c r="C49" s="278" t="str">
        <x:f>IF('_REFLO_BRIDGE'!$C$67="","",'_REFLO_BRIDGE'!$C$67)</x:f>
      </x:c>
      <x:c r="D49" s="278" t="str">
        <x:f>IF('_REFLO_BRIDGE'!$D$67="","",'_REFLO_BRIDGE'!$D$67)</x:f>
      </x:c>
      <x:c r="E49" s="278" t="str">
        <x:f>IF('_REFLO_BRIDGE'!$E$67="","",'_REFLO_BRIDGE'!$E$67)</x:f>
      </x:c>
      <x:c r="F49" s="278" t="str">
        <x:f>IF('_REFLO_BRIDGE'!$F$67="","",'_REFLO_BRIDGE'!$F$67)</x:f>
      </x:c>
      <x:c r="G49" s="278" t="str">
        <x:f>IF('_REFLO_BRIDGE'!$G$67="","",'_REFLO_BRIDGE'!$G$67)</x:f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3"/>
    </x:row>
    <x:row r="50" ht="18" customHeight="1">
      <x:c r="A50" s="283" t="str">
        <x:f>IF('_REFLO_BRIDGE'!$A$68="","",'_REFLO_BRIDGE'!$A$68)</x:f>
      </x:c>
      <x:c r="B50" s="284" t="str">
        <x:f>IF('_REFLO_BRIDGE'!$B$68="","",'_REFLO_BRIDGE'!$B$68)</x:f>
      </x:c>
      <x:c r="C50" s="278" t="str">
        <x:f>IF('_REFLO_BRIDGE'!$C$68="","",'_REFLO_BRIDGE'!$C$68)</x:f>
      </x:c>
      <x:c r="D50" s="278" t="str">
        <x:f>IF('_REFLO_BRIDGE'!$D$68="","",'_REFLO_BRIDGE'!$D$68)</x:f>
      </x:c>
      <x:c r="E50" s="278" t="str">
        <x:f>IF('_REFLO_BRIDGE'!$E$68="","",'_REFLO_BRIDGE'!$E$68)</x:f>
      </x:c>
      <x:c r="F50" s="278" t="str">
        <x:f>IF('_REFLO_BRIDGE'!$F$68="","",'_REFLO_BRIDGE'!$F$68)</x:f>
      </x:c>
      <x:c r="G50" s="278" t="str">
        <x:f>IF('_REFLO_BRIDGE'!$G$68="","",'_REFLO_BRIDGE'!$G$68)</x:f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3"/>
    </x:row>
    <x:row r="51" ht="18" customHeight="1">
      <x:c r="A51" s="283" t="str">
        <x:f>IF('_REFLO_BRIDGE'!$A$69="","",'_REFLO_BRIDGE'!$A$69)</x:f>
      </x:c>
      <x:c r="B51" s="284" t="str">
        <x:f>IF('_REFLO_BRIDGE'!$B$69="","",'_REFLO_BRIDGE'!$B$69)</x:f>
      </x:c>
      <x:c r="C51" s="278" t="str">
        <x:f>IF('_REFLO_BRIDGE'!$C$69="","",'_REFLO_BRIDGE'!$C$69)</x:f>
      </x:c>
      <x:c r="D51" s="278" t="str">
        <x:f>IF('_REFLO_BRIDGE'!$D$69="","",'_REFLO_BRIDGE'!$D$69)</x:f>
      </x:c>
      <x:c r="E51" s="278" t="str">
        <x:f>IF('_REFLO_BRIDGE'!$E$69="","",'_REFLO_BRIDGE'!$E$69)</x:f>
      </x:c>
      <x:c r="F51" s="278" t="str">
        <x:f>IF('_REFLO_BRIDGE'!$F$69="","",'_REFLO_BRIDGE'!$F$69)</x:f>
      </x:c>
      <x:c r="G51" s="278" t="str">
        <x:f>IF('_REFLO_BRIDGE'!$G$69="","",'_REFLO_BRIDGE'!$G$69)</x:f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3"/>
    </x:row>
    <x:row r="52" ht="18" customHeight="1">
      <x:c r="A52" s="283" t="str">
        <x:f>IF('_REFLO_BRIDGE'!$A$70="","",'_REFLO_BRIDGE'!$A$70)</x:f>
      </x:c>
      <x:c r="B52" s="284" t="str">
        <x:f>IF('_REFLO_BRIDGE'!$B$70="","",'_REFLO_BRIDGE'!$B$70)</x:f>
      </x:c>
      <x:c r="C52" s="278" t="str">
        <x:f>IF('_REFLO_BRIDGE'!$C$70="","",'_REFLO_BRIDGE'!$C$70)</x:f>
      </x:c>
      <x:c r="D52" s="278" t="str">
        <x:f>IF('_REFLO_BRIDGE'!$D$70="","",'_REFLO_BRIDGE'!$D$70)</x:f>
      </x:c>
      <x:c r="E52" s="278" t="str">
        <x:f>IF('_REFLO_BRIDGE'!$E$70="","",'_REFLO_BRIDGE'!$E$70)</x:f>
      </x:c>
      <x:c r="F52" s="278" t="str">
        <x:f>IF('_REFLO_BRIDGE'!$F$70="","",'_REFLO_BRIDGE'!$F$70)</x:f>
      </x:c>
      <x:c r="G52" s="278" t="str">
        <x:f>IF('_REFLO_BRIDGE'!$G$70="","",'_REFLO_BRIDGE'!$G$70)</x:f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3"/>
    </x:row>
    <x:row r="53" ht="18" customHeight="1">
      <x:c r="A53" s="283" t="str">
        <x:f>IF('_REFLO_BRIDGE'!$A$71="","",'_REFLO_BRIDGE'!$A$71)</x:f>
      </x:c>
      <x:c r="B53" s="284" t="str">
        <x:f>IF('_REFLO_BRIDGE'!$B$71="","",'_REFLO_BRIDGE'!$B$71)</x:f>
      </x:c>
      <x:c r="C53" s="278" t="str">
        <x:f>IF('_REFLO_BRIDGE'!$C$71="","",'_REFLO_BRIDGE'!$C$71)</x:f>
      </x:c>
      <x:c r="D53" s="278" t="str">
        <x:f>IF('_REFLO_BRIDGE'!$D$71="","",'_REFLO_BRIDGE'!$D$71)</x:f>
      </x:c>
      <x:c r="E53" s="278" t="str">
        <x:f>IF('_REFLO_BRIDGE'!$E$71="","",'_REFLO_BRIDGE'!$E$71)</x:f>
      </x:c>
      <x:c r="F53" s="278" t="str">
        <x:f>IF('_REFLO_BRIDGE'!$F$71="","",'_REFLO_BRIDGE'!$F$71)</x:f>
      </x:c>
      <x:c r="G53" s="278" t="str">
        <x:f>IF('_REFLO_BRIDGE'!$G$71="","",'_REFLO_BRIDGE'!$G$71)</x:f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3"/>
    </x:row>
    <x:row r="54" ht="18" customHeight="1">
      <x:c r="A54" s="283" t="str">
        <x:f>IF('_REFLO_BRIDGE'!$A$72="","",'_REFLO_BRIDGE'!$A$72)</x:f>
      </x:c>
      <x:c r="B54" s="284" t="str">
        <x:f>IF('_REFLO_BRIDGE'!$B$72="","",'_REFLO_BRIDGE'!$B$72)</x:f>
      </x:c>
      <x:c r="C54" s="278" t="str">
        <x:f>IF('_REFLO_BRIDGE'!$C$72="","",'_REFLO_BRIDGE'!$C$72)</x:f>
      </x:c>
      <x:c r="D54" s="278" t="str">
        <x:f>IF('_REFLO_BRIDGE'!$D$72="","",'_REFLO_BRIDGE'!$D$72)</x:f>
      </x:c>
      <x:c r="E54" s="278" t="str">
        <x:f>IF('_REFLO_BRIDGE'!$E$72="","",'_REFLO_BRIDGE'!$E$72)</x:f>
      </x:c>
      <x:c r="F54" s="278" t="str">
        <x:f>IF('_REFLO_BRIDGE'!$F$72="","",'_REFLO_BRIDGE'!$F$72)</x:f>
      </x:c>
      <x:c r="G54" s="278" t="str">
        <x:f>IF('_REFLO_BRIDGE'!$G$72="","",'_REFLO_BRIDGE'!$G$72)</x:f>
      </x:c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3"/>
    </x:row>
    <x:row r="55" ht="18" customHeight="1">
      <x:c r="A55" s="283" t="str">
        <x:f>IF('_REFLO_BRIDGE'!$A$73="","",'_REFLO_BRIDGE'!$A$73)</x:f>
      </x:c>
      <x:c r="B55" s="284" t="str">
        <x:f>IF('_REFLO_BRIDGE'!$B$73="","",'_REFLO_BRIDGE'!$B$73)</x:f>
      </x:c>
      <x:c r="C55" s="278" t="str">
        <x:f>IF('_REFLO_BRIDGE'!$C$73="","",'_REFLO_BRIDGE'!$C$73)</x:f>
      </x:c>
      <x:c r="D55" s="278" t="str">
        <x:f>IF('_REFLO_BRIDGE'!$D$73="","",'_REFLO_BRIDGE'!$D$73)</x:f>
      </x:c>
      <x:c r="E55" s="278" t="str">
        <x:f>IF('_REFLO_BRIDGE'!$E$73="","",'_REFLO_BRIDGE'!$E$73)</x:f>
      </x:c>
      <x:c r="F55" s="278" t="str">
        <x:f>IF('_REFLO_BRIDGE'!$F$73="","",'_REFLO_BRIDGE'!$F$73)</x:f>
      </x:c>
      <x:c r="G55" s="278" t="str">
        <x:f>IF('_REFLO_BRIDGE'!$G$73="","",'_REFLO_BRIDGE'!$G$73)</x:f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3"/>
    </x:row>
    <x:row r="56" ht="18" customHeight="1">
      <x:c r="A56" s="283" t="str">
        <x:f>IF('_REFLO_BRIDGE'!$A$74="","",'_REFLO_BRIDGE'!$A$74)</x:f>
      </x:c>
      <x:c r="B56" s="284" t="str">
        <x:f>IF('_REFLO_BRIDGE'!$B$74="","",'_REFLO_BRIDGE'!$B$74)</x:f>
      </x:c>
      <x:c r="C56" s="278" t="str">
        <x:f>IF('_REFLO_BRIDGE'!$C$74="","",'_REFLO_BRIDGE'!$C$74)</x:f>
      </x:c>
      <x:c r="D56" s="278" t="str">
        <x:f>IF('_REFLO_BRIDGE'!$D$74="","",'_REFLO_BRIDGE'!$D$74)</x:f>
      </x:c>
      <x:c r="E56" s="278" t="str">
        <x:f>IF('_REFLO_BRIDGE'!$E$74="","",'_REFLO_BRIDGE'!$E$74)</x:f>
      </x:c>
      <x:c r="F56" s="278" t="str">
        <x:f>IF('_REFLO_BRIDGE'!$F$74="","",'_REFLO_BRIDGE'!$F$74)</x:f>
      </x:c>
      <x:c r="G56" s="278" t="str">
        <x:f>IF('_REFLO_BRIDGE'!$G$74="","",'_REFLO_BRIDGE'!$G$74)</x:f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3"/>
    </x:row>
    <x:row r="57" ht="18" customHeight="1">
      <x:c r="A57" s="283" t="str">
        <x:f>IF('_REFLO_BRIDGE'!$A$75="","",'_REFLO_BRIDGE'!$A$75)</x:f>
      </x:c>
      <x:c r="B57" s="284" t="str">
        <x:f>IF('_REFLO_BRIDGE'!$B$75="","",'_REFLO_BRIDGE'!$B$75)</x:f>
      </x:c>
      <x:c r="C57" s="278" t="str">
        <x:f>IF('_REFLO_BRIDGE'!$C$75="","",'_REFLO_BRIDGE'!$C$75)</x:f>
      </x:c>
      <x:c r="D57" s="278" t="str">
        <x:f>IF('_REFLO_BRIDGE'!$D$75="","",'_REFLO_BRIDGE'!$D$75)</x:f>
      </x:c>
      <x:c r="E57" s="278" t="str">
        <x:f>IF('_REFLO_BRIDGE'!$E$75="","",'_REFLO_BRIDGE'!$E$75)</x:f>
      </x:c>
      <x:c r="F57" s="278" t="str">
        <x:f>IF('_REFLO_BRIDGE'!$F$75="","",'_REFLO_BRIDGE'!$F$75)</x:f>
      </x:c>
      <x:c r="G57" s="278" t="str">
        <x:f>IF('_REFLO_BRIDGE'!$G$75="","",'_REFLO_BRIDGE'!$G$75)</x:f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3"/>
    </x:row>
    <x:row r="58" ht="18" customHeight="1">
      <x:c r="A58" s="283" t="str">
        <x:f>IF('_REFLO_BRIDGE'!$A$76="","",'_REFLO_BRIDGE'!$A$76)</x:f>
      </x:c>
      <x:c r="B58" s="284" t="str">
        <x:f>IF('_REFLO_BRIDGE'!$B$76="","",'_REFLO_BRIDGE'!$B$76)</x:f>
      </x:c>
      <x:c r="C58" s="278" t="str">
        <x:f>IF('_REFLO_BRIDGE'!$C$76="","",'_REFLO_BRIDGE'!$C$76)</x:f>
      </x:c>
      <x:c r="D58" s="278" t="str">
        <x:f>IF('_REFLO_BRIDGE'!$D$76="","",'_REFLO_BRIDGE'!$D$76)</x:f>
      </x:c>
      <x:c r="E58" s="278" t="str">
        <x:f>IF('_REFLO_BRIDGE'!$E$76="","",'_REFLO_BRIDGE'!$E$76)</x:f>
      </x:c>
      <x:c r="F58" s="278" t="str">
        <x:f>IF('_REFLO_BRIDGE'!$F$76="","",'_REFLO_BRIDGE'!$F$76)</x:f>
      </x:c>
      <x:c r="G58" s="278" t="str">
        <x:f>IF('_REFLO_BRIDGE'!$G$76="","",'_REFLO_BRIDGE'!$G$76)</x:f>
      </x:c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3"/>
    </x:row>
    <x:row r="59" ht="18" customHeight="1">
      <x:c r="A59" s="283" t="str">
        <x:f>IF('_REFLO_BRIDGE'!$A$77="","",'_REFLO_BRIDGE'!$A$77)</x:f>
      </x:c>
      <x:c r="B59" s="284" t="str">
        <x:f>IF('_REFLO_BRIDGE'!$B$77="","",'_REFLO_BRIDGE'!$B$77)</x:f>
      </x:c>
      <x:c r="C59" s="278" t="str">
        <x:f>IF('_REFLO_BRIDGE'!$C$77="","",'_REFLO_BRIDGE'!$C$77)</x:f>
      </x:c>
      <x:c r="D59" s="278" t="str">
        <x:f>IF('_REFLO_BRIDGE'!$D$77="","",'_REFLO_BRIDGE'!$D$77)</x:f>
      </x:c>
      <x:c r="E59" s="278" t="str">
        <x:f>IF('_REFLO_BRIDGE'!$E$77="","",'_REFLO_BRIDGE'!$E$77)</x:f>
      </x:c>
      <x:c r="F59" s="278" t="str">
        <x:f>IF('_REFLO_BRIDGE'!$F$77="","",'_REFLO_BRIDGE'!$F$77)</x:f>
      </x:c>
      <x:c r="G59" s="278" t="str">
        <x:f>IF('_REFLO_BRIDGE'!$G$77="","",'_REFLO_BRIDGE'!$G$77)</x:f>
      </x:c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3"/>
    </x:row>
    <x:row r="60" ht="18" customHeight="1">
      <x:c r="A60" s="283" t="str">
        <x:f>IF('_REFLO_BRIDGE'!$A$78="","",'_REFLO_BRIDGE'!$A$78)</x:f>
      </x:c>
      <x:c r="B60" s="284" t="str">
        <x:f>IF('_REFLO_BRIDGE'!$B$78="","",'_REFLO_BRIDGE'!$B$78)</x:f>
      </x:c>
      <x:c r="C60" s="278" t="str">
        <x:f>IF('_REFLO_BRIDGE'!$C$78="","",'_REFLO_BRIDGE'!$C$78)</x:f>
      </x:c>
      <x:c r="D60" s="278" t="str">
        <x:f>IF('_REFLO_BRIDGE'!$D$78="","",'_REFLO_BRIDGE'!$D$78)</x:f>
      </x:c>
      <x:c r="E60" s="278" t="str">
        <x:f>IF('_REFLO_BRIDGE'!$E$78="","",'_REFLO_BRIDGE'!$E$78)</x:f>
      </x:c>
      <x:c r="F60" s="278" t="str">
        <x:f>IF('_REFLO_BRIDGE'!$F$78="","",'_REFLO_BRIDGE'!$F$78)</x:f>
      </x:c>
      <x:c r="G60" s="278" t="str">
        <x:f>IF('_REFLO_BRIDGE'!$G$78="","",'_REFLO_BRIDGE'!$G$78)</x:f>
      </x:c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1"/>
    </x:row>
    <x:row r="61" ht="18" customHeight="1">
      <x:c r="A61" s="283" t="str">
        <x:f>IF('_REFLO_BRIDGE'!$A$79="","",'_REFLO_BRIDGE'!$A$79)</x:f>
      </x:c>
      <x:c r="B61" s="284" t="str">
        <x:f>IF('_REFLO_BRIDGE'!$B$79="","",'_REFLO_BRIDGE'!$B$79)</x:f>
      </x:c>
      <x:c r="C61" s="278" t="str">
        <x:f>IF('_REFLO_BRIDGE'!$C$79="","",'_REFLO_BRIDGE'!$C$79)</x:f>
      </x:c>
      <x:c r="D61" s="278" t="str">
        <x:f>IF('_REFLO_BRIDGE'!$D$79="","",'_REFLO_BRIDGE'!$D$79)</x:f>
      </x:c>
      <x:c r="E61" s="278" t="str">
        <x:f>IF('_REFLO_BRIDGE'!$E$79="","",'_REFLO_BRIDGE'!$E$79)</x:f>
      </x:c>
      <x:c r="F61" s="278" t="str">
        <x:f>IF('_REFLO_BRIDGE'!$F$79="","",'_REFLO_BRIDGE'!$F$79)</x:f>
      </x:c>
      <x:c r="G61" s="278" t="str">
        <x:f>IF('_REFLO_BRIDGE'!$G$79="","",'_REFLO_BRIDGE'!$G$79)</x:f>
      </x:c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283" t="str">
        <x:f>IF('_REFLO_BRIDGE'!$A$80="","",'_REFLO_BRIDGE'!$A$80)</x:f>
      </x:c>
      <x:c r="B62" s="284" t="str">
        <x:f>IF('_REFLO_BRIDGE'!$B$80="","",'_REFLO_BRIDGE'!$B$80)</x:f>
      </x:c>
      <x:c r="C62" s="278" t="str">
        <x:f>IF('_REFLO_BRIDGE'!$C$80="","",'_REFLO_BRIDGE'!$C$80)</x:f>
      </x:c>
      <x:c r="D62" s="278" t="str">
        <x:f>IF('_REFLO_BRIDGE'!$D$80="","",'_REFLO_BRIDGE'!$D$80)</x:f>
      </x:c>
      <x:c r="E62" s="278" t="str">
        <x:f>IF('_REFLO_BRIDGE'!$E$80="","",'_REFLO_BRIDGE'!$E$80)</x:f>
      </x:c>
      <x:c r="F62" s="278" t="str">
        <x:f>IF('_REFLO_BRIDGE'!$F$80="","",'_REFLO_BRIDGE'!$F$80)</x:f>
      </x:c>
      <x:c r="G62" s="278" t="str">
        <x:f>IF('_REFLO_BRIDGE'!$G$80="","",'_REFLO_BRIDGE'!$G$80)</x:f>
      </x:c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283" t="str">
        <x:f>IF('_REFLO_BRIDGE'!$A$81="","",'_REFLO_BRIDGE'!$A$81)</x:f>
      </x:c>
      <x:c r="B63" s="284" t="str">
        <x:f>IF('_REFLO_BRIDGE'!$B$81="","",'_REFLO_BRIDGE'!$B$81)</x:f>
      </x:c>
      <x:c r="C63" s="278" t="str">
        <x:f>IF('_REFLO_BRIDGE'!$C$81="","",'_REFLO_BRIDGE'!$C$81)</x:f>
      </x:c>
      <x:c r="D63" s="278" t="str">
        <x:f>IF('_REFLO_BRIDGE'!$D$81="","",'_REFLO_BRIDGE'!$D$81)</x:f>
      </x:c>
      <x:c r="E63" s="278" t="str">
        <x:f>IF('_REFLO_BRIDGE'!$E$81="","",'_REFLO_BRIDGE'!$E$81)</x:f>
      </x:c>
      <x:c r="F63" s="278" t="str">
        <x:f>IF('_REFLO_BRIDGE'!$F$81="","",'_REFLO_BRIDGE'!$F$81)</x:f>
      </x:c>
      <x:c r="G63" s="278" t="str">
        <x:f>IF('_REFLO_BRIDGE'!$G$81="","",'_REFLO_BRIDGE'!$G$81)</x:f>
      </x:c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283" t="str">
        <x:f>IF('_REFLO_BRIDGE'!$A$82="","",'_REFLO_BRIDGE'!$A$82)</x:f>
      </x:c>
      <x:c r="B64" s="284" t="str">
        <x:f>IF('_REFLO_BRIDGE'!$B$82="","",'_REFLO_BRIDGE'!$B$82)</x:f>
      </x:c>
      <x:c r="C64" s="278" t="str">
        <x:f>IF('_REFLO_BRIDGE'!$C$82="","",'_REFLO_BRIDGE'!$C$82)</x:f>
      </x:c>
      <x:c r="D64" s="278" t="str">
        <x:f>IF('_REFLO_BRIDGE'!$D$82="","",'_REFLO_BRIDGE'!$D$82)</x:f>
      </x:c>
      <x:c r="E64" s="278" t="str">
        <x:f>IF('_REFLO_BRIDGE'!$E$82="","",'_REFLO_BRIDGE'!$E$82)</x:f>
      </x:c>
      <x:c r="F64" s="278" t="str">
        <x:f>IF('_REFLO_BRIDGE'!$F$82="","",'_REFLO_BRIDGE'!$F$82)</x:f>
      </x:c>
      <x:c r="G64" s="278" t="str">
        <x:f>IF('_REFLO_BRIDGE'!$G$82="","",'_REFLO_BRIDGE'!$G$82)</x:f>
      </x:c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283" t="str">
        <x:f>IF('_REFLO_BRIDGE'!$A$83="","",'_REFLO_BRIDGE'!$A$83)</x:f>
      </x:c>
      <x:c r="B65" s="284" t="str">
        <x:f>IF('_REFLO_BRIDGE'!$B$83="","",'_REFLO_BRIDGE'!$B$83)</x:f>
      </x:c>
      <x:c r="C65" s="278" t="str">
        <x:f>IF('_REFLO_BRIDGE'!$C$83="","",'_REFLO_BRIDGE'!$C$83)</x:f>
      </x:c>
      <x:c r="D65" s="278" t="str">
        <x:f>IF('_REFLO_BRIDGE'!$D$83="","",'_REFLO_BRIDGE'!$D$83)</x:f>
      </x:c>
      <x:c r="E65" s="278" t="str">
        <x:f>IF('_REFLO_BRIDGE'!$E$83="","",'_REFLO_BRIDGE'!$E$83)</x:f>
      </x:c>
      <x:c r="F65" s="278" t="str">
        <x:f>IF('_REFLO_BRIDGE'!$F$83="","",'_REFLO_BRIDGE'!$F$83)</x:f>
      </x:c>
      <x:c r="G65" s="278" t="str">
        <x:f>IF('_REFLO_BRIDGE'!$G$83="","",'_REFLO_BRIDGE'!$G$83)</x:f>
      </x:c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283" t="str">
        <x:f>IF('_REFLO_BRIDGE'!$A$84="","",'_REFLO_BRIDGE'!$A$84)</x:f>
      </x:c>
      <x:c r="B66" s="284" t="str">
        <x:f>IF('_REFLO_BRIDGE'!$B$84="","",'_REFLO_BRIDGE'!$B$84)</x:f>
      </x:c>
      <x:c r="C66" s="278" t="str">
        <x:f>IF('_REFLO_BRIDGE'!$C$84="","",'_REFLO_BRIDGE'!$C$84)</x:f>
      </x:c>
      <x:c r="D66" s="278" t="str">
        <x:f>IF('_REFLO_BRIDGE'!$D$84="","",'_REFLO_BRIDGE'!$D$84)</x:f>
      </x:c>
      <x:c r="E66" s="278" t="str">
        <x:f>IF('_REFLO_BRIDGE'!$E$84="","",'_REFLO_BRIDGE'!$E$84)</x:f>
      </x:c>
      <x:c r="F66" s="278" t="str">
        <x:f>IF('_REFLO_BRIDGE'!$F$84="","",'_REFLO_BRIDGE'!$F$84)</x:f>
      </x:c>
      <x:c r="G66" s="278" t="str">
        <x:f>IF('_REFLO_BRIDGE'!$G$84="","",'_REFLO_BRIDGE'!$G$84)</x:f>
      </x:c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283" t="str">
        <x:f>IF('_REFLO_BRIDGE'!$A$85="","",'_REFLO_BRIDGE'!$A$85)</x:f>
      </x:c>
      <x:c r="B67" s="284" t="str">
        <x:f>IF('_REFLO_BRIDGE'!$B$85="","",'_REFLO_BRIDGE'!$B$85)</x:f>
      </x:c>
      <x:c r="C67" s="278" t="str">
        <x:f>IF('_REFLO_BRIDGE'!$C$85="","",'_REFLO_BRIDGE'!$C$85)</x:f>
      </x:c>
      <x:c r="D67" s="278" t="str">
        <x:f>IF('_REFLO_BRIDGE'!$D$85="","",'_REFLO_BRIDGE'!$D$85)</x:f>
      </x:c>
      <x:c r="E67" s="278" t="str">
        <x:f>IF('_REFLO_BRIDGE'!$E$85="","",'_REFLO_BRIDGE'!$E$85)</x:f>
      </x:c>
      <x:c r="F67" s="278" t="str">
        <x:f>IF('_REFLO_BRIDGE'!$F$85="","",'_REFLO_BRIDGE'!$F$85)</x:f>
      </x:c>
      <x:c r="G67" s="278" t="str">
        <x:f>IF('_REFLO_BRIDGE'!$G$85="","",'_REFLO_BRIDGE'!$G$85)</x:f>
      </x:c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283" t="str">
        <x:f>IF('_REFLO_BRIDGE'!$A$86="","",'_REFLO_BRIDGE'!$A$86)</x:f>
      </x:c>
      <x:c r="B68" s="284" t="str">
        <x:f>IF('_REFLO_BRIDGE'!$B$86="","",'_REFLO_BRIDGE'!$B$86)</x:f>
      </x:c>
      <x:c r="C68" s="278" t="str">
        <x:f>IF('_REFLO_BRIDGE'!$C$86="","",'_REFLO_BRIDGE'!$C$86)</x:f>
      </x:c>
      <x:c r="D68" s="278" t="str">
        <x:f>IF('_REFLO_BRIDGE'!$D$86="","",'_REFLO_BRIDGE'!$D$86)</x:f>
      </x:c>
      <x:c r="E68" s="278" t="str">
        <x:f>IF('_REFLO_BRIDGE'!$E$86="","",'_REFLO_BRIDGE'!$E$86)</x:f>
      </x:c>
      <x:c r="F68" s="278" t="str">
        <x:f>IF('_REFLO_BRIDGE'!$F$86="","",'_REFLO_BRIDGE'!$F$86)</x:f>
      </x:c>
      <x:c r="G68" s="278" t="str">
        <x:f>IF('_REFLO_BRIDGE'!$G$86="","",'_REFLO_BRIDGE'!$G$86)</x:f>
      </x:c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283" t="str">
        <x:f>IF('_REFLO_BRIDGE'!$A$87="","",'_REFLO_BRIDGE'!$A$87)</x:f>
      </x:c>
      <x:c r="B69" s="284" t="str">
        <x:f>IF('_REFLO_BRIDGE'!$B$87="","",'_REFLO_BRIDGE'!$B$87)</x:f>
      </x:c>
      <x:c r="C69" s="278" t="str">
        <x:f>IF('_REFLO_BRIDGE'!$C$87="","",'_REFLO_BRIDGE'!$C$87)</x:f>
      </x:c>
      <x:c r="D69" s="278" t="str">
        <x:f>IF('_REFLO_BRIDGE'!$D$87="","",'_REFLO_BRIDGE'!$D$87)</x:f>
      </x:c>
      <x:c r="E69" s="278" t="str">
        <x:f>IF('_REFLO_BRIDGE'!$E$87="","",'_REFLO_BRIDGE'!$E$87)</x:f>
      </x:c>
      <x:c r="F69" s="278" t="str">
        <x:f>IF('_REFLO_BRIDGE'!$F$87="","",'_REFLO_BRIDGE'!$F$87)</x:f>
      </x:c>
      <x:c r="G69" s="278" t="str">
        <x:f>IF('_REFLO_BRIDGE'!$G$87="","",'_REFLO_BRIDGE'!$G$87)</x:f>
      </x:c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283" t="str">
        <x:f>IF('_REFLO_BRIDGE'!$A$88="","",'_REFLO_BRIDGE'!$A$88)</x:f>
      </x:c>
      <x:c r="B70" s="284" t="str">
        <x:f>IF('_REFLO_BRIDGE'!$B$88="","",'_REFLO_BRIDGE'!$B$88)</x:f>
      </x:c>
      <x:c r="C70" s="278" t="str">
        <x:f>IF('_REFLO_BRIDGE'!$C$88="","",'_REFLO_BRIDGE'!$C$88)</x:f>
      </x:c>
      <x:c r="D70" s="278" t="str">
        <x:f>IF('_REFLO_BRIDGE'!$D$88="","",'_REFLO_BRIDGE'!$D$88)</x:f>
      </x:c>
      <x:c r="E70" s="278" t="str">
        <x:f>IF('_REFLO_BRIDGE'!$E$88="","",'_REFLO_BRIDGE'!$E$88)</x:f>
      </x:c>
      <x:c r="F70" s="278" t="str">
        <x:f>IF('_REFLO_BRIDGE'!$F$88="","",'_REFLO_BRIDGE'!$F$88)</x:f>
      </x:c>
      <x:c r="G70" s="278" t="str">
        <x:f>IF('_REFLO_BRIDGE'!$G$88="","",'_REFLO_BRIDGE'!$G$88)</x:f>
      </x:c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283" t="str">
        <x:f>IF('_REFLO_BRIDGE'!$A$89="","",'_REFLO_BRIDGE'!$A$89)</x:f>
      </x:c>
      <x:c r="B71" s="284" t="str">
        <x:f>IF('_REFLO_BRIDGE'!$B$89="","",'_REFLO_BRIDGE'!$B$89)</x:f>
      </x:c>
      <x:c r="C71" s="278" t="str">
        <x:f>IF('_REFLO_BRIDGE'!$C$89="","",'_REFLO_BRIDGE'!$C$89)</x:f>
      </x:c>
      <x:c r="D71" s="278" t="str">
        <x:f>IF('_REFLO_BRIDGE'!$D$89="","",'_REFLO_BRIDGE'!$D$89)</x:f>
      </x:c>
      <x:c r="E71" s="278" t="str">
        <x:f>IF('_REFLO_BRIDGE'!$E$89="","",'_REFLO_BRIDGE'!$E$89)</x:f>
      </x:c>
      <x:c r="F71" s="278" t="str">
        <x:f>IF('_REFLO_BRIDGE'!$F$89="","",'_REFLO_BRIDGE'!$F$89)</x:f>
      </x:c>
      <x:c r="G71" s="278" t="str">
        <x:f>IF('_REFLO_BRIDGE'!$G$89="","",'_REFLO_BRIDGE'!$G$89)</x:f>
      </x:c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283" t="str">
        <x:f>IF('_REFLO_BRIDGE'!$A$90="","",'_REFLO_BRIDGE'!$A$90)</x:f>
      </x:c>
      <x:c r="B72" s="284" t="str">
        <x:f>IF('_REFLO_BRIDGE'!$B$90="","",'_REFLO_BRIDGE'!$B$90)</x:f>
      </x:c>
      <x:c r="C72" s="278" t="str">
        <x:f>IF('_REFLO_BRIDGE'!$C$90="","",'_REFLO_BRIDGE'!$C$90)</x:f>
      </x:c>
      <x:c r="D72" s="278" t="str">
        <x:f>IF('_REFLO_BRIDGE'!$D$90="","",'_REFLO_BRIDGE'!$D$90)</x:f>
      </x:c>
      <x:c r="E72" s="278" t="str">
        <x:f>IF('_REFLO_BRIDGE'!$E$90="","",'_REFLO_BRIDGE'!$E$90)</x:f>
      </x:c>
      <x:c r="F72" s="278" t="str">
        <x:f>IF('_REFLO_BRIDGE'!$F$90="","",'_REFLO_BRIDGE'!$F$90)</x:f>
      </x:c>
      <x:c r="G72" s="278" t="str">
        <x:f>IF('_REFLO_BRIDGE'!$G$90="","",'_REFLO_BRIDGE'!$G$90)</x:f>
      </x:c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283" t="str">
        <x:f>IF('_REFLO_BRIDGE'!$A$91="","",'_REFLO_BRIDGE'!$A$91)</x:f>
      </x:c>
      <x:c r="B73" s="284" t="str">
        <x:f>IF('_REFLO_BRIDGE'!$B$91="","",'_REFLO_BRIDGE'!$B$91)</x:f>
      </x:c>
      <x:c r="C73" s="278" t="str">
        <x:f>IF('_REFLO_BRIDGE'!$C$91="","",'_REFLO_BRIDGE'!$C$91)</x:f>
      </x:c>
      <x:c r="D73" s="278" t="str">
        <x:f>IF('_REFLO_BRIDGE'!$D$91="","",'_REFLO_BRIDGE'!$D$91)</x:f>
      </x:c>
      <x:c r="E73" s="278" t="str">
        <x:f>IF('_REFLO_BRIDGE'!$E$91="","",'_REFLO_BRIDGE'!$E$91)</x:f>
      </x:c>
      <x:c r="F73" s="278" t="str">
        <x:f>IF('_REFLO_BRIDGE'!$F$91="","",'_REFLO_BRIDGE'!$F$91)</x:f>
      </x:c>
      <x:c r="G73" s="278" t="str">
        <x:f>IF('_REFLO_BRIDGE'!$G$91="","",'_REFLO_BRIDGE'!$G$91)</x:f>
      </x:c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283" t="str">
        <x:f>IF('_REFLO_BRIDGE'!$A$92="","",'_REFLO_BRIDGE'!$A$92)</x:f>
      </x:c>
      <x:c r="B74" s="284" t="str">
        <x:f>IF('_REFLO_BRIDGE'!$B$92="","",'_REFLO_BRIDGE'!$B$92)</x:f>
      </x:c>
      <x:c r="C74" s="278" t="str">
        <x:f>IF('_REFLO_BRIDGE'!$C$92="","",'_REFLO_BRIDGE'!$C$92)</x:f>
      </x:c>
      <x:c r="D74" s="278" t="str">
        <x:f>IF('_REFLO_BRIDGE'!$D$92="","",'_REFLO_BRIDGE'!$D$92)</x:f>
      </x:c>
      <x:c r="E74" s="278" t="str">
        <x:f>IF('_REFLO_BRIDGE'!$E$92="","",'_REFLO_BRIDGE'!$E$92)</x:f>
      </x:c>
      <x:c r="F74" s="278" t="str">
        <x:f>IF('_REFLO_BRIDGE'!$F$92="","",'_REFLO_BRIDGE'!$F$92)</x:f>
      </x:c>
      <x:c r="G74" s="278" t="str">
        <x:f>IF('_REFLO_BRIDGE'!$G$92="","",'_REFLO_BRIDGE'!$G$92)</x:f>
      </x:c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</x:sheetData>
  <x:mergeCells>
    <x:mergeCell ref="A12:C12"/>
    <x:mergeCell ref="A2:C2"/>
    <x:mergeCell ref="A11:C11"/>
    <x:mergeCell ref="A13:G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F6E6A"/>
  </x:sheetPr>
  <x:sheetViews>
    <x:sheetView showGridLines="0" workbookViewId="0"/>
  </x:sheetViews>
  <x:sheetFormatPr defaultColWidth="8.69921875" defaultRowHeight="17.399999618530273"/>
  <x:cols>
    <x:col min="1" max="1" width="24" customWidth="1"/>
    <x:col min="2" max="4" width="12" customWidth="1"/>
    <x:col min="5" max="5" width="35" customWidth="1"/>
    <x:col min="6" max="6" width="12" customWidth="1"/>
    <x:col min="7" max="26" width="10" customWidth="1"/>
  </x:cols>
  <x:sheetData>
    <x:row r="1" ht="22.049999237060547" customHeight="1">
      <x:c r="A1" s="111" t="s">
        <x:v>286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6"/>
    </x:row>
    <x:row r="2" ht="18" customHeight="1">
      <x:c r="A2" s="112" t="s">
        <x:v>287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28"/>
    </x:row>
    <x:row r="3" ht="18" customHeight="1">
      <x:c r="A3" s="12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3"/>
    </x:row>
    <x:row r="4" ht="19.950000762939453" customHeight="1">
      <x:c r="A4" s="73" t="s">
        <x:v>288</x:v>
      </x:c>
      <x:c r="B4" s="73" t="s">
        <x:v>142</x:v>
      </x:c>
      <x:c r="C4" s="73" t="s">
        <x:v>143</x:v>
      </x:c>
      <x:c r="D4" s="73" t="s">
        <x:v>144</x:v>
      </x:c>
      <x:c r="E4" s="73" t="s">
        <x:v>123</x:v>
      </x:c>
      <x:c r="F4" s="54" t="s">
        <x:v>108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3"/>
    </x:row>
    <x:row r="5" ht="19.950000762939453" customHeight="1">
      <x:c r="A5" s="53" t="s">
        <x:v>145</x:v>
      </x:c>
      <x:c r="B5" s="113">
        <x:v>909.7</x:v>
      </x:c>
      <x:c r="C5" s="113">
        <x:v>892.1</x:v>
      </x:c>
      <x:c r="D5" s="231" t="n">
        <x:f>'M1_실적추정_모델'!$D$32</x:f>
        <x:v>1065.3</x:v>
      </x:c>
      <x:c r="E5" s="231" t="n">
        <x:f>'M1_실적추정_모델'!$E$32</x:f>
        <x:v>1485.5</x:v>
      </x:c>
      <x:c r="F5" s="54" t="s">
        <x:v>146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3"/>
    </x:row>
    <x:row r="6" ht="18" customHeight="1">
      <x:c r="A6" s="54" t="s">
        <x:v>135</x:v>
      </x:c>
      <x:c r="B6" s="115">
        <x:v>23.7</x:v>
      </x:c>
      <x:c r="C6" s="115">
        <x:v>11.3</x:v>
      </x:c>
      <x:c r="D6" s="198" t="n">
        <x:f>'M1_실적추정_모델'!$D$33</x:f>
        <x:v>49.099999999999994</x:v>
      </x:c>
      <x:c r="E6" s="198" t="n">
        <x:f>'M1_실적추정_모델'!$E$33</x:f>
        <x:v>180</x:v>
      </x:c>
      <x:c r="F6" s="54" t="s">
        <x:v>146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3"/>
    </x:row>
    <x:row r="7" ht="18" customHeight="1">
      <x:c r="A7" s="54" t="s">
        <x:v>147</x:v>
      </x:c>
      <x:c r="B7" s="115">
        <x:v>28.4</x:v>
      </x:c>
      <x:c r="C7" s="115">
        <x:v>30.2</x:v>
      </x:c>
      <x:c r="D7" s="198" t="n">
        <x:f>'M1_실적추정_모델'!$D$34</x:f>
        <x:v>53.5</x:v>
      </x:c>
      <x:c r="E7" s="198" t="n">
        <x:f>'M1_실적추정_모델'!$E$34</x:f>
        <x:v>187.3</x:v>
      </x:c>
      <x:c r="F7" s="54" t="s">
        <x:v>146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3"/>
    </x:row>
    <x:row r="8" ht="18" customHeight="1">
      <x:c r="A8" s="54" t="s">
        <x:v>289</x:v>
      </x:c>
      <x:c r="B8" s="115">
        <x:v>25.4</x:v>
      </x:c>
      <x:c r="C8" s="115">
        <x:v>23.8</x:v>
      </x:c>
      <x:c r="D8" s="198" t="n">
        <x:f>'M1_실적추정_모델'!$D$35</x:f>
        <x:v>48.8</x:v>
      </x:c>
      <x:c r="E8" s="198" t="n">
        <x:f>'M1_실적추정_모델'!$E$35</x:f>
        <x:v>149.9</x:v>
      </x:c>
      <x:c r="F8" s="54" t="s">
        <x:v>146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3"/>
    </x:row>
    <x:row r="9" ht="18" customHeight="1">
      <x:c r="A9" s="54" t="s">
        <x:v>149</x:v>
      </x:c>
      <x:c r="B9" s="115">
        <x:v>493</x:v>
      </x:c>
      <x:c r="C9" s="115">
        <x:v>461</x:v>
      </x:c>
      <x:c r="D9" s="198" t="n">
        <x:f>'M1_실적추정_모델'!$D$36</x:f>
        <x:v>987.5164164486238</x:v>
      </x:c>
      <x:c r="E9" s="198" t="n">
        <x:f>'M1_실적추정_모델'!$E$36</x:f>
        <x:v>3033.3752218370637</x:v>
      </x:c>
      <x:c r="F9" s="54" t="s">
        <x:v>150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3"/>
    </x:row>
    <x:row r="10" ht="19.950000762939453" customHeight="1">
      <x:c r="A10" s="73" t="s">
        <x:v>290</x:v>
      </x:c>
      <x:c r="B10" s="118">
        <x:v>-0.8619</x:v>
      </x:c>
      <x:c r="C10" s="118">
        <x:v>-6.4899999999999999E-2</x:v>
      </x:c>
      <x:c r="D10" s="118">
        <x:v>1.0542</x:v>
      </x:c>
      <x:c r="E10" s="118">
        <x:v>2.2027000000000001</x:v>
      </x:c>
      <x:c r="F10" s="54" t="s">
        <x:v>132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3"/>
    </x:row>
    <x:row r="11" ht="19.950000762939453" customHeight="1">
      <x:c r="A11" s="53" t="s">
        <x:v>291</x:v>
      </x:c>
      <x:c r="B11" s="113">
        <x:v>54.87</x:v>
      </x:c>
      <x:c r="C11" s="113">
        <x:v>33.619999999999997</x:v>
      </x:c>
      <x:c r="D11" s="113">
        <x:v>49.74</x:v>
      </x:c>
      <x:c r="E11" s="113">
        <x:v>17.309999999999999</x:v>
      </x:c>
      <x:c r="F11" s="54" t="s">
        <x:v>175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3"/>
    </x:row>
    <x:row r="12" ht="18" customHeight="1">
      <x:c r="A12" s="54" t="s">
        <x:v>292</x:v>
      </x:c>
      <x:c r="B12" s="115">
        <x:v>1.6</x:v>
      </x:c>
      <x:c r="C12" s="115">
        <x:v>0.91</x:v>
      </x:c>
      <x:c r="D12" s="115">
        <x:v>2.69</x:v>
      </x:c>
      <x:c r="E12" s="115">
        <x:v>2.62</x:v>
      </x:c>
      <x:c r="F12" s="54" t="s">
        <x:v>175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3"/>
    </x:row>
    <x:row r="13" ht="18" customHeight="1">
      <x:c r="A13" s="54" t="s">
        <x:v>293</x:v>
      </x:c>
      <x:c r="B13" s="115">
        <x:v>8.4700000000000006</x:v>
      </x:c>
      <x:c r="C13" s="115">
        <x:v>4.49</x:v>
      </x:c>
      <x:c r="D13" s="115">
        <x:v>13.96</x:v>
      </x:c>
      <x:c r="E13" s="115">
        <x:v>8.16</x:v>
      </x:c>
      <x:c r="F13" s="54" t="s">
        <x:v>175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3"/>
    </x:row>
    <x:row r="14" ht="18" customHeight="1">
      <x:c r="A14" s="54" t="s">
        <x:v>294</x:v>
      </x:c>
      <x:c r="B14" s="115">
        <x:v>2.9499999999999998E-2</x:v>
      </x:c>
      <x:c r="C14" s="115">
        <x:v>2.7300000000000001E-2</x:v>
      </x:c>
      <x:c r="D14" s="115">
        <x:v>5.4899999999999997E-2</x:v>
      </x:c>
      <x:c r="E14" s="115">
        <x:v>0.15509999999999999</x:v>
      </x:c>
      <x:c r="F14" s="54" t="s">
        <x:v>132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3"/>
    </x:row>
    <x:row r="15" ht="18" customHeight="1">
      <x:c r="A15" s="54" t="s">
        <x:v>295</x:v>
      </x:c>
      <x:c r="B15" s="115">
        <x:v>16857</x:v>
      </x:c>
      <x:c r="C15" s="115">
        <x:v>16996</x:v>
      </x:c>
      <x:c r="D15" s="115">
        <x:v>17505</x:v>
      </x:c>
      <x:c r="E15" s="115">
        <x:v>20014</x:v>
      </x:c>
      <x:c r="F15" s="54" t="s">
        <x:v>150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3"/>
    </x:row>
    <x:row r="16" ht="19.950000762939453" customHeight="1">
      <x:c r="A16" s="73" t="s">
        <x:v>296</x:v>
      </x:c>
      <x:c r="B16" s="118">
        <x:v>300</x:v>
      </x:c>
      <x:c r="C16" s="118">
        <x:v>400</x:v>
      </x:c>
      <x:c r="D16" s="118">
        <x:v>400</x:v>
      </x:c>
      <x:c r="E16" s="118">
        <x:v>400</x:v>
      </x:c>
      <x:c r="F16" s="54" t="s">
        <x:v>150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3"/>
    </x:row>
    <x:row r="17" ht="19.950000762939453" customHeight="1">
      <x:c r="A17" s="6"/>
      <x:c r="B17" s="7"/>
      <x:c r="C17" s="7"/>
      <x:c r="D17" s="7"/>
      <x:c r="E17" s="8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3"/>
    </x:row>
    <x:row r="18" ht="18" customHeight="1">
      <x:c r="A18" s="116" t="s">
        <x:v>297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3"/>
    </x:row>
    <x:row r="19" ht="18" customHeight="1">
      <x:c r="A19" s="54" t="s">
        <x:v>152</x:v>
      </x:c>
      <x:c r="B19" s="54" t="s">
        <x:v>142</x:v>
      </x:c>
      <x:c r="C19" s="54" t="s">
        <x:v>143</x:v>
      </x:c>
      <x:c r="D19" s="54" t="s">
        <x:v>144</x:v>
      </x:c>
      <x:c r="E19" s="54" t="s">
        <x:v>123</x:v>
      </x:c>
      <x:c r="F19" s="54" t="s">
        <x:v>109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3"/>
    </x:row>
    <x:row r="20" ht="18" customHeight="1">
      <x:c r="A20" s="54" t="s">
        <x:v>298</x:v>
      </x:c>
      <x:c r="B20" s="54" t="n">
        <x:f>B6/B5</x:f>
        <x:v>0.026052544794987358</x:v>
      </x:c>
      <x:c r="C20" s="54" t="n">
        <x:f>C6/C5</x:f>
        <x:v>0.012666741396704406</x:v>
      </x:c>
      <x:c r="D20" s="54" t="n">
        <x:f>D6/D5</x:f>
        <x:v>0.04609030320097625</x:v>
      </x:c>
      <x:c r="E20" s="54" t="n">
        <x:f>E6/E5</x:f>
        <x:v>0.12117132278694043</x:v>
      </x:c>
      <x:c r="F20" s="54" t="s">
        <x:v>299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3"/>
    </x:row>
    <x:row r="21" ht="18" customHeight="1">
      <x:c r="A21" s="54" t="s">
        <x:v>300</x:v>
      </x:c>
      <x:c r="B21" s="54" t="n">
        <x:f>B11*B9</x:f>
        <x:v>27050.91</x:v>
      </x:c>
      <x:c r="C21" s="54" t="n">
        <x:f>C11*C9</x:f>
        <x:v>15498.82</x:v>
      </x:c>
      <x:c r="D21" s="54" t="n">
        <x:f>D11*D9</x:f>
        <x:v>49119.066554154546</x:v>
      </x:c>
      <x:c r="E21" s="54" t="n">
        <x:f>E11*E9</x:f>
        <x:v>52507.72508999957</x:v>
      </x:c>
      <x:c r="F21" s="54" t="s">
        <x:v>301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3"/>
    </x:row>
    <x:row r="22" ht="18" customHeight="1">
      <x:c r="A22" s="164" t="s">
        <x:v>302</x:v>
      </x:c>
      <x:c r="B22" s="148"/>
      <x:c r="C22" s="148"/>
      <x:c r="D22" s="148"/>
      <x:c r="E22" s="148"/>
      <x:c r="F22" s="148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3"/>
    </x:row>
    <x:row r="23" ht="18" customHeight="1">
      <x:c r="A23" s="164" t="s">
        <x:v>303</x:v>
      </x:c>
      <x:c r="B23" s="148"/>
      <x:c r="C23" s="148"/>
      <x:c r="D23" s="148"/>
      <x:c r="E23" s="148"/>
      <x:c r="F23" s="148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3"/>
    </x:row>
    <x:row r="24" ht="18" customHeight="1">
      <x:c r="A24" s="12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3"/>
    </x:row>
    <x:row r="25" ht="18" customHeight="1">
      <x:c r="A25" s="12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3"/>
    </x:row>
    <x:row r="26" ht="18" customHeight="1">
      <x:c r="A26" s="12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3"/>
    </x:row>
    <x:row r="27" ht="18" customHeight="1">
      <x:c r="A27" s="12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3"/>
    </x:row>
    <x:row r="28" ht="18" customHeight="1">
      <x:c r="A28" s="12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3"/>
    </x:row>
    <x:row r="29" ht="18" customHeight="1">
      <x:c r="A29" s="12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3"/>
    </x:row>
    <x:row r="30" ht="18" customHeight="1">
      <x:c r="A30" s="12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3"/>
    </x:row>
    <x:row r="31" ht="18" customHeight="1">
      <x:c r="A31" s="12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3"/>
    </x:row>
    <x:row r="32" ht="18" customHeight="1">
      <x:c r="A32" s="12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3"/>
    </x:row>
    <x:row r="33" ht="18" customHeight="1">
      <x:c r="A33" s="12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3"/>
    </x:row>
    <x:row r="34" ht="18" customHeight="1">
      <x:c r="A34" s="12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3"/>
    </x:row>
    <x:row r="35" ht="18" customHeight="1">
      <x:c r="A35" s="12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3"/>
    </x:row>
    <x:row r="36" ht="18" customHeight="1">
      <x:c r="A36" s="12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3"/>
    </x:row>
    <x:row r="37" ht="18" customHeight="1">
      <x:c r="A37" s="12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3"/>
    </x:row>
    <x:row r="38" ht="18" customHeight="1">
      <x:c r="A38" s="12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3"/>
    </x:row>
    <x:row r="39" ht="18" customHeight="1">
      <x:c r="A39" s="12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3"/>
    </x:row>
    <x:row r="40" ht="18" customHeight="1">
      <x:c r="A40" s="12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3"/>
    </x:row>
    <x:row r="41" ht="18" customHeight="1">
      <x:c r="A41" s="12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3"/>
    </x:row>
    <x:row r="42" ht="18" customHeight="1">
      <x:c r="A42" s="12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3"/>
    </x:row>
    <x:row r="43" ht="18" customHeight="1">
      <x:c r="A43" s="12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3"/>
    </x:row>
    <x:row r="44" ht="18" customHeight="1">
      <x:c r="A44" s="12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3"/>
    </x:row>
    <x:row r="45" ht="18" customHeight="1">
      <x:c r="A45" s="12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3"/>
    </x:row>
    <x:row r="46" ht="18" customHeight="1">
      <x:c r="A46" s="12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3"/>
    </x:row>
    <x:row r="47" ht="18" customHeight="1">
      <x:c r="A47" s="12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3"/>
    </x:row>
    <x:row r="48" ht="18" customHeight="1">
      <x:c r="A48" s="12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3"/>
    </x:row>
    <x:row r="49" ht="18" customHeight="1">
      <x:c r="A49" s="12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3"/>
    </x:row>
    <x:row r="50" ht="18" customHeight="1">
      <x:c r="A50" s="12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3"/>
    </x:row>
    <x:row r="51" ht="18" customHeight="1">
      <x:c r="A51" s="12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3"/>
    </x:row>
    <x:row r="52" ht="18" customHeight="1">
      <x:c r="A52" s="12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3"/>
    </x:row>
    <x:row r="53" ht="18" customHeight="1">
      <x:c r="A53" s="12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3"/>
    </x:row>
    <x:row r="54" ht="18" customHeight="1">
      <x:c r="A54" s="12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3"/>
    </x:row>
    <x:row r="55" ht="18" customHeight="1">
      <x:c r="A55" s="12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3"/>
    </x:row>
    <x:row r="56" ht="18" customHeight="1">
      <x:c r="A56" s="12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3"/>
    </x:row>
    <x:row r="57" ht="18" customHeight="1">
      <x:c r="A57" s="12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3"/>
    </x:row>
    <x:row r="58" ht="18" customHeight="1">
      <x:c r="A58" s="12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3"/>
    </x:row>
    <x:row r="59" ht="18" customHeight="1">
      <x:c r="A59" s="12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3"/>
    </x:row>
    <x:row r="60" ht="18" customHeight="1">
      <x:c r="A60" s="9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</x:sheetData>
  <x:mergeCells>
    <x:mergeCell ref="A22:F22"/>
    <x:mergeCell ref="A23:F2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1F6E6A"/>
  </x:sheetPr>
  <x:sheetViews>
    <x:sheetView showGridLines="0" workbookViewId="0"/>
  </x:sheetViews>
  <x:sheetFormatPr defaultColWidth="8.69921875" defaultRowHeight="17.399999618530273"/>
  <x:cols>
    <x:col min="1" max="1" width="24" customWidth="1"/>
    <x:col min="2" max="4" width="12" customWidth="1"/>
    <x:col min="5" max="5" width="35" customWidth="1"/>
    <x:col min="6" max="6" width="12" customWidth="1"/>
    <x:col min="7" max="26" width="10" customWidth="1"/>
  </x:cols>
  <x:sheetData>
    <x:row r="1" ht="22.049999237060547" customHeight="1">
      <x:c r="A1" s="111" t="s">
        <x:v>304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6"/>
    </x:row>
    <x:row r="2" ht="18" customHeight="1">
      <x:c r="A2" s="165" t="s">
        <x:v>305</x:v>
      </x:c>
      <x:c r="B2" s="148"/>
      <x:c r="C2" s="148"/>
      <x:c r="D2" s="148"/>
      <x:c r="E2" s="148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28"/>
    </x:row>
    <x:row r="3" ht="18" customHeight="1">
      <x:c r="A3" s="12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3"/>
    </x:row>
    <x:row r="4" ht="19.950000762939453" customHeight="1">
      <x:c r="A4" s="80" t="s">
        <x:v>306</x:v>
      </x:c>
      <x:c r="B4" s="5"/>
      <x:c r="C4" s="5"/>
      <x:c r="D4" s="5"/>
      <x:c r="E4" s="5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3"/>
    </x:row>
    <x:row r="5" ht="19.950000762939453" customHeight="1">
      <x:c r="A5" s="53" t="s">
        <x:v>3</x:v>
      </x:c>
      <x:c r="B5" s="53" t="s">
        <x:v>106</x:v>
      </x:c>
      <x:c r="C5" s="53" t="s">
        <x:v>107</x:v>
      </x:c>
      <x:c r="D5" s="53" t="s">
        <x:v>108</x:v>
      </x:c>
      <x:c r="E5" s="53" t="s">
        <x:v>168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3"/>
    </x:row>
    <x:row r="6" ht="18" customHeight="1">
      <x:c r="A6" s="54" t="s">
        <x:v>180</x:v>
      </x:c>
      <x:c r="B6" s="54" t="s">
        <x:v>149</x:v>
      </x:c>
      <x:c r="C6" s="115">
        <x:v>3033</x:v>
      </x:c>
      <x:c r="D6" s="54" t="s">
        <x:v>150</x:v>
      </x:c>
      <x:c r="E6" s="54" t="s">
        <x:v>307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3"/>
    </x:row>
    <x:row r="7" ht="18" customHeight="1">
      <x:c r="A7" s="54" t="s">
        <x:v>308</x:v>
      </x:c>
      <x:c r="B7" s="54" t="s">
        <x:v>309</x:v>
      </x:c>
      <x:c r="C7" s="198" t="n">
        <x:f>'M2_목표주가_타겟멀티플'!$C$7</x:f>
        <x:v>26.580000000000002</x:v>
      </x:c>
      <x:c r="D7" s="54" t="s">
        <x:v>175</x:v>
      </x:c>
      <x:c r="E7" s="54" t="s">
        <x:v>310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3"/>
    </x:row>
    <x:row r="8" ht="18" customHeight="1">
      <x:c r="A8" s="54" t="s">
        <x:v>177</x:v>
      </x:c>
      <x:c r="B8" s="54" t="s">
        <x:v>178</x:v>
      </x:c>
      <x:c r="C8" s="198" t="n">
        <x:f>'_REFLO_BRIDGE'!$B$15</x:f>
        <x:v>52500</x:v>
      </x:c>
      <x:c r="D8" s="54" t="s">
        <x:v>150</x:v>
      </x:c>
      <x:c r="E8" s="54" t="s">
        <x:v>179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3"/>
    </x:row>
    <x:row r="9" ht="18" customHeight="1">
      <x:c r="A9" s="12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3"/>
    </x:row>
    <x:row r="10" ht="19.950000762939453" customHeight="1">
      <x:c r="A10" s="80" t="s">
        <x:v>185</x:v>
      </x:c>
      <x:c r="B10" s="5"/>
      <x:c r="C10" s="5"/>
      <x:c r="D10" s="5"/>
      <x:c r="E10" s="5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3"/>
    </x:row>
    <x:row r="11" ht="19.950000762939453" customHeight="1">
      <x:c r="A11" s="53" t="s">
        <x:v>3</x:v>
      </x:c>
      <x:c r="B11" s="53" t="s">
        <x:v>106</x:v>
      </x:c>
      <x:c r="C11" s="53" t="s">
        <x:v>186</x:v>
      </x:c>
      <x:c r="D11" s="53" t="s">
        <x:v>108</x:v>
      </x:c>
      <x:c r="E11" s="53" t="s">
        <x:v>187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3"/>
    </x:row>
    <x:row r="12" ht="18" customHeight="1">
      <x:c r="A12" s="54" t="s">
        <x:v>173</x:v>
      </x:c>
      <x:c r="B12" s="54" t="s">
        <x:v>188</x:v>
      </x:c>
      <x:c r="C12" s="198" t="n">
        <x:f>$C$6*$C$7</x:f>
        <x:v>80617.14</x:v>
      </x:c>
      <x:c r="D12" s="54" t="s">
        <x:v>150</x:v>
      </x:c>
      <x:c r="E12" s="54" t="s">
        <x:v>311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3"/>
    </x:row>
    <x:row r="13" ht="18" customHeight="1">
      <x:c r="A13" s="54" t="s">
        <x:v>173</x:v>
      </x:c>
      <x:c r="B13" s="54" t="s">
        <x:v>190</x:v>
      </x:c>
      <x:c r="C13" s="198" t="n">
        <x:f>ROUND($C$12/1000,0)*1000</x:f>
        <x:v>81000</x:v>
      </x:c>
      <x:c r="D13" s="54" t="s">
        <x:v>150</x:v>
      </x:c>
      <x:c r="E13" s="54" t="s">
        <x:v>312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3"/>
    </x:row>
    <x:row r="14" ht="18" customHeight="1">
      <x:c r="A14" s="54" t="s">
        <x:v>173</x:v>
      </x:c>
      <x:c r="B14" s="54" t="s">
        <x:v>192</x:v>
      </x:c>
      <x:c r="C14" s="198" t="n">
        <x:f>$C$13/$C$8-1</x:f>
        <x:v>0.5428571428571429</x:v>
      </x:c>
      <x:c r="D14" s="54" t="s">
        <x:v>132</x:v>
      </x:c>
      <x:c r="E14" s="54" t="s">
        <x:v>193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3"/>
    </x:row>
    <x:row r="15" ht="18" customHeight="1">
      <x:c r="A15" s="12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3"/>
    </x:row>
    <x:row r="16" ht="19.950000762939453" customHeight="1">
      <x:c r="A16" s="80" t="s">
        <x:v>313</x:v>
      </x:c>
      <x:c r="B16" s="5"/>
      <x:c r="C16" s="5"/>
      <x:c r="D16" s="5"/>
      <x:c r="E16" s="5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3"/>
    </x:row>
    <x:row r="17" ht="19.950000762939453" customHeight="1">
      <x:c r="A17" s="53" t="s">
        <x:v>3</x:v>
      </x:c>
      <x:c r="B17" s="53" t="s">
        <x:v>106</x:v>
      </x:c>
      <x:c r="C17" s="53" t="s">
        <x:v>197</x:v>
      </x:c>
      <x:c r="D17" s="53" t="s">
        <x:v>198</x:v>
      </x:c>
      <x:c r="E17" s="53" t="s">
        <x:v>109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3"/>
    </x:row>
    <x:row r="18" ht="18" customHeight="1">
      <x:c r="A18" s="54" t="s">
        <x:v>199</x:v>
      </x:c>
      <x:c r="B18" s="54" t="s">
        <x:v>314</x:v>
      </x:c>
      <x:c r="C18" s="198" t="n">
        <x:f>$C$13</x:f>
        <x:v>81000</x:v>
      </x:c>
      <x:c r="D18" s="54">
        <x:v>81000</x:v>
      </x:c>
      <x:c r="E18" s="56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3"/>
    </x:row>
    <x:row r="19" ht="18" customHeight="1">
      <x:c r="A19" s="54" t="s">
        <x:v>199</x:v>
      </x:c>
      <x:c r="B19" s="54" t="s">
        <x:v>202</x:v>
      </x:c>
      <x:c r="C19" s="198" t="n">
        <x:f>$C$14</x:f>
        <x:v>0.5428571428571429</x:v>
      </x:c>
      <x:c r="D19" s="54">
        <x:v>0.54300000000000004</x:v>
      </x:c>
      <x:c r="E19" s="56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3"/>
    </x:row>
    <x:row r="20" ht="18" customHeight="1">
      <x:c r="A20" s="12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3"/>
    </x:row>
    <x:row r="21" ht="18" customHeight="1">
      <x:c r="A21" s="164" t="s">
        <x:v>209</x:v>
      </x:c>
      <x:c r="B21" s="148"/>
      <x:c r="C21" s="148"/>
      <x:c r="D21" s="148"/>
      <x:c r="E21" s="148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3"/>
    </x:row>
    <x:row r="22" ht="18" customHeight="1">
      <x:c r="A22" s="164" t="s">
        <x:v>315</x:v>
      </x:c>
      <x:c r="B22" s="148"/>
      <x:c r="C22" s="148"/>
      <x:c r="D22" s="148"/>
      <x:c r="E22" s="148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3"/>
    </x:row>
    <x:row r="23" ht="18" customHeight="1">
      <x:c r="A23" s="12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3"/>
    </x:row>
    <x:row r="24" ht="18" customHeight="1">
      <x:c r="A24" s="12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3"/>
    </x:row>
    <x:row r="25" ht="18" customHeight="1">
      <x:c r="A25" s="12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3"/>
    </x:row>
    <x:row r="26" ht="18" customHeight="1">
      <x:c r="A26" s="12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3"/>
    </x:row>
    <x:row r="27" ht="18" customHeight="1">
      <x:c r="A27" s="12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3"/>
    </x:row>
    <x:row r="28" ht="18" customHeight="1">
      <x:c r="A28" s="12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3"/>
    </x:row>
    <x:row r="29" ht="18" customHeight="1">
      <x:c r="A29" s="12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3"/>
    </x:row>
    <x:row r="30" ht="18" customHeight="1">
      <x:c r="A30" s="12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3"/>
    </x:row>
    <x:row r="31" ht="18" customHeight="1">
      <x:c r="A31" s="12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3"/>
    </x:row>
    <x:row r="32" ht="18" customHeight="1">
      <x:c r="A32" s="12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3"/>
    </x:row>
    <x:row r="33" ht="18" customHeight="1">
      <x:c r="A33" s="12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3"/>
    </x:row>
    <x:row r="34" ht="18" customHeight="1">
      <x:c r="A34" s="12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3"/>
    </x:row>
    <x:row r="35" ht="18" customHeight="1">
      <x:c r="A35" s="12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3"/>
    </x:row>
    <x:row r="36" ht="18" customHeight="1">
      <x:c r="A36" s="12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3"/>
    </x:row>
    <x:row r="37" ht="18" customHeight="1">
      <x:c r="A37" s="12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3"/>
    </x:row>
    <x:row r="38" ht="18" customHeight="1">
      <x:c r="A38" s="12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3"/>
    </x:row>
    <x:row r="39" ht="18" customHeight="1">
      <x:c r="A39" s="12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3"/>
    </x:row>
    <x:row r="40" ht="18" customHeight="1">
      <x:c r="A40" s="12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3"/>
    </x:row>
    <x:row r="41" ht="18" customHeight="1">
      <x:c r="A41" s="12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3"/>
    </x:row>
    <x:row r="42" ht="18" customHeight="1">
      <x:c r="A42" s="12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3"/>
    </x:row>
    <x:row r="43" ht="18" customHeight="1">
      <x:c r="A43" s="12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3"/>
    </x:row>
    <x:row r="44" ht="18" customHeight="1">
      <x:c r="A44" s="12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3"/>
    </x:row>
    <x:row r="45" ht="18" customHeight="1">
      <x:c r="A45" s="12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3"/>
    </x:row>
    <x:row r="46" ht="18" customHeight="1">
      <x:c r="A46" s="12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3"/>
    </x:row>
    <x:row r="47" ht="18" customHeight="1">
      <x:c r="A47" s="12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3"/>
    </x:row>
    <x:row r="48" ht="18" customHeight="1">
      <x:c r="A48" s="12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3"/>
    </x:row>
    <x:row r="49" ht="18" customHeight="1">
      <x:c r="A49" s="12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3"/>
    </x:row>
    <x:row r="50" ht="18" customHeight="1">
      <x:c r="A50" s="12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3"/>
    </x:row>
    <x:row r="51" ht="18" customHeight="1">
      <x:c r="A51" s="12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3"/>
    </x:row>
    <x:row r="52" ht="18" customHeight="1">
      <x:c r="A52" s="12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3"/>
    </x:row>
    <x:row r="53" ht="18" customHeight="1">
      <x:c r="A53" s="12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3"/>
    </x:row>
    <x:row r="54" ht="18" customHeight="1">
      <x:c r="A54" s="12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3"/>
    </x:row>
    <x:row r="55" ht="18" customHeight="1">
      <x:c r="A55" s="12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3"/>
    </x:row>
    <x:row r="56" ht="18" customHeight="1">
      <x:c r="A56" s="12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3"/>
    </x:row>
    <x:row r="57" ht="18" customHeight="1">
      <x:c r="A57" s="12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3"/>
    </x:row>
    <x:row r="58" ht="18" customHeight="1">
      <x:c r="A58" s="12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3"/>
    </x:row>
    <x:row r="59" ht="18" customHeight="1">
      <x:c r="A59" s="12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3"/>
    </x:row>
    <x:row r="60" ht="18" customHeight="1">
      <x:c r="A60" s="9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</x:sheetData>
  <x:mergeCells>
    <x:mergeCell ref="A2:E2"/>
    <x:mergeCell ref="A22:E22"/>
    <x:mergeCell ref="A21:E2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1F6E6A"/>
  </x:sheetPr>
  <x:sheetViews>
    <x:sheetView showGridLines="0" workbookViewId="0"/>
  </x:sheetViews>
  <x:sheetFormatPr defaultColWidth="8.69921875" defaultRowHeight="17.399999618530273"/>
  <x:cols>
    <x:col min="1" max="1" width="24" customWidth="1"/>
    <x:col min="2" max="4" width="12" customWidth="1"/>
    <x:col min="5" max="5" width="35" customWidth="1"/>
    <x:col min="6" max="6" width="12" customWidth="1"/>
    <x:col min="7" max="26" width="1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22.049999237060547" customHeight="1">
      <x:c r="A1" s="111" t="s">
        <x:v>316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6"/>
    </x:row>
    <x:row r="2" ht="18" customHeight="1">
      <x:c r="A2" s="165" t="s">
        <x:v>317</x:v>
      </x:c>
      <x:c r="B2" s="148"/>
      <x:c r="C2" s="148"/>
      <x:c r="D2" s="148"/>
      <x:c r="E2" s="148"/>
      <x:c r="F2" s="3"/>
      <x:c r="G2" s="286" t="str">
        <x:v>FnGuide 역사적 Forward EPS 연결 영역 — cutoff_at 이하 snapshot만 사용</x:v>
      </x:c>
      <x:c r="H2" s="286"/>
      <x:c r="I2" s="286"/>
      <x:c r="J2" s="286"/>
      <x:c r="K2" s="286"/>
      <x:c r="L2" s="286"/>
      <x:c r="M2" s="286"/>
      <x:c r="N2" s="286"/>
      <x:c r="O2" s="286"/>
      <x:c r="P2" s="286"/>
      <x:c r="Q2" s="3"/>
      <x:c r="R2" s="3"/>
      <x:c r="S2" s="3"/>
      <x:c r="T2" s="3"/>
      <x:c r="U2" s="3"/>
      <x:c r="V2" s="3"/>
      <x:c r="W2" s="3"/>
      <x:c r="X2" s="3"/>
      <x:c r="Y2" s="3"/>
      <x:c r="Z2" s="28"/>
    </x:row>
    <x:row r="3" ht="18" customHeight="1">
      <x:c r="A3" s="12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3"/>
    </x:row>
    <x:row r="4" ht="19.950000762939453" customHeight="1">
      <x:c r="A4" s="73" t="s">
        <x:v>318</x:v>
      </x:c>
      <x:c r="B4" s="73" t="s">
        <x:v>319</x:v>
      </x:c>
      <x:c r="C4" s="74"/>
      <x:c r="D4" s="74"/>
      <x:c r="E4" s="73" t="s">
        <x:v>109</x:v>
      </x:c>
      <x:c r="F4" s="1"/>
      <x:c r="G4" s="244" t="str">
        <x:v>Date</x:v>
      </x:c>
      <x:c r="H4" s="244" t="str">
        <x:v>Date Label</x:v>
      </x:c>
      <x:c r="I4" s="244" t="str">
        <x:v>Forward EPS</x:v>
      </x:c>
      <x:c r="J4" s="244" t="str">
        <x:v>Adjusted Price</x:v>
      </x:c>
      <x:c r="K4" s="244" t="str">
        <x:v>30x</x:v>
      </x:c>
      <x:c r="L4" s="244" t="str">
        <x:v>25x</x:v>
      </x:c>
      <x:c r="M4" s="244" t="str">
        <x:v>20x</x:v>
      </x:c>
      <x:c r="N4" s="244" t="str">
        <x:v>15x</x:v>
      </x:c>
      <x:c r="O4" s="244" t="str">
        <x:v>10x</x:v>
      </x:c>
      <x:c r="P4" s="244" t="str">
        <x:v>Source ID</x:v>
      </x:c>
      <x:c r="Q4" s="1"/>
      <x:c r="R4" s="1"/>
      <x:c r="S4" s="1"/>
      <x:c r="T4" s="1"/>
      <x:c r="U4" s="1"/>
      <x:c r="V4" s="1"/>
      <x:c r="W4" s="1"/>
      <x:c r="X4" s="1"/>
      <x:c r="Y4" s="1"/>
      <x:c r="Z4" s="13"/>
    </x:row>
    <x:row r="5" ht="19.950000762939453" customHeight="1">
      <x:c r="A5" s="53" t="s">
        <x:v>320</x:v>
      </x:c>
      <x:c r="B5" s="113">
        <x:v>30</x:v>
      </x:c>
      <x:c r="C5" s="114"/>
      <x:c r="D5" s="114"/>
      <x:c r="E5" s="53" t="s">
        <x:v>321</x:v>
      </x:c>
      <x:c r="F5" s="1"/>
      <x:c r="G5" s="291" t="n">
        <x:f>IF('_REFLO_BRIDGE'!$M$14="","",'_REFLO_BRIDGE'!$M$14)</x:f>
        <x:v>46051</x:v>
      </x:c>
      <x:c r="H5" s="273" t="str">
        <x:f>IF('_REFLO_BRIDGE'!$N$14="","",'_REFLO_BRIDGE'!$N$14)</x:f>
        <x:v>2026-01</x:v>
      </x:c>
      <x:c r="I5" s="292" t="str">
        <x:f>IF('_REFLO_BRIDGE'!$O$14="","",'_REFLO_BRIDGE'!$O$14)</x:f>
      </x:c>
      <x:c r="J5" s="292" t="n">
        <x:f>IF('_REFLO_BRIDGE'!$P$14="","",'_REFLO_BRIDGE'!$P$14)</x:f>
        <x:v>52500</x:v>
      </x:c>
      <x:c r="K5" s="292" t="str">
        <x:f>IF('_REFLO_BRIDGE'!$Q$14="","",'_REFLO_BRIDGE'!$Q$14)</x:f>
      </x:c>
      <x:c r="L5" s="292" t="str">
        <x:f>IF('_REFLO_BRIDGE'!$R$14="","",'_REFLO_BRIDGE'!$R$14)</x:f>
      </x:c>
      <x:c r="M5" s="292" t="str">
        <x:f>IF('_REFLO_BRIDGE'!$S$14="","",'_REFLO_BRIDGE'!$S$14)</x:f>
      </x:c>
      <x:c r="N5" s="292" t="str">
        <x:f>IF('_REFLO_BRIDGE'!$T$14="","",'_REFLO_BRIDGE'!$T$14)</x:f>
      </x:c>
      <x:c r="O5" s="292" t="str">
        <x:f>IF('_REFLO_BRIDGE'!$U$14="","",'_REFLO_BRIDGE'!$U$14)</x:f>
      </x:c>
      <x:c r="P5" s="273" t="str">
        <x:f>IF('_REFLO_BRIDGE'!$V$14="","",'_REFLO_BRIDGE'!$V$14)</x:f>
        <x:v>PENDING_FNGUIDE_REFRESH</x:v>
      </x:c>
      <x:c r="Q5" s="1"/>
      <x:c r="R5" s="1"/>
      <x:c r="S5" s="1"/>
      <x:c r="T5" s="1"/>
      <x:c r="U5" s="1"/>
      <x:c r="V5" s="1"/>
      <x:c r="W5" s="1"/>
      <x:c r="X5" s="1"/>
      <x:c r="Y5" s="1"/>
      <x:c r="Z5" s="13"/>
    </x:row>
    <x:row r="6" ht="18" customHeight="1">
      <x:c r="A6" s="54" t="s">
        <x:v>322</x:v>
      </x:c>
      <x:c r="B6" s="115">
        <x:v>25</x:v>
      </x:c>
      <x:c r="C6" s="56"/>
      <x:c r="D6" s="56"/>
      <x:c r="E6" s="54" t="s">
        <x:v>321</x:v>
      </x:c>
      <x:c r="F6" s="1"/>
      <x:c r="G6" s="293" t="str">
        <x:f>IF('_REFLO_BRIDGE'!$M$15="","",'_REFLO_BRIDGE'!$M$15)</x:f>
      </x:c>
      <x:c r="H6" s="284" t="str">
        <x:f>IF('_REFLO_BRIDGE'!$N$15="","",'_REFLO_BRIDGE'!$N$15)</x:f>
      </x:c>
      <x:c r="I6" s="294" t="str">
        <x:f>IF('_REFLO_BRIDGE'!$O$15="","",'_REFLO_BRIDGE'!$O$15)</x:f>
      </x:c>
      <x:c r="J6" s="294" t="str">
        <x:f>IF('_REFLO_BRIDGE'!$P$15="","",'_REFLO_BRIDGE'!$P$15)</x:f>
      </x:c>
      <x:c r="K6" s="294" t="str">
        <x:f>IF('_REFLO_BRIDGE'!$Q$15="","",'_REFLO_BRIDGE'!$Q$15)</x:f>
      </x:c>
      <x:c r="L6" s="294" t="str">
        <x:f>IF('_REFLO_BRIDGE'!$R$15="","",'_REFLO_BRIDGE'!$R$15)</x:f>
      </x:c>
      <x:c r="M6" s="294" t="str">
        <x:f>IF('_REFLO_BRIDGE'!$S$15="","",'_REFLO_BRIDGE'!$S$15)</x:f>
      </x:c>
      <x:c r="N6" s="294" t="str">
        <x:f>IF('_REFLO_BRIDGE'!$T$15="","",'_REFLO_BRIDGE'!$T$15)</x:f>
      </x:c>
      <x:c r="O6" s="294" t="str">
        <x:f>IF('_REFLO_BRIDGE'!$U$15="","",'_REFLO_BRIDGE'!$U$15)</x:f>
      </x:c>
      <x:c r="P6" s="284" t="str">
        <x:f>IF('_REFLO_BRIDGE'!$V$15="","",'_REFLO_BRIDGE'!$V$15)</x:f>
      </x:c>
      <x:c r="Q6" s="1"/>
      <x:c r="R6" s="1"/>
      <x:c r="S6" s="1"/>
      <x:c r="T6" s="1"/>
      <x:c r="U6" s="1"/>
      <x:c r="V6" s="1"/>
      <x:c r="W6" s="1"/>
      <x:c r="X6" s="1"/>
      <x:c r="Y6" s="1"/>
      <x:c r="Z6" s="13"/>
    </x:row>
    <x:row r="7" ht="18" customHeight="1">
      <x:c r="A7" s="54" t="s">
        <x:v>323</x:v>
      </x:c>
      <x:c r="B7" s="115">
        <x:v>20</x:v>
      </x:c>
      <x:c r="C7" s="56"/>
      <x:c r="D7" s="56"/>
      <x:c r="E7" s="54" t="s">
        <x:v>321</x:v>
      </x:c>
      <x:c r="F7" s="1"/>
      <x:c r="G7" s="293" t="str">
        <x:f>IF('_REFLO_BRIDGE'!$M$16="","",'_REFLO_BRIDGE'!$M$16)</x:f>
      </x:c>
      <x:c r="H7" s="284" t="str">
        <x:f>IF('_REFLO_BRIDGE'!$N$16="","",'_REFLO_BRIDGE'!$N$16)</x:f>
      </x:c>
      <x:c r="I7" s="294" t="str">
        <x:f>IF('_REFLO_BRIDGE'!$O$16="","",'_REFLO_BRIDGE'!$O$16)</x:f>
      </x:c>
      <x:c r="J7" s="294" t="str">
        <x:f>IF('_REFLO_BRIDGE'!$P$16="","",'_REFLO_BRIDGE'!$P$16)</x:f>
      </x:c>
      <x:c r="K7" s="294" t="str">
        <x:f>IF('_REFLO_BRIDGE'!$Q$16="","",'_REFLO_BRIDGE'!$Q$16)</x:f>
      </x:c>
      <x:c r="L7" s="294" t="str">
        <x:f>IF('_REFLO_BRIDGE'!$R$16="","",'_REFLO_BRIDGE'!$R$16)</x:f>
      </x:c>
      <x:c r="M7" s="294" t="str">
        <x:f>IF('_REFLO_BRIDGE'!$S$16="","",'_REFLO_BRIDGE'!$S$16)</x:f>
      </x:c>
      <x:c r="N7" s="294" t="str">
        <x:f>IF('_REFLO_BRIDGE'!$T$16="","",'_REFLO_BRIDGE'!$T$16)</x:f>
      </x:c>
      <x:c r="O7" s="294" t="str">
        <x:f>IF('_REFLO_BRIDGE'!$U$16="","",'_REFLO_BRIDGE'!$U$16)</x:f>
      </x:c>
      <x:c r="P7" s="284" t="str">
        <x:f>IF('_REFLO_BRIDGE'!$V$16="","",'_REFLO_BRIDGE'!$V$16)</x:f>
      </x:c>
      <x:c r="Q7" s="1"/>
      <x:c r="R7" s="1"/>
      <x:c r="S7" s="1"/>
      <x:c r="T7" s="1"/>
      <x:c r="U7" s="1"/>
      <x:c r="V7" s="1"/>
      <x:c r="W7" s="1"/>
      <x:c r="X7" s="1"/>
      <x:c r="Y7" s="1"/>
      <x:c r="Z7" s="13"/>
    </x:row>
    <x:row r="8" ht="18" customHeight="1">
      <x:c r="A8" s="54" t="s">
        <x:v>324</x:v>
      </x:c>
      <x:c r="B8" s="115">
        <x:v>15</x:v>
      </x:c>
      <x:c r="C8" s="56"/>
      <x:c r="D8" s="56"/>
      <x:c r="E8" s="54" t="s">
        <x:v>321</x:v>
      </x:c>
      <x:c r="F8" s="1"/>
      <x:c r="G8" s="293" t="str">
        <x:f>IF('_REFLO_BRIDGE'!$M$17="","",'_REFLO_BRIDGE'!$M$17)</x:f>
      </x:c>
      <x:c r="H8" s="284" t="str">
        <x:f>IF('_REFLO_BRIDGE'!$N$17="","",'_REFLO_BRIDGE'!$N$17)</x:f>
      </x:c>
      <x:c r="I8" s="294" t="str">
        <x:f>IF('_REFLO_BRIDGE'!$O$17="","",'_REFLO_BRIDGE'!$O$17)</x:f>
      </x:c>
      <x:c r="J8" s="294" t="str">
        <x:f>IF('_REFLO_BRIDGE'!$P$17="","",'_REFLO_BRIDGE'!$P$17)</x:f>
      </x:c>
      <x:c r="K8" s="294" t="str">
        <x:f>IF('_REFLO_BRIDGE'!$Q$17="","",'_REFLO_BRIDGE'!$Q$17)</x:f>
      </x:c>
      <x:c r="L8" s="294" t="str">
        <x:f>IF('_REFLO_BRIDGE'!$R$17="","",'_REFLO_BRIDGE'!$R$17)</x:f>
      </x:c>
      <x:c r="M8" s="294" t="str">
        <x:f>IF('_REFLO_BRIDGE'!$S$17="","",'_REFLO_BRIDGE'!$S$17)</x:f>
      </x:c>
      <x:c r="N8" s="294" t="str">
        <x:f>IF('_REFLO_BRIDGE'!$T$17="","",'_REFLO_BRIDGE'!$T$17)</x:f>
      </x:c>
      <x:c r="O8" s="294" t="str">
        <x:f>IF('_REFLO_BRIDGE'!$U$17="","",'_REFLO_BRIDGE'!$U$17)</x:f>
      </x:c>
      <x:c r="P8" s="284" t="str">
        <x:f>IF('_REFLO_BRIDGE'!$V$17="","",'_REFLO_BRIDGE'!$V$17)</x:f>
      </x:c>
      <x:c r="Q8" s="1"/>
      <x:c r="R8" s="1"/>
      <x:c r="S8" s="1"/>
      <x:c r="T8" s="1"/>
      <x:c r="U8" s="1"/>
      <x:c r="V8" s="1"/>
      <x:c r="W8" s="1"/>
      <x:c r="X8" s="1"/>
      <x:c r="Y8" s="1"/>
      <x:c r="Z8" s="13"/>
    </x:row>
    <x:row r="9" ht="18" customHeight="1">
      <x:c r="A9" s="54" t="s">
        <x:v>325</x:v>
      </x:c>
      <x:c r="B9" s="115">
        <x:v>10</x:v>
      </x:c>
      <x:c r="C9" s="56"/>
      <x:c r="D9" s="56"/>
      <x:c r="E9" s="54" t="s">
        <x:v>321</x:v>
      </x:c>
      <x:c r="F9" s="1"/>
      <x:c r="G9" s="293" t="str">
        <x:f>IF('_REFLO_BRIDGE'!$M$18="","",'_REFLO_BRIDGE'!$M$18)</x:f>
      </x:c>
      <x:c r="H9" s="284" t="str">
        <x:f>IF('_REFLO_BRIDGE'!$N$18="","",'_REFLO_BRIDGE'!$N$18)</x:f>
      </x:c>
      <x:c r="I9" s="294" t="str">
        <x:f>IF('_REFLO_BRIDGE'!$O$18="","",'_REFLO_BRIDGE'!$O$18)</x:f>
      </x:c>
      <x:c r="J9" s="294" t="str">
        <x:f>IF('_REFLO_BRIDGE'!$P$18="","",'_REFLO_BRIDGE'!$P$18)</x:f>
      </x:c>
      <x:c r="K9" s="294" t="str">
        <x:f>IF('_REFLO_BRIDGE'!$Q$18="","",'_REFLO_BRIDGE'!$Q$18)</x:f>
      </x:c>
      <x:c r="L9" s="294" t="str">
        <x:f>IF('_REFLO_BRIDGE'!$R$18="","",'_REFLO_BRIDGE'!$R$18)</x:f>
      </x:c>
      <x:c r="M9" s="294" t="str">
        <x:f>IF('_REFLO_BRIDGE'!$S$18="","",'_REFLO_BRIDGE'!$S$18)</x:f>
      </x:c>
      <x:c r="N9" s="294" t="str">
        <x:f>IF('_REFLO_BRIDGE'!$T$18="","",'_REFLO_BRIDGE'!$T$18)</x:f>
      </x:c>
      <x:c r="O9" s="294" t="str">
        <x:f>IF('_REFLO_BRIDGE'!$U$18="","",'_REFLO_BRIDGE'!$U$18)</x:f>
      </x:c>
      <x:c r="P9" s="284" t="str">
        <x:f>IF('_REFLO_BRIDGE'!$V$18="","",'_REFLO_BRIDGE'!$V$18)</x:f>
      </x:c>
      <x:c r="Q9" s="1"/>
      <x:c r="R9" s="1"/>
      <x:c r="S9" s="1"/>
      <x:c r="T9" s="1"/>
      <x:c r="U9" s="1"/>
      <x:c r="V9" s="1"/>
      <x:c r="W9" s="1"/>
      <x:c r="X9" s="1"/>
      <x:c r="Y9" s="1"/>
      <x:c r="Z9" s="13"/>
    </x:row>
    <x:row r="10" ht="19.950000762939453" customHeight="1">
      <x:c r="A10" s="20"/>
      <x:c r="B10" s="5"/>
      <x:c r="C10" s="5"/>
      <x:c r="D10" s="5"/>
      <x:c r="E10" s="5"/>
      <x:c r="F10" s="1"/>
      <x:c r="G10" s="293" t="str">
        <x:f>IF('_REFLO_BRIDGE'!$M$19="","",'_REFLO_BRIDGE'!$M$19)</x:f>
      </x:c>
      <x:c r="H10" s="284" t="str">
        <x:f>IF('_REFLO_BRIDGE'!$N$19="","",'_REFLO_BRIDGE'!$N$19)</x:f>
      </x:c>
      <x:c r="I10" s="294" t="str">
        <x:f>IF('_REFLO_BRIDGE'!$O$19="","",'_REFLO_BRIDGE'!$O$19)</x:f>
      </x:c>
      <x:c r="J10" s="294" t="str">
        <x:f>IF('_REFLO_BRIDGE'!$P$19="","",'_REFLO_BRIDGE'!$P$19)</x:f>
      </x:c>
      <x:c r="K10" s="294" t="str">
        <x:f>IF('_REFLO_BRIDGE'!$Q$19="","",'_REFLO_BRIDGE'!$Q$19)</x:f>
      </x:c>
      <x:c r="L10" s="294" t="str">
        <x:f>IF('_REFLO_BRIDGE'!$R$19="","",'_REFLO_BRIDGE'!$R$19)</x:f>
      </x:c>
      <x:c r="M10" s="294" t="str">
        <x:f>IF('_REFLO_BRIDGE'!$S$19="","",'_REFLO_BRIDGE'!$S$19)</x:f>
      </x:c>
      <x:c r="N10" s="294" t="str">
        <x:f>IF('_REFLO_BRIDGE'!$T$19="","",'_REFLO_BRIDGE'!$T$19)</x:f>
      </x:c>
      <x:c r="O10" s="294" t="str">
        <x:f>IF('_REFLO_BRIDGE'!$U$19="","",'_REFLO_BRIDGE'!$U$19)</x:f>
      </x:c>
      <x:c r="P10" s="284" t="str">
        <x:f>IF('_REFLO_BRIDGE'!$V$19="","",'_REFLO_BRIDGE'!$V$19)</x:f>
      </x:c>
      <x:c r="Q10" s="1"/>
      <x:c r="R10" s="1"/>
      <x:c r="S10" s="1"/>
      <x:c r="T10" s="1"/>
      <x:c r="U10" s="1"/>
      <x:c r="V10" s="1"/>
      <x:c r="W10" s="1"/>
      <x:c r="X10" s="1"/>
      <x:c r="Y10" s="1"/>
      <x:c r="Z10" s="13"/>
    </x:row>
    <x:row r="11" ht="19.950000762939453" customHeight="1">
      <x:c r="A11" s="119" t="s">
        <x:v>209</x:v>
      </x:c>
      <x:c r="B11" s="7"/>
      <x:c r="C11" s="7"/>
      <x:c r="D11" s="7"/>
      <x:c r="E11" s="8"/>
      <x:c r="F11" s="1"/>
      <x:c r="G11" s="293" t="str">
        <x:f>IF('_REFLO_BRIDGE'!$M$20="","",'_REFLO_BRIDGE'!$M$20)</x:f>
      </x:c>
      <x:c r="H11" s="284" t="str">
        <x:f>IF('_REFLO_BRIDGE'!$N$20="","",'_REFLO_BRIDGE'!$N$20)</x:f>
      </x:c>
      <x:c r="I11" s="294" t="str">
        <x:f>IF('_REFLO_BRIDGE'!$O$20="","",'_REFLO_BRIDGE'!$O$20)</x:f>
      </x:c>
      <x:c r="J11" s="294" t="str">
        <x:f>IF('_REFLO_BRIDGE'!$P$20="","",'_REFLO_BRIDGE'!$P$20)</x:f>
      </x:c>
      <x:c r="K11" s="294" t="str">
        <x:f>IF('_REFLO_BRIDGE'!$Q$20="","",'_REFLO_BRIDGE'!$Q$20)</x:f>
      </x:c>
      <x:c r="L11" s="294" t="str">
        <x:f>IF('_REFLO_BRIDGE'!$R$20="","",'_REFLO_BRIDGE'!$R$20)</x:f>
      </x:c>
      <x:c r="M11" s="294" t="str">
        <x:f>IF('_REFLO_BRIDGE'!$S$20="","",'_REFLO_BRIDGE'!$S$20)</x:f>
      </x:c>
      <x:c r="N11" s="294" t="str">
        <x:f>IF('_REFLO_BRIDGE'!$T$20="","",'_REFLO_BRIDGE'!$T$20)</x:f>
      </x:c>
      <x:c r="O11" s="294" t="str">
        <x:f>IF('_REFLO_BRIDGE'!$U$20="","",'_REFLO_BRIDGE'!$U$20)</x:f>
      </x:c>
      <x:c r="P11" s="284" t="str">
        <x:f>IF('_REFLO_BRIDGE'!$V$20="","",'_REFLO_BRIDGE'!$V$20)</x:f>
      </x:c>
      <x:c r="Q11" s="1"/>
      <x:c r="R11" s="1"/>
      <x:c r="S11" s="1"/>
      <x:c r="T11" s="1"/>
      <x:c r="U11" s="1"/>
      <x:c r="V11" s="1"/>
      <x:c r="W11" s="1"/>
      <x:c r="X11" s="1"/>
      <x:c r="Y11" s="1"/>
      <x:c r="Z11" s="13"/>
    </x:row>
    <x:row r="12" ht="18" customHeight="1">
      <x:c r="A12" s="12"/>
      <x:c r="B12" s="1"/>
      <x:c r="C12" s="1"/>
      <x:c r="D12" s="1"/>
      <x:c r="E12" s="1"/>
      <x:c r="F12" s="1"/>
      <x:c r="G12" s="293" t="str">
        <x:f>IF('_REFLO_BRIDGE'!$M$21="","",'_REFLO_BRIDGE'!$M$21)</x:f>
      </x:c>
      <x:c r="H12" s="284" t="str">
        <x:f>IF('_REFLO_BRIDGE'!$N$21="","",'_REFLO_BRIDGE'!$N$21)</x:f>
      </x:c>
      <x:c r="I12" s="294" t="str">
        <x:f>IF('_REFLO_BRIDGE'!$O$21="","",'_REFLO_BRIDGE'!$O$21)</x:f>
      </x:c>
      <x:c r="J12" s="294" t="str">
        <x:f>IF('_REFLO_BRIDGE'!$P$21="","",'_REFLO_BRIDGE'!$P$21)</x:f>
      </x:c>
      <x:c r="K12" s="294" t="str">
        <x:f>IF('_REFLO_BRIDGE'!$Q$21="","",'_REFLO_BRIDGE'!$Q$21)</x:f>
      </x:c>
      <x:c r="L12" s="294" t="str">
        <x:f>IF('_REFLO_BRIDGE'!$R$21="","",'_REFLO_BRIDGE'!$R$21)</x:f>
      </x:c>
      <x:c r="M12" s="294" t="str">
        <x:f>IF('_REFLO_BRIDGE'!$S$21="","",'_REFLO_BRIDGE'!$S$21)</x:f>
      </x:c>
      <x:c r="N12" s="294" t="str">
        <x:f>IF('_REFLO_BRIDGE'!$T$21="","",'_REFLO_BRIDGE'!$T$21)</x:f>
      </x:c>
      <x:c r="O12" s="294" t="str">
        <x:f>IF('_REFLO_BRIDGE'!$U$21="","",'_REFLO_BRIDGE'!$U$21)</x:f>
      </x:c>
      <x:c r="P12" s="284" t="str">
        <x:f>IF('_REFLO_BRIDGE'!$V$21="","",'_REFLO_BRIDGE'!$V$21)</x:f>
      </x:c>
      <x:c r="Q12" s="1"/>
      <x:c r="R12" s="1"/>
      <x:c r="S12" s="1"/>
      <x:c r="T12" s="1"/>
      <x:c r="U12" s="1"/>
      <x:c r="V12" s="1"/>
      <x:c r="W12" s="1"/>
      <x:c r="X12" s="1"/>
      <x:c r="Y12" s="1"/>
      <x:c r="Z12" s="13"/>
    </x:row>
    <x:row r="13" ht="18" customHeight="1">
      <x:c r="A13" s="116" t="s">
        <x:v>326</x:v>
      </x:c>
      <x:c r="B13" s="1"/>
      <x:c r="C13" s="1"/>
      <x:c r="D13" s="1"/>
      <x:c r="E13" s="1"/>
      <x:c r="F13" s="1"/>
      <x:c r="G13" s="293" t="str">
        <x:f>IF('_REFLO_BRIDGE'!$M$22="","",'_REFLO_BRIDGE'!$M$22)</x:f>
      </x:c>
      <x:c r="H13" s="284" t="str">
        <x:f>IF('_REFLO_BRIDGE'!$N$22="","",'_REFLO_BRIDGE'!$N$22)</x:f>
      </x:c>
      <x:c r="I13" s="294" t="str">
        <x:f>IF('_REFLO_BRIDGE'!$O$22="","",'_REFLO_BRIDGE'!$O$22)</x:f>
      </x:c>
      <x:c r="J13" s="294" t="str">
        <x:f>IF('_REFLO_BRIDGE'!$P$22="","",'_REFLO_BRIDGE'!$P$22)</x:f>
      </x:c>
      <x:c r="K13" s="294" t="str">
        <x:f>IF('_REFLO_BRIDGE'!$Q$22="","",'_REFLO_BRIDGE'!$Q$22)</x:f>
      </x:c>
      <x:c r="L13" s="294" t="str">
        <x:f>IF('_REFLO_BRIDGE'!$R$22="","",'_REFLO_BRIDGE'!$R$22)</x:f>
      </x:c>
      <x:c r="M13" s="294" t="str">
        <x:f>IF('_REFLO_BRIDGE'!$S$22="","",'_REFLO_BRIDGE'!$S$22)</x:f>
      </x:c>
      <x:c r="N13" s="294" t="str">
        <x:f>IF('_REFLO_BRIDGE'!$T$22="","",'_REFLO_BRIDGE'!$T$22)</x:f>
      </x:c>
      <x:c r="O13" s="294" t="str">
        <x:f>IF('_REFLO_BRIDGE'!$U$22="","",'_REFLO_BRIDGE'!$U$22)</x:f>
      </x:c>
      <x:c r="P13" s="284" t="str">
        <x:f>IF('_REFLO_BRIDGE'!$V$22="","",'_REFLO_BRIDGE'!$V$22)</x:f>
      </x:c>
      <x:c r="Q13" s="1"/>
      <x:c r="R13" s="1"/>
      <x:c r="S13" s="1"/>
      <x:c r="T13" s="1"/>
      <x:c r="U13" s="1"/>
      <x:c r="V13" s="1"/>
      <x:c r="W13" s="1"/>
      <x:c r="X13" s="1"/>
      <x:c r="Y13" s="1"/>
      <x:c r="Z13" s="13"/>
    </x:row>
    <x:row r="14" ht="18" customHeight="1">
      <x:c r="A14" s="54" t="s">
        <x:v>318</x:v>
      </x:c>
      <x:c r="B14" s="54" t="s">
        <x:v>319</x:v>
      </x:c>
      <x:c r="C14" s="54" t="s">
        <x:v>327</x:v>
      </x:c>
      <x:c r="D14" s="54" t="s">
        <x:v>328</x:v>
      </x:c>
      <x:c r="E14" s="54" t="s">
        <x:v>109</x:v>
      </x:c>
      <x:c r="F14" s="1"/>
      <x:c r="G14" s="293" t="str">
        <x:f>IF('_REFLO_BRIDGE'!$M$23="","",'_REFLO_BRIDGE'!$M$23)</x:f>
      </x:c>
      <x:c r="H14" s="284" t="str">
        <x:f>IF('_REFLO_BRIDGE'!$N$23="","",'_REFLO_BRIDGE'!$N$23)</x:f>
      </x:c>
      <x:c r="I14" s="294" t="str">
        <x:f>IF('_REFLO_BRIDGE'!$O$23="","",'_REFLO_BRIDGE'!$O$23)</x:f>
      </x:c>
      <x:c r="J14" s="294" t="str">
        <x:f>IF('_REFLO_BRIDGE'!$P$23="","",'_REFLO_BRIDGE'!$P$23)</x:f>
      </x:c>
      <x:c r="K14" s="294" t="str">
        <x:f>IF('_REFLO_BRIDGE'!$Q$23="","",'_REFLO_BRIDGE'!$Q$23)</x:f>
      </x:c>
      <x:c r="L14" s="294" t="str">
        <x:f>IF('_REFLO_BRIDGE'!$R$23="","",'_REFLO_BRIDGE'!$R$23)</x:f>
      </x:c>
      <x:c r="M14" s="294" t="str">
        <x:f>IF('_REFLO_BRIDGE'!$S$23="","",'_REFLO_BRIDGE'!$S$23)</x:f>
      </x:c>
      <x:c r="N14" s="294" t="str">
        <x:f>IF('_REFLO_BRIDGE'!$T$23="","",'_REFLO_BRIDGE'!$T$23)</x:f>
      </x:c>
      <x:c r="O14" s="294" t="str">
        <x:f>IF('_REFLO_BRIDGE'!$U$23="","",'_REFLO_BRIDGE'!$U$23)</x:f>
      </x:c>
      <x:c r="P14" s="284" t="str">
        <x:f>IF('_REFLO_BRIDGE'!$V$23="","",'_REFLO_BRIDGE'!$V$23)</x:f>
      </x:c>
      <x:c r="Q14" s="1"/>
      <x:c r="R14" s="1"/>
      <x:c r="S14" s="1"/>
      <x:c r="T14" s="1"/>
      <x:c r="U14" s="1"/>
      <x:c r="V14" s="1"/>
      <x:c r="W14" s="1"/>
      <x:c r="X14" s="1"/>
      <x:c r="Y14" s="1"/>
      <x:c r="Z14" s="13"/>
    </x:row>
    <x:row r="15" ht="18" customHeight="1">
      <x:c r="A15" s="54" t="s">
        <x:v>320</x:v>
      </x:c>
      <x:c r="B15" s="54" t="n">
        <x:f>$B$5</x:f>
        <x:v>30</x:v>
      </x:c>
      <x:c r="C15" s="91" t="n">
        <x:f>$B15*'14_p4_투자지표'!$E$6</x:f>
        <x:v>90990</x:v>
      </x:c>
      <x:c r="D15" s="91" t="n">
        <x:f>$C15/'05_도표1_Valuation'!$C$8-1</x:f>
        <x:v>0.7331428571428571</x:v>
      </x:c>
      <x:c r="E15" s="54" t="s">
        <x:v>329</x:v>
      </x:c>
      <x:c r="F15" s="1"/>
      <x:c r="G15" s="293" t="str">
        <x:f>IF('_REFLO_BRIDGE'!$M$24="","",'_REFLO_BRIDGE'!$M$24)</x:f>
      </x:c>
      <x:c r="H15" s="284" t="str">
        <x:f>IF('_REFLO_BRIDGE'!$N$24="","",'_REFLO_BRIDGE'!$N$24)</x:f>
      </x:c>
      <x:c r="I15" s="294" t="str">
        <x:f>IF('_REFLO_BRIDGE'!$O$24="","",'_REFLO_BRIDGE'!$O$24)</x:f>
      </x:c>
      <x:c r="J15" s="294" t="str">
        <x:f>IF('_REFLO_BRIDGE'!$P$24="","",'_REFLO_BRIDGE'!$P$24)</x:f>
      </x:c>
      <x:c r="K15" s="294" t="str">
        <x:f>IF('_REFLO_BRIDGE'!$Q$24="","",'_REFLO_BRIDGE'!$Q$24)</x:f>
      </x:c>
      <x:c r="L15" s="294" t="str">
        <x:f>IF('_REFLO_BRIDGE'!$R$24="","",'_REFLO_BRIDGE'!$R$24)</x:f>
      </x:c>
      <x:c r="M15" s="294" t="str">
        <x:f>IF('_REFLO_BRIDGE'!$S$24="","",'_REFLO_BRIDGE'!$S$24)</x:f>
      </x:c>
      <x:c r="N15" s="294" t="str">
        <x:f>IF('_REFLO_BRIDGE'!$T$24="","",'_REFLO_BRIDGE'!$T$24)</x:f>
      </x:c>
      <x:c r="O15" s="294" t="str">
        <x:f>IF('_REFLO_BRIDGE'!$U$24="","",'_REFLO_BRIDGE'!$U$24)</x:f>
      </x:c>
      <x:c r="P15" s="284" t="str">
        <x:f>IF('_REFLO_BRIDGE'!$V$24="","",'_REFLO_BRIDGE'!$V$24)</x:f>
      </x:c>
      <x:c r="Q15" s="1"/>
      <x:c r="R15" s="1"/>
      <x:c r="S15" s="1"/>
      <x:c r="T15" s="1"/>
      <x:c r="U15" s="1"/>
      <x:c r="V15" s="1"/>
      <x:c r="W15" s="1"/>
      <x:c r="X15" s="1"/>
      <x:c r="Y15" s="1"/>
      <x:c r="Z15" s="13"/>
    </x:row>
    <x:row r="16" ht="19.950000762939453" customHeight="1">
      <x:c r="A16" s="73" t="s">
        <x:v>322</x:v>
      </x:c>
      <x:c r="B16" s="120" t="n">
        <x:f>$B$6</x:f>
        <x:v>25</x:v>
      </x:c>
      <x:c r="C16" s="121" t="n">
        <x:f>$B16*'14_p4_투자지표'!$E$6</x:f>
        <x:v>75825</x:v>
      </x:c>
      <x:c r="D16" s="121" t="n">
        <x:f>$C16/'05_도표1_Valuation'!$C$8-1</x:f>
        <x:v>0.4442857142857144</x:v>
      </x:c>
      <x:c r="E16" s="73" t="s">
        <x:v>329</x:v>
      </x:c>
      <x:c r="F16" s="1"/>
      <x:c r="G16" s="293" t="str">
        <x:f>IF('_REFLO_BRIDGE'!$M$25="","",'_REFLO_BRIDGE'!$M$25)</x:f>
      </x:c>
      <x:c r="H16" s="284" t="str">
        <x:f>IF('_REFLO_BRIDGE'!$N$25="","",'_REFLO_BRIDGE'!$N$25)</x:f>
      </x:c>
      <x:c r="I16" s="294" t="str">
        <x:f>IF('_REFLO_BRIDGE'!$O$25="","",'_REFLO_BRIDGE'!$O$25)</x:f>
      </x:c>
      <x:c r="J16" s="294" t="str">
        <x:f>IF('_REFLO_BRIDGE'!$P$25="","",'_REFLO_BRIDGE'!$P$25)</x:f>
      </x:c>
      <x:c r="K16" s="294" t="str">
        <x:f>IF('_REFLO_BRIDGE'!$Q$25="","",'_REFLO_BRIDGE'!$Q$25)</x:f>
      </x:c>
      <x:c r="L16" s="294" t="str">
        <x:f>IF('_REFLO_BRIDGE'!$R$25="","",'_REFLO_BRIDGE'!$R$25)</x:f>
      </x:c>
      <x:c r="M16" s="294" t="str">
        <x:f>IF('_REFLO_BRIDGE'!$S$25="","",'_REFLO_BRIDGE'!$S$25)</x:f>
      </x:c>
      <x:c r="N16" s="294" t="str">
        <x:f>IF('_REFLO_BRIDGE'!$T$25="","",'_REFLO_BRIDGE'!$T$25)</x:f>
      </x:c>
      <x:c r="O16" s="294" t="str">
        <x:f>IF('_REFLO_BRIDGE'!$U$25="","",'_REFLO_BRIDGE'!$U$25)</x:f>
      </x:c>
      <x:c r="P16" s="284" t="str">
        <x:f>IF('_REFLO_BRIDGE'!$V$25="","",'_REFLO_BRIDGE'!$V$25)</x:f>
      </x:c>
      <x:c r="Q16" s="1"/>
      <x:c r="R16" s="1"/>
      <x:c r="S16" s="1"/>
      <x:c r="T16" s="1"/>
      <x:c r="U16" s="1"/>
      <x:c r="V16" s="1"/>
      <x:c r="W16" s="1"/>
      <x:c r="X16" s="1"/>
      <x:c r="Y16" s="1"/>
      <x:c r="Z16" s="13"/>
    </x:row>
    <x:row r="17" ht="19.950000762939453" customHeight="1">
      <x:c r="A17" s="53" t="s">
        <x:v>323</x:v>
      </x:c>
      <x:c r="B17" s="122" t="n">
        <x:f>$B$7</x:f>
        <x:v>20</x:v>
      </x:c>
      <x:c r="C17" s="99" t="n">
        <x:f>$B17*'14_p4_투자지표'!$E$6</x:f>
        <x:v>60660</x:v>
      </x:c>
      <x:c r="D17" s="99" t="n">
        <x:f>$C17/'05_도표1_Valuation'!$C$8-1</x:f>
        <x:v>0.15542857142857147</x:v>
      </x:c>
      <x:c r="E17" s="53" t="s">
        <x:v>329</x:v>
      </x:c>
      <x:c r="F17" s="1"/>
      <x:c r="G17" s="293" t="str">
        <x:f>IF('_REFLO_BRIDGE'!$M$26="","",'_REFLO_BRIDGE'!$M$26)</x:f>
      </x:c>
      <x:c r="H17" s="284" t="str">
        <x:f>IF('_REFLO_BRIDGE'!$N$26="","",'_REFLO_BRIDGE'!$N$26)</x:f>
      </x:c>
      <x:c r="I17" s="294" t="str">
        <x:f>IF('_REFLO_BRIDGE'!$O$26="","",'_REFLO_BRIDGE'!$O$26)</x:f>
      </x:c>
      <x:c r="J17" s="294" t="str">
        <x:f>IF('_REFLO_BRIDGE'!$P$26="","",'_REFLO_BRIDGE'!$P$26)</x:f>
      </x:c>
      <x:c r="K17" s="294" t="str">
        <x:f>IF('_REFLO_BRIDGE'!$Q$26="","",'_REFLO_BRIDGE'!$Q$26)</x:f>
      </x:c>
      <x:c r="L17" s="294" t="str">
        <x:f>IF('_REFLO_BRIDGE'!$R$26="","",'_REFLO_BRIDGE'!$R$26)</x:f>
      </x:c>
      <x:c r="M17" s="294" t="str">
        <x:f>IF('_REFLO_BRIDGE'!$S$26="","",'_REFLO_BRIDGE'!$S$26)</x:f>
      </x:c>
      <x:c r="N17" s="294" t="str">
        <x:f>IF('_REFLO_BRIDGE'!$T$26="","",'_REFLO_BRIDGE'!$T$26)</x:f>
      </x:c>
      <x:c r="O17" s="294" t="str">
        <x:f>IF('_REFLO_BRIDGE'!$U$26="","",'_REFLO_BRIDGE'!$U$26)</x:f>
      </x:c>
      <x:c r="P17" s="284" t="str">
        <x:f>IF('_REFLO_BRIDGE'!$V$26="","",'_REFLO_BRIDGE'!$V$26)</x:f>
      </x:c>
      <x:c r="Q17" s="1"/>
      <x:c r="R17" s="1"/>
      <x:c r="S17" s="1"/>
      <x:c r="T17" s="1"/>
      <x:c r="U17" s="1"/>
      <x:c r="V17" s="1"/>
      <x:c r="W17" s="1"/>
      <x:c r="X17" s="1"/>
      <x:c r="Y17" s="1"/>
      <x:c r="Z17" s="13"/>
    </x:row>
    <x:row r="18" ht="18" customHeight="1">
      <x:c r="A18" s="54" t="s">
        <x:v>324</x:v>
      </x:c>
      <x:c r="B18" s="54" t="n">
        <x:f>$B$8</x:f>
        <x:v>15</x:v>
      </x:c>
      <x:c r="C18" s="91" t="n">
        <x:f>$B18*'14_p4_투자지표'!$E$6</x:f>
        <x:v>45495</x:v>
      </x:c>
      <x:c r="D18" s="91" t="n">
        <x:f>$C18/'05_도표1_Valuation'!$C$8-1</x:f>
        <x:v>-0.13342857142857145</x:v>
      </x:c>
      <x:c r="E18" s="54" t="s">
        <x:v>329</x:v>
      </x:c>
      <x:c r="F18" s="1"/>
      <x:c r="G18" s="293" t="str">
        <x:f>IF('_REFLO_BRIDGE'!$M$27="","",'_REFLO_BRIDGE'!$M$27)</x:f>
      </x:c>
      <x:c r="H18" s="284" t="str">
        <x:f>IF('_REFLO_BRIDGE'!$N$27="","",'_REFLO_BRIDGE'!$N$27)</x:f>
      </x:c>
      <x:c r="I18" s="294" t="str">
        <x:f>IF('_REFLO_BRIDGE'!$O$27="","",'_REFLO_BRIDGE'!$O$27)</x:f>
      </x:c>
      <x:c r="J18" s="294" t="str">
        <x:f>IF('_REFLO_BRIDGE'!$P$27="","",'_REFLO_BRIDGE'!$P$27)</x:f>
      </x:c>
      <x:c r="K18" s="294" t="str">
        <x:f>IF('_REFLO_BRIDGE'!$Q$27="","",'_REFLO_BRIDGE'!$Q$27)</x:f>
      </x:c>
      <x:c r="L18" s="294" t="str">
        <x:f>IF('_REFLO_BRIDGE'!$R$27="","",'_REFLO_BRIDGE'!$R$27)</x:f>
      </x:c>
      <x:c r="M18" s="294" t="str">
        <x:f>IF('_REFLO_BRIDGE'!$S$27="","",'_REFLO_BRIDGE'!$S$27)</x:f>
      </x:c>
      <x:c r="N18" s="294" t="str">
        <x:f>IF('_REFLO_BRIDGE'!$T$27="","",'_REFLO_BRIDGE'!$T$27)</x:f>
      </x:c>
      <x:c r="O18" s="294" t="str">
        <x:f>IF('_REFLO_BRIDGE'!$U$27="","",'_REFLO_BRIDGE'!$U$27)</x:f>
      </x:c>
      <x:c r="P18" s="284" t="str">
        <x:f>IF('_REFLO_BRIDGE'!$V$27="","",'_REFLO_BRIDGE'!$V$27)</x:f>
      </x:c>
      <x:c r="Q18" s="1"/>
      <x:c r="R18" s="1"/>
      <x:c r="S18" s="1"/>
      <x:c r="T18" s="1"/>
      <x:c r="U18" s="1"/>
      <x:c r="V18" s="1"/>
      <x:c r="W18" s="1"/>
      <x:c r="X18" s="1"/>
      <x:c r="Y18" s="1"/>
      <x:c r="Z18" s="13"/>
    </x:row>
    <x:row r="19" ht="18" customHeight="1">
      <x:c r="A19" s="54" t="s">
        <x:v>325</x:v>
      </x:c>
      <x:c r="B19" s="54" t="n">
        <x:f>$B$9</x:f>
        <x:v>10</x:v>
      </x:c>
      <x:c r="C19" s="91" t="n">
        <x:f>$B19*'14_p4_투자지표'!$E$6</x:f>
        <x:v>30330</x:v>
      </x:c>
      <x:c r="D19" s="91" t="n">
        <x:f>$C19/'05_도표1_Valuation'!$C$8-1</x:f>
        <x:v>-0.42228571428571426</x:v>
      </x:c>
      <x:c r="E19" s="54" t="s">
        <x:v>329</x:v>
      </x:c>
      <x:c r="F19" s="1"/>
      <x:c r="G19" s="293" t="str">
        <x:f>IF('_REFLO_BRIDGE'!$M$28="","",'_REFLO_BRIDGE'!$M$28)</x:f>
      </x:c>
      <x:c r="H19" s="284" t="str">
        <x:f>IF('_REFLO_BRIDGE'!$N$28="","",'_REFLO_BRIDGE'!$N$28)</x:f>
      </x:c>
      <x:c r="I19" s="294" t="str">
        <x:f>IF('_REFLO_BRIDGE'!$O$28="","",'_REFLO_BRIDGE'!$O$28)</x:f>
      </x:c>
      <x:c r="J19" s="294" t="str">
        <x:f>IF('_REFLO_BRIDGE'!$P$28="","",'_REFLO_BRIDGE'!$P$28)</x:f>
      </x:c>
      <x:c r="K19" s="294" t="str">
        <x:f>IF('_REFLO_BRIDGE'!$Q$28="","",'_REFLO_BRIDGE'!$Q$28)</x:f>
      </x:c>
      <x:c r="L19" s="294" t="str">
        <x:f>IF('_REFLO_BRIDGE'!$R$28="","",'_REFLO_BRIDGE'!$R$28)</x:f>
      </x:c>
      <x:c r="M19" s="294" t="str">
        <x:f>IF('_REFLO_BRIDGE'!$S$28="","",'_REFLO_BRIDGE'!$S$28)</x:f>
      </x:c>
      <x:c r="N19" s="294" t="str">
        <x:f>IF('_REFLO_BRIDGE'!$T$28="","",'_REFLO_BRIDGE'!$T$28)</x:f>
      </x:c>
      <x:c r="O19" s="294" t="str">
        <x:f>IF('_REFLO_BRIDGE'!$U$28="","",'_REFLO_BRIDGE'!$U$28)</x:f>
      </x:c>
      <x:c r="P19" s="284" t="str">
        <x:f>IF('_REFLO_BRIDGE'!$V$28="","",'_REFLO_BRIDGE'!$V$28)</x:f>
      </x:c>
      <x:c r="Q19" s="1"/>
      <x:c r="R19" s="1"/>
      <x:c r="S19" s="1"/>
      <x:c r="T19" s="1"/>
      <x:c r="U19" s="1"/>
      <x:c r="V19" s="1"/>
      <x:c r="W19" s="1"/>
      <x:c r="X19" s="1"/>
      <x:c r="Y19" s="1"/>
      <x:c r="Z19" s="13"/>
    </x:row>
    <x:row r="20" ht="18" customHeight="1">
      <x:c r="A20" s="12"/>
      <x:c r="B20" s="1"/>
      <x:c r="C20" s="1"/>
      <x:c r="D20" s="1"/>
      <x:c r="E20" s="1"/>
      <x:c r="F20" s="1"/>
      <x:c r="G20" s="293" t="str">
        <x:f>IF('_REFLO_BRIDGE'!$M$29="","",'_REFLO_BRIDGE'!$M$29)</x:f>
      </x:c>
      <x:c r="H20" s="284" t="str">
        <x:f>IF('_REFLO_BRIDGE'!$N$29="","",'_REFLO_BRIDGE'!$N$29)</x:f>
      </x:c>
      <x:c r="I20" s="294" t="str">
        <x:f>IF('_REFLO_BRIDGE'!$O$29="","",'_REFLO_BRIDGE'!$O$29)</x:f>
      </x:c>
      <x:c r="J20" s="294" t="str">
        <x:f>IF('_REFLO_BRIDGE'!$P$29="","",'_REFLO_BRIDGE'!$P$29)</x:f>
      </x:c>
      <x:c r="K20" s="294" t="str">
        <x:f>IF('_REFLO_BRIDGE'!$Q$29="","",'_REFLO_BRIDGE'!$Q$29)</x:f>
      </x:c>
      <x:c r="L20" s="294" t="str">
        <x:f>IF('_REFLO_BRIDGE'!$R$29="","",'_REFLO_BRIDGE'!$R$29)</x:f>
      </x:c>
      <x:c r="M20" s="294" t="str">
        <x:f>IF('_REFLO_BRIDGE'!$S$29="","",'_REFLO_BRIDGE'!$S$29)</x:f>
      </x:c>
      <x:c r="N20" s="294" t="str">
        <x:f>IF('_REFLO_BRIDGE'!$T$29="","",'_REFLO_BRIDGE'!$T$29)</x:f>
      </x:c>
      <x:c r="O20" s="294" t="str">
        <x:f>IF('_REFLO_BRIDGE'!$U$29="","",'_REFLO_BRIDGE'!$U$29)</x:f>
      </x:c>
      <x:c r="P20" s="284" t="str">
        <x:f>IF('_REFLO_BRIDGE'!$V$29="","",'_REFLO_BRIDGE'!$V$29)</x:f>
      </x:c>
      <x:c r="Q20" s="1"/>
      <x:c r="R20" s="1"/>
      <x:c r="S20" s="1"/>
      <x:c r="T20" s="1"/>
      <x:c r="U20" s="1"/>
      <x:c r="V20" s="1"/>
      <x:c r="W20" s="1"/>
      <x:c r="X20" s="1"/>
      <x:c r="Y20" s="1"/>
      <x:c r="Z20" s="13"/>
    </x:row>
    <x:row r="21" ht="18" customHeight="1">
      <x:c r="A21" s="164" t="s">
        <x:v>330</x:v>
      </x:c>
      <x:c r="B21" s="148"/>
      <x:c r="C21" s="148"/>
      <x:c r="D21" s="148"/>
      <x:c r="E21" s="148"/>
      <x:c r="F21" s="1"/>
      <x:c r="G21" s="293" t="str">
        <x:f>IF('_REFLO_BRIDGE'!$M$30="","",'_REFLO_BRIDGE'!$M$30)</x:f>
      </x:c>
      <x:c r="H21" s="284" t="str">
        <x:f>IF('_REFLO_BRIDGE'!$N$30="","",'_REFLO_BRIDGE'!$N$30)</x:f>
      </x:c>
      <x:c r="I21" s="294" t="str">
        <x:f>IF('_REFLO_BRIDGE'!$O$30="","",'_REFLO_BRIDGE'!$O$30)</x:f>
      </x:c>
      <x:c r="J21" s="294" t="str">
        <x:f>IF('_REFLO_BRIDGE'!$P$30="","",'_REFLO_BRIDGE'!$P$30)</x:f>
      </x:c>
      <x:c r="K21" s="294" t="str">
        <x:f>IF('_REFLO_BRIDGE'!$Q$30="","",'_REFLO_BRIDGE'!$Q$30)</x:f>
      </x:c>
      <x:c r="L21" s="294" t="str">
        <x:f>IF('_REFLO_BRIDGE'!$R$30="","",'_REFLO_BRIDGE'!$R$30)</x:f>
      </x:c>
      <x:c r="M21" s="294" t="str">
        <x:f>IF('_REFLO_BRIDGE'!$S$30="","",'_REFLO_BRIDGE'!$S$30)</x:f>
      </x:c>
      <x:c r="N21" s="294" t="str">
        <x:f>IF('_REFLO_BRIDGE'!$T$30="","",'_REFLO_BRIDGE'!$T$30)</x:f>
      </x:c>
      <x:c r="O21" s="294" t="str">
        <x:f>IF('_REFLO_BRIDGE'!$U$30="","",'_REFLO_BRIDGE'!$U$30)</x:f>
      </x:c>
      <x:c r="P21" s="284" t="str">
        <x:f>IF('_REFLO_BRIDGE'!$V$30="","",'_REFLO_BRIDGE'!$V$30)</x:f>
      </x:c>
      <x:c r="Q21" s="1"/>
      <x:c r="R21" s="1"/>
      <x:c r="S21" s="1"/>
      <x:c r="T21" s="1"/>
      <x:c r="U21" s="1"/>
      <x:c r="V21" s="1"/>
      <x:c r="W21" s="1"/>
      <x:c r="X21" s="1"/>
      <x:c r="Y21" s="1"/>
      <x:c r="Z21" s="13"/>
    </x:row>
    <x:row r="22" ht="18" customHeight="1">
      <x:c r="A22" s="12"/>
      <x:c r="B22" s="1"/>
      <x:c r="C22" s="1"/>
      <x:c r="D22" s="1"/>
      <x:c r="E22" s="1"/>
      <x:c r="F22" s="1"/>
      <x:c r="G22" s="293" t="str">
        <x:f>IF('_REFLO_BRIDGE'!$M$31="","",'_REFLO_BRIDGE'!$M$31)</x:f>
      </x:c>
      <x:c r="H22" s="284" t="str">
        <x:f>IF('_REFLO_BRIDGE'!$N$31="","",'_REFLO_BRIDGE'!$N$31)</x:f>
      </x:c>
      <x:c r="I22" s="294" t="str">
        <x:f>IF('_REFLO_BRIDGE'!$O$31="","",'_REFLO_BRIDGE'!$O$31)</x:f>
      </x:c>
      <x:c r="J22" s="294" t="str">
        <x:f>IF('_REFLO_BRIDGE'!$P$31="","",'_REFLO_BRIDGE'!$P$31)</x:f>
      </x:c>
      <x:c r="K22" s="294" t="str">
        <x:f>IF('_REFLO_BRIDGE'!$Q$31="","",'_REFLO_BRIDGE'!$Q$31)</x:f>
      </x:c>
      <x:c r="L22" s="294" t="str">
        <x:f>IF('_REFLO_BRIDGE'!$R$31="","",'_REFLO_BRIDGE'!$R$31)</x:f>
      </x:c>
      <x:c r="M22" s="294" t="str">
        <x:f>IF('_REFLO_BRIDGE'!$S$31="","",'_REFLO_BRIDGE'!$S$31)</x:f>
      </x:c>
      <x:c r="N22" s="294" t="str">
        <x:f>IF('_REFLO_BRIDGE'!$T$31="","",'_REFLO_BRIDGE'!$T$31)</x:f>
      </x:c>
      <x:c r="O22" s="294" t="str">
        <x:f>IF('_REFLO_BRIDGE'!$U$31="","",'_REFLO_BRIDGE'!$U$31)</x:f>
      </x:c>
      <x:c r="P22" s="284" t="str">
        <x:f>IF('_REFLO_BRIDGE'!$V$31="","",'_REFLO_BRIDGE'!$V$31)</x:f>
      </x:c>
      <x:c r="Q22" s="1"/>
      <x:c r="R22" s="1"/>
      <x:c r="S22" s="1"/>
      <x:c r="T22" s="1"/>
      <x:c r="U22" s="1"/>
      <x:c r="V22" s="1"/>
      <x:c r="W22" s="1"/>
      <x:c r="X22" s="1"/>
      <x:c r="Y22" s="1"/>
      <x:c r="Z22" s="13"/>
    </x:row>
    <x:row r="23" ht="18" customHeight="1">
      <x:c r="A23" s="12"/>
      <x:c r="B23" s="1"/>
      <x:c r="C23" s="1"/>
      <x:c r="D23" s="1"/>
      <x:c r="E23" s="1"/>
      <x:c r="F23" s="1"/>
      <x:c r="G23" s="293" t="str">
        <x:f>IF('_REFLO_BRIDGE'!$M$32="","",'_REFLO_BRIDGE'!$M$32)</x:f>
      </x:c>
      <x:c r="H23" s="284" t="str">
        <x:f>IF('_REFLO_BRIDGE'!$N$32="","",'_REFLO_BRIDGE'!$N$32)</x:f>
      </x:c>
      <x:c r="I23" s="294" t="str">
        <x:f>IF('_REFLO_BRIDGE'!$O$32="","",'_REFLO_BRIDGE'!$O$32)</x:f>
      </x:c>
      <x:c r="J23" s="294" t="str">
        <x:f>IF('_REFLO_BRIDGE'!$P$32="","",'_REFLO_BRIDGE'!$P$32)</x:f>
      </x:c>
      <x:c r="K23" s="294" t="str">
        <x:f>IF('_REFLO_BRIDGE'!$Q$32="","",'_REFLO_BRIDGE'!$Q$32)</x:f>
      </x:c>
      <x:c r="L23" s="294" t="str">
        <x:f>IF('_REFLO_BRIDGE'!$R$32="","",'_REFLO_BRIDGE'!$R$32)</x:f>
      </x:c>
      <x:c r="M23" s="294" t="str">
        <x:f>IF('_REFLO_BRIDGE'!$S$32="","",'_REFLO_BRIDGE'!$S$32)</x:f>
      </x:c>
      <x:c r="N23" s="294" t="str">
        <x:f>IF('_REFLO_BRIDGE'!$T$32="","",'_REFLO_BRIDGE'!$T$32)</x:f>
      </x:c>
      <x:c r="O23" s="294" t="str">
        <x:f>IF('_REFLO_BRIDGE'!$U$32="","",'_REFLO_BRIDGE'!$U$32)</x:f>
      </x:c>
      <x:c r="P23" s="284" t="str">
        <x:f>IF('_REFLO_BRIDGE'!$V$32="","",'_REFLO_BRIDGE'!$V$32)</x:f>
      </x:c>
      <x:c r="Q23" s="1"/>
      <x:c r="R23" s="1"/>
      <x:c r="S23" s="1"/>
      <x:c r="T23" s="1"/>
      <x:c r="U23" s="1"/>
      <x:c r="V23" s="1"/>
      <x:c r="W23" s="1"/>
      <x:c r="X23" s="1"/>
      <x:c r="Y23" s="1"/>
      <x:c r="Z23" s="13"/>
    </x:row>
    <x:row r="24" ht="18" customHeight="1">
      <x:c r="A24" s="12"/>
      <x:c r="B24" s="1"/>
      <x:c r="C24" s="1"/>
      <x:c r="D24" s="1"/>
      <x:c r="E24" s="1"/>
      <x:c r="F24" s="1"/>
      <x:c r="G24" s="293" t="str">
        <x:f>IF('_REFLO_BRIDGE'!$M$33="","",'_REFLO_BRIDGE'!$M$33)</x:f>
      </x:c>
      <x:c r="H24" s="284" t="str">
        <x:f>IF('_REFLO_BRIDGE'!$N$33="","",'_REFLO_BRIDGE'!$N$33)</x:f>
      </x:c>
      <x:c r="I24" s="294" t="str">
        <x:f>IF('_REFLO_BRIDGE'!$O$33="","",'_REFLO_BRIDGE'!$O$33)</x:f>
      </x:c>
      <x:c r="J24" s="294" t="str">
        <x:f>IF('_REFLO_BRIDGE'!$P$33="","",'_REFLO_BRIDGE'!$P$33)</x:f>
      </x:c>
      <x:c r="K24" s="294" t="str">
        <x:f>IF('_REFLO_BRIDGE'!$Q$33="","",'_REFLO_BRIDGE'!$Q$33)</x:f>
      </x:c>
      <x:c r="L24" s="294" t="str">
        <x:f>IF('_REFLO_BRIDGE'!$R$33="","",'_REFLO_BRIDGE'!$R$33)</x:f>
      </x:c>
      <x:c r="M24" s="294" t="str">
        <x:f>IF('_REFLO_BRIDGE'!$S$33="","",'_REFLO_BRIDGE'!$S$33)</x:f>
      </x:c>
      <x:c r="N24" s="294" t="str">
        <x:f>IF('_REFLO_BRIDGE'!$T$33="","",'_REFLO_BRIDGE'!$T$33)</x:f>
      </x:c>
      <x:c r="O24" s="294" t="str">
        <x:f>IF('_REFLO_BRIDGE'!$U$33="","",'_REFLO_BRIDGE'!$U$33)</x:f>
      </x:c>
      <x:c r="P24" s="284" t="str">
        <x:f>IF('_REFLO_BRIDGE'!$V$33="","",'_REFLO_BRIDGE'!$V$33)</x:f>
      </x:c>
      <x:c r="Q24" s="1"/>
      <x:c r="R24" s="1"/>
      <x:c r="S24" s="1"/>
      <x:c r="T24" s="1"/>
      <x:c r="U24" s="1"/>
      <x:c r="V24" s="1"/>
      <x:c r="W24" s="1"/>
      <x:c r="X24" s="1"/>
      <x:c r="Y24" s="1"/>
      <x:c r="Z24" s="13"/>
    </x:row>
    <x:row r="25" ht="18" customHeight="1">
      <x:c r="A25" s="12"/>
      <x:c r="B25" s="1"/>
      <x:c r="C25" s="1"/>
      <x:c r="D25" s="1"/>
      <x:c r="E25" s="1"/>
      <x:c r="F25" s="1"/>
      <x:c r="G25" s="293" t="str">
        <x:f>IF('_REFLO_BRIDGE'!$M$34="","",'_REFLO_BRIDGE'!$M$34)</x:f>
      </x:c>
      <x:c r="H25" s="284" t="str">
        <x:f>IF('_REFLO_BRIDGE'!$N$34="","",'_REFLO_BRIDGE'!$N$34)</x:f>
      </x:c>
      <x:c r="I25" s="294" t="str">
        <x:f>IF('_REFLO_BRIDGE'!$O$34="","",'_REFLO_BRIDGE'!$O$34)</x:f>
      </x:c>
      <x:c r="J25" s="294" t="str">
        <x:f>IF('_REFLO_BRIDGE'!$P$34="","",'_REFLO_BRIDGE'!$P$34)</x:f>
      </x:c>
      <x:c r="K25" s="294" t="str">
        <x:f>IF('_REFLO_BRIDGE'!$Q$34="","",'_REFLO_BRIDGE'!$Q$34)</x:f>
      </x:c>
      <x:c r="L25" s="294" t="str">
        <x:f>IF('_REFLO_BRIDGE'!$R$34="","",'_REFLO_BRIDGE'!$R$34)</x:f>
      </x:c>
      <x:c r="M25" s="294" t="str">
        <x:f>IF('_REFLO_BRIDGE'!$S$34="","",'_REFLO_BRIDGE'!$S$34)</x:f>
      </x:c>
      <x:c r="N25" s="294" t="str">
        <x:f>IF('_REFLO_BRIDGE'!$T$34="","",'_REFLO_BRIDGE'!$T$34)</x:f>
      </x:c>
      <x:c r="O25" s="294" t="str">
        <x:f>IF('_REFLO_BRIDGE'!$U$34="","",'_REFLO_BRIDGE'!$U$34)</x:f>
      </x:c>
      <x:c r="P25" s="284" t="str">
        <x:f>IF('_REFLO_BRIDGE'!$V$34="","",'_REFLO_BRIDGE'!$V$34)</x:f>
      </x:c>
      <x:c r="Q25" s="1"/>
      <x:c r="R25" s="1"/>
      <x:c r="S25" s="1"/>
      <x:c r="T25" s="1"/>
      <x:c r="U25" s="1"/>
      <x:c r="V25" s="1"/>
      <x:c r="W25" s="1"/>
      <x:c r="X25" s="1"/>
      <x:c r="Y25" s="1"/>
      <x:c r="Z25" s="13"/>
    </x:row>
    <x:row r="26" ht="18" customHeight="1">
      <x:c r="A26" s="12"/>
      <x:c r="B26" s="1"/>
      <x:c r="C26" s="1"/>
      <x:c r="D26" s="1"/>
      <x:c r="E26" s="1"/>
      <x:c r="F26" s="1"/>
      <x:c r="G26" s="293" t="str">
        <x:f>IF('_REFLO_BRIDGE'!$M$35="","",'_REFLO_BRIDGE'!$M$35)</x:f>
      </x:c>
      <x:c r="H26" s="284" t="str">
        <x:f>IF('_REFLO_BRIDGE'!$N$35="","",'_REFLO_BRIDGE'!$N$35)</x:f>
      </x:c>
      <x:c r="I26" s="294" t="str">
        <x:f>IF('_REFLO_BRIDGE'!$O$35="","",'_REFLO_BRIDGE'!$O$35)</x:f>
      </x:c>
      <x:c r="J26" s="294" t="str">
        <x:f>IF('_REFLO_BRIDGE'!$P$35="","",'_REFLO_BRIDGE'!$P$35)</x:f>
      </x:c>
      <x:c r="K26" s="294" t="str">
        <x:f>IF('_REFLO_BRIDGE'!$Q$35="","",'_REFLO_BRIDGE'!$Q$35)</x:f>
      </x:c>
      <x:c r="L26" s="294" t="str">
        <x:f>IF('_REFLO_BRIDGE'!$R$35="","",'_REFLO_BRIDGE'!$R$35)</x:f>
      </x:c>
      <x:c r="M26" s="294" t="str">
        <x:f>IF('_REFLO_BRIDGE'!$S$35="","",'_REFLO_BRIDGE'!$S$35)</x:f>
      </x:c>
      <x:c r="N26" s="294" t="str">
        <x:f>IF('_REFLO_BRIDGE'!$T$35="","",'_REFLO_BRIDGE'!$T$35)</x:f>
      </x:c>
      <x:c r="O26" s="294" t="str">
        <x:f>IF('_REFLO_BRIDGE'!$U$35="","",'_REFLO_BRIDGE'!$U$35)</x:f>
      </x:c>
      <x:c r="P26" s="284" t="str">
        <x:f>IF('_REFLO_BRIDGE'!$V$35="","",'_REFLO_BRIDGE'!$V$35)</x:f>
      </x:c>
      <x:c r="Q26" s="1"/>
      <x:c r="R26" s="1"/>
      <x:c r="S26" s="1"/>
      <x:c r="T26" s="1"/>
      <x:c r="U26" s="1"/>
      <x:c r="V26" s="1"/>
      <x:c r="W26" s="1"/>
      <x:c r="X26" s="1"/>
      <x:c r="Y26" s="1"/>
      <x:c r="Z26" s="13"/>
    </x:row>
    <x:row r="27" ht="18" customHeight="1">
      <x:c r="A27" s="12"/>
      <x:c r="B27" s="1"/>
      <x:c r="C27" s="1"/>
      <x:c r="D27" s="1"/>
      <x:c r="E27" s="1"/>
      <x:c r="F27" s="1"/>
      <x:c r="G27" s="293" t="str">
        <x:f>IF('_REFLO_BRIDGE'!$M$36="","",'_REFLO_BRIDGE'!$M$36)</x:f>
      </x:c>
      <x:c r="H27" s="284" t="str">
        <x:f>IF('_REFLO_BRIDGE'!$N$36="","",'_REFLO_BRIDGE'!$N$36)</x:f>
      </x:c>
      <x:c r="I27" s="294" t="str">
        <x:f>IF('_REFLO_BRIDGE'!$O$36="","",'_REFLO_BRIDGE'!$O$36)</x:f>
      </x:c>
      <x:c r="J27" s="294" t="str">
        <x:f>IF('_REFLO_BRIDGE'!$P$36="","",'_REFLO_BRIDGE'!$P$36)</x:f>
      </x:c>
      <x:c r="K27" s="294" t="str">
        <x:f>IF('_REFLO_BRIDGE'!$Q$36="","",'_REFLO_BRIDGE'!$Q$36)</x:f>
      </x:c>
      <x:c r="L27" s="294" t="str">
        <x:f>IF('_REFLO_BRIDGE'!$R$36="","",'_REFLO_BRIDGE'!$R$36)</x:f>
      </x:c>
      <x:c r="M27" s="294" t="str">
        <x:f>IF('_REFLO_BRIDGE'!$S$36="","",'_REFLO_BRIDGE'!$S$36)</x:f>
      </x:c>
      <x:c r="N27" s="294" t="str">
        <x:f>IF('_REFLO_BRIDGE'!$T$36="","",'_REFLO_BRIDGE'!$T$36)</x:f>
      </x:c>
      <x:c r="O27" s="294" t="str">
        <x:f>IF('_REFLO_BRIDGE'!$U$36="","",'_REFLO_BRIDGE'!$U$36)</x:f>
      </x:c>
      <x:c r="P27" s="284" t="str">
        <x:f>IF('_REFLO_BRIDGE'!$V$36="","",'_REFLO_BRIDGE'!$V$36)</x:f>
      </x:c>
      <x:c r="Q27" s="1"/>
      <x:c r="R27" s="1"/>
      <x:c r="S27" s="1"/>
      <x:c r="T27" s="1"/>
      <x:c r="U27" s="1"/>
      <x:c r="V27" s="1"/>
      <x:c r="W27" s="1"/>
      <x:c r="X27" s="1"/>
      <x:c r="Y27" s="1"/>
      <x:c r="Z27" s="13"/>
    </x:row>
    <x:row r="28" ht="18" customHeight="1">
      <x:c r="A28" s="12"/>
      <x:c r="B28" s="1"/>
      <x:c r="C28" s="1"/>
      <x:c r="D28" s="1"/>
      <x:c r="E28" s="1"/>
      <x:c r="F28" s="1"/>
      <x:c r="G28" s="293" t="str">
        <x:f>IF('_REFLO_BRIDGE'!$M$37="","",'_REFLO_BRIDGE'!$M$37)</x:f>
      </x:c>
      <x:c r="H28" s="284" t="str">
        <x:f>IF('_REFLO_BRIDGE'!$N$37="","",'_REFLO_BRIDGE'!$N$37)</x:f>
      </x:c>
      <x:c r="I28" s="294" t="str">
        <x:f>IF('_REFLO_BRIDGE'!$O$37="","",'_REFLO_BRIDGE'!$O$37)</x:f>
      </x:c>
      <x:c r="J28" s="294" t="str">
        <x:f>IF('_REFLO_BRIDGE'!$P$37="","",'_REFLO_BRIDGE'!$P$37)</x:f>
      </x:c>
      <x:c r="K28" s="294" t="str">
        <x:f>IF('_REFLO_BRIDGE'!$Q$37="","",'_REFLO_BRIDGE'!$Q$37)</x:f>
      </x:c>
      <x:c r="L28" s="294" t="str">
        <x:f>IF('_REFLO_BRIDGE'!$R$37="","",'_REFLO_BRIDGE'!$R$37)</x:f>
      </x:c>
      <x:c r="M28" s="294" t="str">
        <x:f>IF('_REFLO_BRIDGE'!$S$37="","",'_REFLO_BRIDGE'!$S$37)</x:f>
      </x:c>
      <x:c r="N28" s="294" t="str">
        <x:f>IF('_REFLO_BRIDGE'!$T$37="","",'_REFLO_BRIDGE'!$T$37)</x:f>
      </x:c>
      <x:c r="O28" s="294" t="str">
        <x:f>IF('_REFLO_BRIDGE'!$U$37="","",'_REFLO_BRIDGE'!$U$37)</x:f>
      </x:c>
      <x:c r="P28" s="284" t="str">
        <x:f>IF('_REFLO_BRIDGE'!$V$37="","",'_REFLO_BRIDGE'!$V$37)</x:f>
      </x:c>
      <x:c r="Q28" s="1"/>
      <x:c r="R28" s="1"/>
      <x:c r="S28" s="1"/>
      <x:c r="T28" s="1"/>
      <x:c r="U28" s="1"/>
      <x:c r="V28" s="1"/>
      <x:c r="W28" s="1"/>
      <x:c r="X28" s="1"/>
      <x:c r="Y28" s="1"/>
      <x:c r="Z28" s="13"/>
    </x:row>
    <x:row r="29" ht="18" customHeight="1">
      <x:c r="A29" s="12"/>
      <x:c r="B29" s="1"/>
      <x:c r="C29" s="1"/>
      <x:c r="D29" s="1"/>
      <x:c r="E29" s="1"/>
      <x:c r="F29" s="1"/>
      <x:c r="G29" s="293" t="str">
        <x:f>IF('_REFLO_BRIDGE'!$M$38="","",'_REFLO_BRIDGE'!$M$38)</x:f>
      </x:c>
      <x:c r="H29" s="284" t="str">
        <x:f>IF('_REFLO_BRIDGE'!$N$38="","",'_REFLO_BRIDGE'!$N$38)</x:f>
      </x:c>
      <x:c r="I29" s="294" t="str">
        <x:f>IF('_REFLO_BRIDGE'!$O$38="","",'_REFLO_BRIDGE'!$O$38)</x:f>
      </x:c>
      <x:c r="J29" s="294" t="str">
        <x:f>IF('_REFLO_BRIDGE'!$P$38="","",'_REFLO_BRIDGE'!$P$38)</x:f>
      </x:c>
      <x:c r="K29" s="294" t="str">
        <x:f>IF('_REFLO_BRIDGE'!$Q$38="","",'_REFLO_BRIDGE'!$Q$38)</x:f>
      </x:c>
      <x:c r="L29" s="294" t="str">
        <x:f>IF('_REFLO_BRIDGE'!$R$38="","",'_REFLO_BRIDGE'!$R$38)</x:f>
      </x:c>
      <x:c r="M29" s="294" t="str">
        <x:f>IF('_REFLO_BRIDGE'!$S$38="","",'_REFLO_BRIDGE'!$S$38)</x:f>
      </x:c>
      <x:c r="N29" s="294" t="str">
        <x:f>IF('_REFLO_BRIDGE'!$T$38="","",'_REFLO_BRIDGE'!$T$38)</x:f>
      </x:c>
      <x:c r="O29" s="294" t="str">
        <x:f>IF('_REFLO_BRIDGE'!$U$38="","",'_REFLO_BRIDGE'!$U$38)</x:f>
      </x:c>
      <x:c r="P29" s="284" t="str">
        <x:f>IF('_REFLO_BRIDGE'!$V$38="","",'_REFLO_BRIDGE'!$V$38)</x:f>
      </x:c>
      <x:c r="Q29" s="1"/>
      <x:c r="R29" s="1"/>
      <x:c r="S29" s="1"/>
      <x:c r="T29" s="1"/>
      <x:c r="U29" s="1"/>
      <x:c r="V29" s="1"/>
      <x:c r="W29" s="1"/>
      <x:c r="X29" s="1"/>
      <x:c r="Y29" s="1"/>
      <x:c r="Z29" s="13"/>
    </x:row>
    <x:row r="30" ht="18" customHeight="1">
      <x:c r="A30" s="12"/>
      <x:c r="B30" s="1"/>
      <x:c r="C30" s="1"/>
      <x:c r="D30" s="1"/>
      <x:c r="E30" s="1"/>
      <x:c r="F30" s="1"/>
      <x:c r="G30" s="293" t="str">
        <x:f>IF('_REFLO_BRIDGE'!$M$39="","",'_REFLO_BRIDGE'!$M$39)</x:f>
      </x:c>
      <x:c r="H30" s="284" t="str">
        <x:f>IF('_REFLO_BRIDGE'!$N$39="","",'_REFLO_BRIDGE'!$N$39)</x:f>
      </x:c>
      <x:c r="I30" s="294" t="str">
        <x:f>IF('_REFLO_BRIDGE'!$O$39="","",'_REFLO_BRIDGE'!$O$39)</x:f>
      </x:c>
      <x:c r="J30" s="294" t="str">
        <x:f>IF('_REFLO_BRIDGE'!$P$39="","",'_REFLO_BRIDGE'!$P$39)</x:f>
      </x:c>
      <x:c r="K30" s="294" t="str">
        <x:f>IF('_REFLO_BRIDGE'!$Q$39="","",'_REFLO_BRIDGE'!$Q$39)</x:f>
      </x:c>
      <x:c r="L30" s="294" t="str">
        <x:f>IF('_REFLO_BRIDGE'!$R$39="","",'_REFLO_BRIDGE'!$R$39)</x:f>
      </x:c>
      <x:c r="M30" s="294" t="str">
        <x:f>IF('_REFLO_BRIDGE'!$S$39="","",'_REFLO_BRIDGE'!$S$39)</x:f>
      </x:c>
      <x:c r="N30" s="294" t="str">
        <x:f>IF('_REFLO_BRIDGE'!$T$39="","",'_REFLO_BRIDGE'!$T$39)</x:f>
      </x:c>
      <x:c r="O30" s="294" t="str">
        <x:f>IF('_REFLO_BRIDGE'!$U$39="","",'_REFLO_BRIDGE'!$U$39)</x:f>
      </x:c>
      <x:c r="P30" s="284" t="str">
        <x:f>IF('_REFLO_BRIDGE'!$V$39="","",'_REFLO_BRIDGE'!$V$39)</x:f>
      </x:c>
      <x:c r="Q30" s="1"/>
      <x:c r="R30" s="1"/>
      <x:c r="S30" s="1"/>
      <x:c r="T30" s="1"/>
      <x:c r="U30" s="1"/>
      <x:c r="V30" s="1"/>
      <x:c r="W30" s="1"/>
      <x:c r="X30" s="1"/>
      <x:c r="Y30" s="1"/>
      <x:c r="Z30" s="13"/>
    </x:row>
    <x:row r="31" ht="18" customHeight="1">
      <x:c r="A31" s="12"/>
      <x:c r="B31" s="1"/>
      <x:c r="C31" s="1"/>
      <x:c r="D31" s="1"/>
      <x:c r="E31" s="1"/>
      <x:c r="F31" s="1"/>
      <x:c r="G31" s="293" t="str">
        <x:f>IF('_REFLO_BRIDGE'!$M$40="","",'_REFLO_BRIDGE'!$M$40)</x:f>
      </x:c>
      <x:c r="H31" s="284" t="str">
        <x:f>IF('_REFLO_BRIDGE'!$N$40="","",'_REFLO_BRIDGE'!$N$40)</x:f>
      </x:c>
      <x:c r="I31" s="294" t="str">
        <x:f>IF('_REFLO_BRIDGE'!$O$40="","",'_REFLO_BRIDGE'!$O$40)</x:f>
      </x:c>
      <x:c r="J31" s="294" t="str">
        <x:f>IF('_REFLO_BRIDGE'!$P$40="","",'_REFLO_BRIDGE'!$P$40)</x:f>
      </x:c>
      <x:c r="K31" s="294" t="str">
        <x:f>IF('_REFLO_BRIDGE'!$Q$40="","",'_REFLO_BRIDGE'!$Q$40)</x:f>
      </x:c>
      <x:c r="L31" s="294" t="str">
        <x:f>IF('_REFLO_BRIDGE'!$R$40="","",'_REFLO_BRIDGE'!$R$40)</x:f>
      </x:c>
      <x:c r="M31" s="294" t="str">
        <x:f>IF('_REFLO_BRIDGE'!$S$40="","",'_REFLO_BRIDGE'!$S$40)</x:f>
      </x:c>
      <x:c r="N31" s="294" t="str">
        <x:f>IF('_REFLO_BRIDGE'!$T$40="","",'_REFLO_BRIDGE'!$T$40)</x:f>
      </x:c>
      <x:c r="O31" s="294" t="str">
        <x:f>IF('_REFLO_BRIDGE'!$U$40="","",'_REFLO_BRIDGE'!$U$40)</x:f>
      </x:c>
      <x:c r="P31" s="284" t="str">
        <x:f>IF('_REFLO_BRIDGE'!$V$40="","",'_REFLO_BRIDGE'!$V$40)</x:f>
      </x:c>
      <x:c r="Q31" s="1"/>
      <x:c r="R31" s="1"/>
      <x:c r="S31" s="1"/>
      <x:c r="T31" s="1"/>
      <x:c r="U31" s="1"/>
      <x:c r="V31" s="1"/>
      <x:c r="W31" s="1"/>
      <x:c r="X31" s="1"/>
      <x:c r="Y31" s="1"/>
      <x:c r="Z31" s="13"/>
    </x:row>
    <x:row r="32" ht="18" customHeight="1">
      <x:c r="A32" s="12"/>
      <x:c r="B32" s="1"/>
      <x:c r="C32" s="1"/>
      <x:c r="D32" s="1"/>
      <x:c r="E32" s="1"/>
      <x:c r="F32" s="1"/>
      <x:c r="G32" s="293" t="str">
        <x:f>IF('_REFLO_BRIDGE'!$M$41="","",'_REFLO_BRIDGE'!$M$41)</x:f>
      </x:c>
      <x:c r="H32" s="284" t="str">
        <x:f>IF('_REFLO_BRIDGE'!$N$41="","",'_REFLO_BRIDGE'!$N$41)</x:f>
      </x:c>
      <x:c r="I32" s="294" t="str">
        <x:f>IF('_REFLO_BRIDGE'!$O$41="","",'_REFLO_BRIDGE'!$O$41)</x:f>
      </x:c>
      <x:c r="J32" s="294" t="str">
        <x:f>IF('_REFLO_BRIDGE'!$P$41="","",'_REFLO_BRIDGE'!$P$41)</x:f>
      </x:c>
      <x:c r="K32" s="294" t="str">
        <x:f>IF('_REFLO_BRIDGE'!$Q$41="","",'_REFLO_BRIDGE'!$Q$41)</x:f>
      </x:c>
      <x:c r="L32" s="294" t="str">
        <x:f>IF('_REFLO_BRIDGE'!$R$41="","",'_REFLO_BRIDGE'!$R$41)</x:f>
      </x:c>
      <x:c r="M32" s="294" t="str">
        <x:f>IF('_REFLO_BRIDGE'!$S$41="","",'_REFLO_BRIDGE'!$S$41)</x:f>
      </x:c>
      <x:c r="N32" s="294" t="str">
        <x:f>IF('_REFLO_BRIDGE'!$T$41="","",'_REFLO_BRIDGE'!$T$41)</x:f>
      </x:c>
      <x:c r="O32" s="294" t="str">
        <x:f>IF('_REFLO_BRIDGE'!$U$41="","",'_REFLO_BRIDGE'!$U$41)</x:f>
      </x:c>
      <x:c r="P32" s="284" t="str">
        <x:f>IF('_REFLO_BRIDGE'!$V$41="","",'_REFLO_BRIDGE'!$V$41)</x:f>
      </x:c>
      <x:c r="Q32" s="1"/>
      <x:c r="R32" s="1"/>
      <x:c r="S32" s="1"/>
      <x:c r="T32" s="1"/>
      <x:c r="U32" s="1"/>
      <x:c r="V32" s="1"/>
      <x:c r="W32" s="1"/>
      <x:c r="X32" s="1"/>
      <x:c r="Y32" s="1"/>
      <x:c r="Z32" s="13"/>
    </x:row>
    <x:row r="33" ht="18" customHeight="1">
      <x:c r="A33" s="12"/>
      <x:c r="B33" s="1"/>
      <x:c r="C33" s="1"/>
      <x:c r="D33" s="1"/>
      <x:c r="E33" s="1"/>
      <x:c r="F33" s="1"/>
      <x:c r="G33" s="293" t="str">
        <x:f>IF('_REFLO_BRIDGE'!$M$42="","",'_REFLO_BRIDGE'!$M$42)</x:f>
      </x:c>
      <x:c r="H33" s="284" t="str">
        <x:f>IF('_REFLO_BRIDGE'!$N$42="","",'_REFLO_BRIDGE'!$N$42)</x:f>
      </x:c>
      <x:c r="I33" s="294" t="str">
        <x:f>IF('_REFLO_BRIDGE'!$O$42="","",'_REFLO_BRIDGE'!$O$42)</x:f>
      </x:c>
      <x:c r="J33" s="294" t="str">
        <x:f>IF('_REFLO_BRIDGE'!$P$42="","",'_REFLO_BRIDGE'!$P$42)</x:f>
      </x:c>
      <x:c r="K33" s="294" t="str">
        <x:f>IF('_REFLO_BRIDGE'!$Q$42="","",'_REFLO_BRIDGE'!$Q$42)</x:f>
      </x:c>
      <x:c r="L33" s="294" t="str">
        <x:f>IF('_REFLO_BRIDGE'!$R$42="","",'_REFLO_BRIDGE'!$R$42)</x:f>
      </x:c>
      <x:c r="M33" s="294" t="str">
        <x:f>IF('_REFLO_BRIDGE'!$S$42="","",'_REFLO_BRIDGE'!$S$42)</x:f>
      </x:c>
      <x:c r="N33" s="294" t="str">
        <x:f>IF('_REFLO_BRIDGE'!$T$42="","",'_REFLO_BRIDGE'!$T$42)</x:f>
      </x:c>
      <x:c r="O33" s="294" t="str">
        <x:f>IF('_REFLO_BRIDGE'!$U$42="","",'_REFLO_BRIDGE'!$U$42)</x:f>
      </x:c>
      <x:c r="P33" s="284" t="str">
        <x:f>IF('_REFLO_BRIDGE'!$V$42="","",'_REFLO_BRIDGE'!$V$42)</x:f>
      </x:c>
      <x:c r="Q33" s="1"/>
      <x:c r="R33" s="1"/>
      <x:c r="S33" s="1"/>
      <x:c r="T33" s="1"/>
      <x:c r="U33" s="1"/>
      <x:c r="V33" s="1"/>
      <x:c r="W33" s="1"/>
      <x:c r="X33" s="1"/>
      <x:c r="Y33" s="1"/>
      <x:c r="Z33" s="13"/>
    </x:row>
    <x:row r="34" ht="18" customHeight="1">
      <x:c r="A34" s="12"/>
      <x:c r="B34" s="1"/>
      <x:c r="C34" s="1"/>
      <x:c r="D34" s="1"/>
      <x:c r="E34" s="1"/>
      <x:c r="F34" s="1"/>
      <x:c r="G34" s="293" t="str">
        <x:f>IF('_REFLO_BRIDGE'!$M$43="","",'_REFLO_BRIDGE'!$M$43)</x:f>
      </x:c>
      <x:c r="H34" s="284" t="str">
        <x:f>IF('_REFLO_BRIDGE'!$N$43="","",'_REFLO_BRIDGE'!$N$43)</x:f>
      </x:c>
      <x:c r="I34" s="294" t="str">
        <x:f>IF('_REFLO_BRIDGE'!$O$43="","",'_REFLO_BRIDGE'!$O$43)</x:f>
      </x:c>
      <x:c r="J34" s="294" t="str">
        <x:f>IF('_REFLO_BRIDGE'!$P$43="","",'_REFLO_BRIDGE'!$P$43)</x:f>
      </x:c>
      <x:c r="K34" s="294" t="str">
        <x:f>IF('_REFLO_BRIDGE'!$Q$43="","",'_REFLO_BRIDGE'!$Q$43)</x:f>
      </x:c>
      <x:c r="L34" s="294" t="str">
        <x:f>IF('_REFLO_BRIDGE'!$R$43="","",'_REFLO_BRIDGE'!$R$43)</x:f>
      </x:c>
      <x:c r="M34" s="294" t="str">
        <x:f>IF('_REFLO_BRIDGE'!$S$43="","",'_REFLO_BRIDGE'!$S$43)</x:f>
      </x:c>
      <x:c r="N34" s="294" t="str">
        <x:f>IF('_REFLO_BRIDGE'!$T$43="","",'_REFLO_BRIDGE'!$T$43)</x:f>
      </x:c>
      <x:c r="O34" s="294" t="str">
        <x:f>IF('_REFLO_BRIDGE'!$U$43="","",'_REFLO_BRIDGE'!$U$43)</x:f>
      </x:c>
      <x:c r="P34" s="284" t="str">
        <x:f>IF('_REFLO_BRIDGE'!$V$43="","",'_REFLO_BRIDGE'!$V$43)</x:f>
      </x:c>
      <x:c r="Q34" s="1"/>
      <x:c r="R34" s="1"/>
      <x:c r="S34" s="1"/>
      <x:c r="T34" s="1"/>
      <x:c r="U34" s="1"/>
      <x:c r="V34" s="1"/>
      <x:c r="W34" s="1"/>
      <x:c r="X34" s="1"/>
      <x:c r="Y34" s="1"/>
      <x:c r="Z34" s="13"/>
    </x:row>
    <x:row r="35" ht="18" customHeight="1">
      <x:c r="A35" s="12"/>
      <x:c r="B35" s="1"/>
      <x:c r="C35" s="1"/>
      <x:c r="D35" s="1"/>
      <x:c r="E35" s="1"/>
      <x:c r="F35" s="1"/>
      <x:c r="G35" s="293" t="str">
        <x:f>IF('_REFLO_BRIDGE'!$M$44="","",'_REFLO_BRIDGE'!$M$44)</x:f>
      </x:c>
      <x:c r="H35" s="284" t="str">
        <x:f>IF('_REFLO_BRIDGE'!$N$44="","",'_REFLO_BRIDGE'!$N$44)</x:f>
      </x:c>
      <x:c r="I35" s="294" t="str">
        <x:f>IF('_REFLO_BRIDGE'!$O$44="","",'_REFLO_BRIDGE'!$O$44)</x:f>
      </x:c>
      <x:c r="J35" s="294" t="str">
        <x:f>IF('_REFLO_BRIDGE'!$P$44="","",'_REFLO_BRIDGE'!$P$44)</x:f>
      </x:c>
      <x:c r="K35" s="294" t="str">
        <x:f>IF('_REFLO_BRIDGE'!$Q$44="","",'_REFLO_BRIDGE'!$Q$44)</x:f>
      </x:c>
      <x:c r="L35" s="294" t="str">
        <x:f>IF('_REFLO_BRIDGE'!$R$44="","",'_REFLO_BRIDGE'!$R$44)</x:f>
      </x:c>
      <x:c r="M35" s="294" t="str">
        <x:f>IF('_REFLO_BRIDGE'!$S$44="","",'_REFLO_BRIDGE'!$S$44)</x:f>
      </x:c>
      <x:c r="N35" s="294" t="str">
        <x:f>IF('_REFLO_BRIDGE'!$T$44="","",'_REFLO_BRIDGE'!$T$44)</x:f>
      </x:c>
      <x:c r="O35" s="294" t="str">
        <x:f>IF('_REFLO_BRIDGE'!$U$44="","",'_REFLO_BRIDGE'!$U$44)</x:f>
      </x:c>
      <x:c r="P35" s="284" t="str">
        <x:f>IF('_REFLO_BRIDGE'!$V$44="","",'_REFLO_BRIDGE'!$V$44)</x:f>
      </x:c>
      <x:c r="Q35" s="1"/>
      <x:c r="R35" s="1"/>
      <x:c r="S35" s="1"/>
      <x:c r="T35" s="1"/>
      <x:c r="U35" s="1"/>
      <x:c r="V35" s="1"/>
      <x:c r="W35" s="1"/>
      <x:c r="X35" s="1"/>
      <x:c r="Y35" s="1"/>
      <x:c r="Z35" s="13"/>
    </x:row>
    <x:row r="36" ht="18" customHeight="1">
      <x:c r="A36" s="12"/>
      <x:c r="B36" s="1"/>
      <x:c r="C36" s="1"/>
      <x:c r="D36" s="1"/>
      <x:c r="E36" s="1"/>
      <x:c r="F36" s="1"/>
      <x:c r="G36" s="293" t="str">
        <x:f>IF('_REFLO_BRIDGE'!$M$45="","",'_REFLO_BRIDGE'!$M$45)</x:f>
      </x:c>
      <x:c r="H36" s="284" t="str">
        <x:f>IF('_REFLO_BRIDGE'!$N$45="","",'_REFLO_BRIDGE'!$N$45)</x:f>
      </x:c>
      <x:c r="I36" s="294" t="str">
        <x:f>IF('_REFLO_BRIDGE'!$O$45="","",'_REFLO_BRIDGE'!$O$45)</x:f>
      </x:c>
      <x:c r="J36" s="294" t="str">
        <x:f>IF('_REFLO_BRIDGE'!$P$45="","",'_REFLO_BRIDGE'!$P$45)</x:f>
      </x:c>
      <x:c r="K36" s="294" t="str">
        <x:f>IF('_REFLO_BRIDGE'!$Q$45="","",'_REFLO_BRIDGE'!$Q$45)</x:f>
      </x:c>
      <x:c r="L36" s="294" t="str">
        <x:f>IF('_REFLO_BRIDGE'!$R$45="","",'_REFLO_BRIDGE'!$R$45)</x:f>
      </x:c>
      <x:c r="M36" s="294" t="str">
        <x:f>IF('_REFLO_BRIDGE'!$S$45="","",'_REFLO_BRIDGE'!$S$45)</x:f>
      </x:c>
      <x:c r="N36" s="294" t="str">
        <x:f>IF('_REFLO_BRIDGE'!$T$45="","",'_REFLO_BRIDGE'!$T$45)</x:f>
      </x:c>
      <x:c r="O36" s="294" t="str">
        <x:f>IF('_REFLO_BRIDGE'!$U$45="","",'_REFLO_BRIDGE'!$U$45)</x:f>
      </x:c>
      <x:c r="P36" s="284" t="str">
        <x:f>IF('_REFLO_BRIDGE'!$V$45="","",'_REFLO_BRIDGE'!$V$45)</x:f>
      </x:c>
      <x:c r="Q36" s="1"/>
      <x:c r="R36" s="1"/>
      <x:c r="S36" s="1"/>
      <x:c r="T36" s="1"/>
      <x:c r="U36" s="1"/>
      <x:c r="V36" s="1"/>
      <x:c r="W36" s="1"/>
      <x:c r="X36" s="1"/>
      <x:c r="Y36" s="1"/>
      <x:c r="Z36" s="13"/>
    </x:row>
    <x:row r="37" ht="18" customHeight="1">
      <x:c r="A37" s="12"/>
      <x:c r="B37" s="1"/>
      <x:c r="C37" s="1"/>
      <x:c r="D37" s="1"/>
      <x:c r="E37" s="1"/>
      <x:c r="F37" s="1"/>
      <x:c r="G37" s="293" t="str">
        <x:f>IF('_REFLO_BRIDGE'!$M$46="","",'_REFLO_BRIDGE'!$M$46)</x:f>
      </x:c>
      <x:c r="H37" s="284" t="str">
        <x:f>IF('_REFLO_BRIDGE'!$N$46="","",'_REFLO_BRIDGE'!$N$46)</x:f>
      </x:c>
      <x:c r="I37" s="294" t="str">
        <x:f>IF('_REFLO_BRIDGE'!$O$46="","",'_REFLO_BRIDGE'!$O$46)</x:f>
      </x:c>
      <x:c r="J37" s="294" t="str">
        <x:f>IF('_REFLO_BRIDGE'!$P$46="","",'_REFLO_BRIDGE'!$P$46)</x:f>
      </x:c>
      <x:c r="K37" s="294" t="str">
        <x:f>IF('_REFLO_BRIDGE'!$Q$46="","",'_REFLO_BRIDGE'!$Q$46)</x:f>
      </x:c>
      <x:c r="L37" s="294" t="str">
        <x:f>IF('_REFLO_BRIDGE'!$R$46="","",'_REFLO_BRIDGE'!$R$46)</x:f>
      </x:c>
      <x:c r="M37" s="294" t="str">
        <x:f>IF('_REFLO_BRIDGE'!$S$46="","",'_REFLO_BRIDGE'!$S$46)</x:f>
      </x:c>
      <x:c r="N37" s="294" t="str">
        <x:f>IF('_REFLO_BRIDGE'!$T$46="","",'_REFLO_BRIDGE'!$T$46)</x:f>
      </x:c>
      <x:c r="O37" s="294" t="str">
        <x:f>IF('_REFLO_BRIDGE'!$U$46="","",'_REFLO_BRIDGE'!$U$46)</x:f>
      </x:c>
      <x:c r="P37" s="284" t="str">
        <x:f>IF('_REFLO_BRIDGE'!$V$46="","",'_REFLO_BRIDGE'!$V$46)</x:f>
      </x:c>
      <x:c r="Q37" s="1"/>
      <x:c r="R37" s="1"/>
      <x:c r="S37" s="1"/>
      <x:c r="T37" s="1"/>
      <x:c r="U37" s="1"/>
      <x:c r="V37" s="1"/>
      <x:c r="W37" s="1"/>
      <x:c r="X37" s="1"/>
      <x:c r="Y37" s="1"/>
      <x:c r="Z37" s="13"/>
    </x:row>
    <x:row r="38" ht="18" customHeight="1">
      <x:c r="A38" s="12"/>
      <x:c r="B38" s="1"/>
      <x:c r="C38" s="1"/>
      <x:c r="D38" s="1"/>
      <x:c r="E38" s="1"/>
      <x:c r="F38" s="1"/>
      <x:c r="G38" s="293" t="str">
        <x:f>IF('_REFLO_BRIDGE'!$M$47="","",'_REFLO_BRIDGE'!$M$47)</x:f>
      </x:c>
      <x:c r="H38" s="284" t="str">
        <x:f>IF('_REFLO_BRIDGE'!$N$47="","",'_REFLO_BRIDGE'!$N$47)</x:f>
      </x:c>
      <x:c r="I38" s="294" t="str">
        <x:f>IF('_REFLO_BRIDGE'!$O$47="","",'_REFLO_BRIDGE'!$O$47)</x:f>
      </x:c>
      <x:c r="J38" s="294" t="str">
        <x:f>IF('_REFLO_BRIDGE'!$P$47="","",'_REFLO_BRIDGE'!$P$47)</x:f>
      </x:c>
      <x:c r="K38" s="294" t="str">
        <x:f>IF('_REFLO_BRIDGE'!$Q$47="","",'_REFLO_BRIDGE'!$Q$47)</x:f>
      </x:c>
      <x:c r="L38" s="294" t="str">
        <x:f>IF('_REFLO_BRIDGE'!$R$47="","",'_REFLO_BRIDGE'!$R$47)</x:f>
      </x:c>
      <x:c r="M38" s="294" t="str">
        <x:f>IF('_REFLO_BRIDGE'!$S$47="","",'_REFLO_BRIDGE'!$S$47)</x:f>
      </x:c>
      <x:c r="N38" s="294" t="str">
        <x:f>IF('_REFLO_BRIDGE'!$T$47="","",'_REFLO_BRIDGE'!$T$47)</x:f>
      </x:c>
      <x:c r="O38" s="294" t="str">
        <x:f>IF('_REFLO_BRIDGE'!$U$47="","",'_REFLO_BRIDGE'!$U$47)</x:f>
      </x:c>
      <x:c r="P38" s="284" t="str">
        <x:f>IF('_REFLO_BRIDGE'!$V$47="","",'_REFLO_BRIDGE'!$V$47)</x:f>
      </x:c>
      <x:c r="Q38" s="1"/>
      <x:c r="R38" s="1"/>
      <x:c r="S38" s="1"/>
      <x:c r="T38" s="1"/>
      <x:c r="U38" s="1"/>
      <x:c r="V38" s="1"/>
      <x:c r="W38" s="1"/>
      <x:c r="X38" s="1"/>
      <x:c r="Y38" s="1"/>
      <x:c r="Z38" s="13"/>
    </x:row>
    <x:row r="39" ht="18" customHeight="1">
      <x:c r="A39" s="12"/>
      <x:c r="B39" s="1"/>
      <x:c r="C39" s="1"/>
      <x:c r="D39" s="1"/>
      <x:c r="E39" s="1"/>
      <x:c r="F39" s="1"/>
      <x:c r="G39" s="293" t="str">
        <x:f>IF('_REFLO_BRIDGE'!$M$48="","",'_REFLO_BRIDGE'!$M$48)</x:f>
      </x:c>
      <x:c r="H39" s="284" t="str">
        <x:f>IF('_REFLO_BRIDGE'!$N$48="","",'_REFLO_BRIDGE'!$N$48)</x:f>
      </x:c>
      <x:c r="I39" s="294" t="str">
        <x:f>IF('_REFLO_BRIDGE'!$O$48="","",'_REFLO_BRIDGE'!$O$48)</x:f>
      </x:c>
      <x:c r="J39" s="294" t="str">
        <x:f>IF('_REFLO_BRIDGE'!$P$48="","",'_REFLO_BRIDGE'!$P$48)</x:f>
      </x:c>
      <x:c r="K39" s="294" t="str">
        <x:f>IF('_REFLO_BRIDGE'!$Q$48="","",'_REFLO_BRIDGE'!$Q$48)</x:f>
      </x:c>
      <x:c r="L39" s="294" t="str">
        <x:f>IF('_REFLO_BRIDGE'!$R$48="","",'_REFLO_BRIDGE'!$R$48)</x:f>
      </x:c>
      <x:c r="M39" s="294" t="str">
        <x:f>IF('_REFLO_BRIDGE'!$S$48="","",'_REFLO_BRIDGE'!$S$48)</x:f>
      </x:c>
      <x:c r="N39" s="294" t="str">
        <x:f>IF('_REFLO_BRIDGE'!$T$48="","",'_REFLO_BRIDGE'!$T$48)</x:f>
      </x:c>
      <x:c r="O39" s="294" t="str">
        <x:f>IF('_REFLO_BRIDGE'!$U$48="","",'_REFLO_BRIDGE'!$U$48)</x:f>
      </x:c>
      <x:c r="P39" s="284" t="str">
        <x:f>IF('_REFLO_BRIDGE'!$V$48="","",'_REFLO_BRIDGE'!$V$48)</x:f>
      </x:c>
      <x:c r="Q39" s="1"/>
      <x:c r="R39" s="1"/>
      <x:c r="S39" s="1"/>
      <x:c r="T39" s="1"/>
      <x:c r="U39" s="1"/>
      <x:c r="V39" s="1"/>
      <x:c r="W39" s="1"/>
      <x:c r="X39" s="1"/>
      <x:c r="Y39" s="1"/>
      <x:c r="Z39" s="13"/>
    </x:row>
    <x:row r="40" ht="18" customHeight="1">
      <x:c r="A40" s="12"/>
      <x:c r="B40" s="1"/>
      <x:c r="C40" s="1"/>
      <x:c r="D40" s="1"/>
      <x:c r="E40" s="1"/>
      <x:c r="F40" s="1"/>
      <x:c r="G40" s="293" t="str">
        <x:f>IF('_REFLO_BRIDGE'!$M$49="","",'_REFLO_BRIDGE'!$M$49)</x:f>
      </x:c>
      <x:c r="H40" s="284" t="str">
        <x:f>IF('_REFLO_BRIDGE'!$N$49="","",'_REFLO_BRIDGE'!$N$49)</x:f>
      </x:c>
      <x:c r="I40" s="294" t="str">
        <x:f>IF('_REFLO_BRIDGE'!$O$49="","",'_REFLO_BRIDGE'!$O$49)</x:f>
      </x:c>
      <x:c r="J40" s="294" t="str">
        <x:f>IF('_REFLO_BRIDGE'!$P$49="","",'_REFLO_BRIDGE'!$P$49)</x:f>
      </x:c>
      <x:c r="K40" s="294" t="str">
        <x:f>IF('_REFLO_BRIDGE'!$Q$49="","",'_REFLO_BRIDGE'!$Q$49)</x:f>
      </x:c>
      <x:c r="L40" s="294" t="str">
        <x:f>IF('_REFLO_BRIDGE'!$R$49="","",'_REFLO_BRIDGE'!$R$49)</x:f>
      </x:c>
      <x:c r="M40" s="294" t="str">
        <x:f>IF('_REFLO_BRIDGE'!$S$49="","",'_REFLO_BRIDGE'!$S$49)</x:f>
      </x:c>
      <x:c r="N40" s="294" t="str">
        <x:f>IF('_REFLO_BRIDGE'!$T$49="","",'_REFLO_BRIDGE'!$T$49)</x:f>
      </x:c>
      <x:c r="O40" s="294" t="str">
        <x:f>IF('_REFLO_BRIDGE'!$U$49="","",'_REFLO_BRIDGE'!$U$49)</x:f>
      </x:c>
      <x:c r="P40" s="284" t="str">
        <x:f>IF('_REFLO_BRIDGE'!$V$49="","",'_REFLO_BRIDGE'!$V$49)</x:f>
      </x:c>
      <x:c r="Q40" s="1"/>
      <x:c r="R40" s="1"/>
      <x:c r="S40" s="1"/>
      <x:c r="T40" s="1"/>
      <x:c r="U40" s="1"/>
      <x:c r="V40" s="1"/>
      <x:c r="W40" s="1"/>
      <x:c r="X40" s="1"/>
      <x:c r="Y40" s="1"/>
      <x:c r="Z40" s="13"/>
    </x:row>
    <x:row r="41" ht="18" customHeight="1">
      <x:c r="A41" s="12"/>
      <x:c r="B41" s="1"/>
      <x:c r="C41" s="1"/>
      <x:c r="D41" s="1"/>
      <x:c r="E41" s="1"/>
      <x:c r="F41" s="1"/>
      <x:c r="G41" s="293" t="str">
        <x:f>IF('_REFLO_BRIDGE'!$M$50="","",'_REFLO_BRIDGE'!$M$50)</x:f>
      </x:c>
      <x:c r="H41" s="284" t="str">
        <x:f>IF('_REFLO_BRIDGE'!$N$50="","",'_REFLO_BRIDGE'!$N$50)</x:f>
      </x:c>
      <x:c r="I41" s="294" t="str">
        <x:f>IF('_REFLO_BRIDGE'!$O$50="","",'_REFLO_BRIDGE'!$O$50)</x:f>
      </x:c>
      <x:c r="J41" s="294" t="str">
        <x:f>IF('_REFLO_BRIDGE'!$P$50="","",'_REFLO_BRIDGE'!$P$50)</x:f>
      </x:c>
      <x:c r="K41" s="294" t="str">
        <x:f>IF('_REFLO_BRIDGE'!$Q$50="","",'_REFLO_BRIDGE'!$Q$50)</x:f>
      </x:c>
      <x:c r="L41" s="294" t="str">
        <x:f>IF('_REFLO_BRIDGE'!$R$50="","",'_REFLO_BRIDGE'!$R$50)</x:f>
      </x:c>
      <x:c r="M41" s="294" t="str">
        <x:f>IF('_REFLO_BRIDGE'!$S$50="","",'_REFLO_BRIDGE'!$S$50)</x:f>
      </x:c>
      <x:c r="N41" s="294" t="str">
        <x:f>IF('_REFLO_BRIDGE'!$T$50="","",'_REFLO_BRIDGE'!$T$50)</x:f>
      </x:c>
      <x:c r="O41" s="294" t="str">
        <x:f>IF('_REFLO_BRIDGE'!$U$50="","",'_REFLO_BRIDGE'!$U$50)</x:f>
      </x:c>
      <x:c r="P41" s="284" t="str">
        <x:f>IF('_REFLO_BRIDGE'!$V$50="","",'_REFLO_BRIDGE'!$V$50)</x:f>
      </x:c>
      <x:c r="Q41" s="1"/>
      <x:c r="R41" s="1"/>
      <x:c r="S41" s="1"/>
      <x:c r="T41" s="1"/>
      <x:c r="U41" s="1"/>
      <x:c r="V41" s="1"/>
      <x:c r="W41" s="1"/>
      <x:c r="X41" s="1"/>
      <x:c r="Y41" s="1"/>
      <x:c r="Z41" s="13"/>
    </x:row>
    <x:row r="42" ht="18" customHeight="1">
      <x:c r="A42" s="12"/>
      <x:c r="B42" s="1"/>
      <x:c r="C42" s="1"/>
      <x:c r="D42" s="1"/>
      <x:c r="E42" s="1"/>
      <x:c r="F42" s="1"/>
      <x:c r="G42" s="293" t="str">
        <x:f>IF('_REFLO_BRIDGE'!$M$51="","",'_REFLO_BRIDGE'!$M$51)</x:f>
      </x:c>
      <x:c r="H42" s="284" t="str">
        <x:f>IF('_REFLO_BRIDGE'!$N$51="","",'_REFLO_BRIDGE'!$N$51)</x:f>
      </x:c>
      <x:c r="I42" s="294" t="str">
        <x:f>IF('_REFLO_BRIDGE'!$O$51="","",'_REFLO_BRIDGE'!$O$51)</x:f>
      </x:c>
      <x:c r="J42" s="294" t="str">
        <x:f>IF('_REFLO_BRIDGE'!$P$51="","",'_REFLO_BRIDGE'!$P$51)</x:f>
      </x:c>
      <x:c r="K42" s="294" t="str">
        <x:f>IF('_REFLO_BRIDGE'!$Q$51="","",'_REFLO_BRIDGE'!$Q$51)</x:f>
      </x:c>
      <x:c r="L42" s="294" t="str">
        <x:f>IF('_REFLO_BRIDGE'!$R$51="","",'_REFLO_BRIDGE'!$R$51)</x:f>
      </x:c>
      <x:c r="M42" s="294" t="str">
        <x:f>IF('_REFLO_BRIDGE'!$S$51="","",'_REFLO_BRIDGE'!$S$51)</x:f>
      </x:c>
      <x:c r="N42" s="294" t="str">
        <x:f>IF('_REFLO_BRIDGE'!$T$51="","",'_REFLO_BRIDGE'!$T$51)</x:f>
      </x:c>
      <x:c r="O42" s="294" t="str">
        <x:f>IF('_REFLO_BRIDGE'!$U$51="","",'_REFLO_BRIDGE'!$U$51)</x:f>
      </x:c>
      <x:c r="P42" s="284" t="str">
        <x:f>IF('_REFLO_BRIDGE'!$V$51="","",'_REFLO_BRIDGE'!$V$51)</x:f>
      </x:c>
      <x:c r="Q42" s="1"/>
      <x:c r="R42" s="1"/>
      <x:c r="S42" s="1"/>
      <x:c r="T42" s="1"/>
      <x:c r="U42" s="1"/>
      <x:c r="V42" s="1"/>
      <x:c r="W42" s="1"/>
      <x:c r="X42" s="1"/>
      <x:c r="Y42" s="1"/>
      <x:c r="Z42" s="13"/>
    </x:row>
    <x:row r="43" ht="18" customHeight="1">
      <x:c r="A43" s="12"/>
      <x:c r="B43" s="1"/>
      <x:c r="C43" s="1"/>
      <x:c r="D43" s="1"/>
      <x:c r="E43" s="1"/>
      <x:c r="F43" s="1"/>
      <x:c r="G43" s="293" t="str">
        <x:f>IF('_REFLO_BRIDGE'!$M$52="","",'_REFLO_BRIDGE'!$M$52)</x:f>
      </x:c>
      <x:c r="H43" s="284" t="str">
        <x:f>IF('_REFLO_BRIDGE'!$N$52="","",'_REFLO_BRIDGE'!$N$52)</x:f>
      </x:c>
      <x:c r="I43" s="294" t="str">
        <x:f>IF('_REFLO_BRIDGE'!$O$52="","",'_REFLO_BRIDGE'!$O$52)</x:f>
      </x:c>
      <x:c r="J43" s="294" t="str">
        <x:f>IF('_REFLO_BRIDGE'!$P$52="","",'_REFLO_BRIDGE'!$P$52)</x:f>
      </x:c>
      <x:c r="K43" s="294" t="str">
        <x:f>IF('_REFLO_BRIDGE'!$Q$52="","",'_REFLO_BRIDGE'!$Q$52)</x:f>
      </x:c>
      <x:c r="L43" s="294" t="str">
        <x:f>IF('_REFLO_BRIDGE'!$R$52="","",'_REFLO_BRIDGE'!$R$52)</x:f>
      </x:c>
      <x:c r="M43" s="294" t="str">
        <x:f>IF('_REFLO_BRIDGE'!$S$52="","",'_REFLO_BRIDGE'!$S$52)</x:f>
      </x:c>
      <x:c r="N43" s="294" t="str">
        <x:f>IF('_REFLO_BRIDGE'!$T$52="","",'_REFLO_BRIDGE'!$T$52)</x:f>
      </x:c>
      <x:c r="O43" s="294" t="str">
        <x:f>IF('_REFLO_BRIDGE'!$U$52="","",'_REFLO_BRIDGE'!$U$52)</x:f>
      </x:c>
      <x:c r="P43" s="284" t="str">
        <x:f>IF('_REFLO_BRIDGE'!$V$52="","",'_REFLO_BRIDGE'!$V$52)</x:f>
      </x:c>
      <x:c r="Q43" s="1"/>
      <x:c r="R43" s="1"/>
      <x:c r="S43" s="1"/>
      <x:c r="T43" s="1"/>
      <x:c r="U43" s="1"/>
      <x:c r="V43" s="1"/>
      <x:c r="W43" s="1"/>
      <x:c r="X43" s="1"/>
      <x:c r="Y43" s="1"/>
      <x:c r="Z43" s="13"/>
    </x:row>
    <x:row r="44" ht="18" customHeight="1">
      <x:c r="A44" s="12"/>
      <x:c r="B44" s="1"/>
      <x:c r="C44" s="1"/>
      <x:c r="D44" s="1"/>
      <x:c r="E44" s="1"/>
      <x:c r="F44" s="1"/>
      <x:c r="G44" s="293" t="str">
        <x:f>IF('_REFLO_BRIDGE'!$M$53="","",'_REFLO_BRIDGE'!$M$53)</x:f>
      </x:c>
      <x:c r="H44" s="284" t="str">
        <x:f>IF('_REFLO_BRIDGE'!$N$53="","",'_REFLO_BRIDGE'!$N$53)</x:f>
      </x:c>
      <x:c r="I44" s="294" t="str">
        <x:f>IF('_REFLO_BRIDGE'!$O$53="","",'_REFLO_BRIDGE'!$O$53)</x:f>
      </x:c>
      <x:c r="J44" s="294" t="str">
        <x:f>IF('_REFLO_BRIDGE'!$P$53="","",'_REFLO_BRIDGE'!$P$53)</x:f>
      </x:c>
      <x:c r="K44" s="294" t="str">
        <x:f>IF('_REFLO_BRIDGE'!$Q$53="","",'_REFLO_BRIDGE'!$Q$53)</x:f>
      </x:c>
      <x:c r="L44" s="294" t="str">
        <x:f>IF('_REFLO_BRIDGE'!$R$53="","",'_REFLO_BRIDGE'!$R$53)</x:f>
      </x:c>
      <x:c r="M44" s="294" t="str">
        <x:f>IF('_REFLO_BRIDGE'!$S$53="","",'_REFLO_BRIDGE'!$S$53)</x:f>
      </x:c>
      <x:c r="N44" s="294" t="str">
        <x:f>IF('_REFLO_BRIDGE'!$T$53="","",'_REFLO_BRIDGE'!$T$53)</x:f>
      </x:c>
      <x:c r="O44" s="294" t="str">
        <x:f>IF('_REFLO_BRIDGE'!$U$53="","",'_REFLO_BRIDGE'!$U$53)</x:f>
      </x:c>
      <x:c r="P44" s="284" t="str">
        <x:f>IF('_REFLO_BRIDGE'!$V$53="","",'_REFLO_BRIDGE'!$V$53)</x:f>
      </x:c>
      <x:c r="Q44" s="1"/>
      <x:c r="R44" s="1"/>
      <x:c r="S44" s="1"/>
      <x:c r="T44" s="1"/>
      <x:c r="U44" s="1"/>
      <x:c r="V44" s="1"/>
      <x:c r="W44" s="1"/>
      <x:c r="X44" s="1"/>
      <x:c r="Y44" s="1"/>
      <x:c r="Z44" s="13"/>
    </x:row>
    <x:row r="45" ht="18" customHeight="1">
      <x:c r="A45" s="12"/>
      <x:c r="B45" s="1"/>
      <x:c r="C45" s="1"/>
      <x:c r="D45" s="1"/>
      <x:c r="E45" s="1"/>
      <x:c r="F45" s="1"/>
      <x:c r="G45" s="293" t="str">
        <x:f>IF('_REFLO_BRIDGE'!$M$54="","",'_REFLO_BRIDGE'!$M$54)</x:f>
      </x:c>
      <x:c r="H45" s="284" t="str">
        <x:f>IF('_REFLO_BRIDGE'!$N$54="","",'_REFLO_BRIDGE'!$N$54)</x:f>
      </x:c>
      <x:c r="I45" s="294" t="str">
        <x:f>IF('_REFLO_BRIDGE'!$O$54="","",'_REFLO_BRIDGE'!$O$54)</x:f>
      </x:c>
      <x:c r="J45" s="294" t="str">
        <x:f>IF('_REFLO_BRIDGE'!$P$54="","",'_REFLO_BRIDGE'!$P$54)</x:f>
      </x:c>
      <x:c r="K45" s="294" t="str">
        <x:f>IF('_REFLO_BRIDGE'!$Q$54="","",'_REFLO_BRIDGE'!$Q$54)</x:f>
      </x:c>
      <x:c r="L45" s="294" t="str">
        <x:f>IF('_REFLO_BRIDGE'!$R$54="","",'_REFLO_BRIDGE'!$R$54)</x:f>
      </x:c>
      <x:c r="M45" s="294" t="str">
        <x:f>IF('_REFLO_BRIDGE'!$S$54="","",'_REFLO_BRIDGE'!$S$54)</x:f>
      </x:c>
      <x:c r="N45" s="294" t="str">
        <x:f>IF('_REFLO_BRIDGE'!$T$54="","",'_REFLO_BRIDGE'!$T$54)</x:f>
      </x:c>
      <x:c r="O45" s="294" t="str">
        <x:f>IF('_REFLO_BRIDGE'!$U$54="","",'_REFLO_BRIDGE'!$U$54)</x:f>
      </x:c>
      <x:c r="P45" s="284" t="str">
        <x:f>IF('_REFLO_BRIDGE'!$V$54="","",'_REFLO_BRIDGE'!$V$54)</x:f>
      </x:c>
      <x:c r="Q45" s="1"/>
      <x:c r="R45" s="1"/>
      <x:c r="S45" s="1"/>
      <x:c r="T45" s="1"/>
      <x:c r="U45" s="1"/>
      <x:c r="V45" s="1"/>
      <x:c r="W45" s="1"/>
      <x:c r="X45" s="1"/>
      <x:c r="Y45" s="1"/>
      <x:c r="Z45" s="13"/>
    </x:row>
    <x:row r="46" ht="18" customHeight="1">
      <x:c r="A46" s="12"/>
      <x:c r="B46" s="1"/>
      <x:c r="C46" s="1"/>
      <x:c r="D46" s="1"/>
      <x:c r="E46" s="1"/>
      <x:c r="F46" s="1"/>
      <x:c r="G46" s="293" t="str">
        <x:f>IF('_REFLO_BRIDGE'!$M$55="","",'_REFLO_BRIDGE'!$M$55)</x:f>
      </x:c>
      <x:c r="H46" s="284" t="str">
        <x:f>IF('_REFLO_BRIDGE'!$N$55="","",'_REFLO_BRIDGE'!$N$55)</x:f>
      </x:c>
      <x:c r="I46" s="294" t="str">
        <x:f>IF('_REFLO_BRIDGE'!$O$55="","",'_REFLO_BRIDGE'!$O$55)</x:f>
      </x:c>
      <x:c r="J46" s="294" t="str">
        <x:f>IF('_REFLO_BRIDGE'!$P$55="","",'_REFLO_BRIDGE'!$P$55)</x:f>
      </x:c>
      <x:c r="K46" s="294" t="str">
        <x:f>IF('_REFLO_BRIDGE'!$Q$55="","",'_REFLO_BRIDGE'!$Q$55)</x:f>
      </x:c>
      <x:c r="L46" s="294" t="str">
        <x:f>IF('_REFLO_BRIDGE'!$R$55="","",'_REFLO_BRIDGE'!$R$55)</x:f>
      </x:c>
      <x:c r="M46" s="294" t="str">
        <x:f>IF('_REFLO_BRIDGE'!$S$55="","",'_REFLO_BRIDGE'!$S$55)</x:f>
      </x:c>
      <x:c r="N46" s="294" t="str">
        <x:f>IF('_REFLO_BRIDGE'!$T$55="","",'_REFLO_BRIDGE'!$T$55)</x:f>
      </x:c>
      <x:c r="O46" s="294" t="str">
        <x:f>IF('_REFLO_BRIDGE'!$U$55="","",'_REFLO_BRIDGE'!$U$55)</x:f>
      </x:c>
      <x:c r="P46" s="284" t="str">
        <x:f>IF('_REFLO_BRIDGE'!$V$55="","",'_REFLO_BRIDGE'!$V$55)</x:f>
      </x:c>
      <x:c r="Q46" s="1"/>
      <x:c r="R46" s="1"/>
      <x:c r="S46" s="1"/>
      <x:c r="T46" s="1"/>
      <x:c r="U46" s="1"/>
      <x:c r="V46" s="1"/>
      <x:c r="W46" s="1"/>
      <x:c r="X46" s="1"/>
      <x:c r="Y46" s="1"/>
      <x:c r="Z46" s="13"/>
    </x:row>
    <x:row r="47" ht="18" customHeight="1">
      <x:c r="A47" s="12"/>
      <x:c r="B47" s="1"/>
      <x:c r="C47" s="1"/>
      <x:c r="D47" s="1"/>
      <x:c r="E47" s="1"/>
      <x:c r="F47" s="1"/>
      <x:c r="G47" s="293" t="str">
        <x:f>IF('_REFLO_BRIDGE'!$M$56="","",'_REFLO_BRIDGE'!$M$56)</x:f>
      </x:c>
      <x:c r="H47" s="284" t="str">
        <x:f>IF('_REFLO_BRIDGE'!$N$56="","",'_REFLO_BRIDGE'!$N$56)</x:f>
      </x:c>
      <x:c r="I47" s="294" t="str">
        <x:f>IF('_REFLO_BRIDGE'!$O$56="","",'_REFLO_BRIDGE'!$O$56)</x:f>
      </x:c>
      <x:c r="J47" s="294" t="str">
        <x:f>IF('_REFLO_BRIDGE'!$P$56="","",'_REFLO_BRIDGE'!$P$56)</x:f>
      </x:c>
      <x:c r="K47" s="294" t="str">
        <x:f>IF('_REFLO_BRIDGE'!$Q$56="","",'_REFLO_BRIDGE'!$Q$56)</x:f>
      </x:c>
      <x:c r="L47" s="294" t="str">
        <x:f>IF('_REFLO_BRIDGE'!$R$56="","",'_REFLO_BRIDGE'!$R$56)</x:f>
      </x:c>
      <x:c r="M47" s="294" t="str">
        <x:f>IF('_REFLO_BRIDGE'!$S$56="","",'_REFLO_BRIDGE'!$S$56)</x:f>
      </x:c>
      <x:c r="N47" s="294" t="str">
        <x:f>IF('_REFLO_BRIDGE'!$T$56="","",'_REFLO_BRIDGE'!$T$56)</x:f>
      </x:c>
      <x:c r="O47" s="294" t="str">
        <x:f>IF('_REFLO_BRIDGE'!$U$56="","",'_REFLO_BRIDGE'!$U$56)</x:f>
      </x:c>
      <x:c r="P47" s="284" t="str">
        <x:f>IF('_REFLO_BRIDGE'!$V$56="","",'_REFLO_BRIDGE'!$V$56)</x:f>
      </x:c>
      <x:c r="Q47" s="1"/>
      <x:c r="R47" s="1"/>
      <x:c r="S47" s="1"/>
      <x:c r="T47" s="1"/>
      <x:c r="U47" s="1"/>
      <x:c r="V47" s="1"/>
      <x:c r="W47" s="1"/>
      <x:c r="X47" s="1"/>
      <x:c r="Y47" s="1"/>
      <x:c r="Z47" s="13"/>
    </x:row>
    <x:row r="48" ht="18" customHeight="1">
      <x:c r="A48" s="12"/>
      <x:c r="B48" s="1"/>
      <x:c r="C48" s="1"/>
      <x:c r="D48" s="1"/>
      <x:c r="E48" s="1"/>
      <x:c r="F48" s="1"/>
      <x:c r="G48" s="293" t="str">
        <x:f>IF('_REFLO_BRIDGE'!$M$57="","",'_REFLO_BRIDGE'!$M$57)</x:f>
      </x:c>
      <x:c r="H48" s="284" t="str">
        <x:f>IF('_REFLO_BRIDGE'!$N$57="","",'_REFLO_BRIDGE'!$N$57)</x:f>
      </x:c>
      <x:c r="I48" s="294" t="str">
        <x:f>IF('_REFLO_BRIDGE'!$O$57="","",'_REFLO_BRIDGE'!$O$57)</x:f>
      </x:c>
      <x:c r="J48" s="294" t="str">
        <x:f>IF('_REFLO_BRIDGE'!$P$57="","",'_REFLO_BRIDGE'!$P$57)</x:f>
      </x:c>
      <x:c r="K48" s="294" t="str">
        <x:f>IF('_REFLO_BRIDGE'!$Q$57="","",'_REFLO_BRIDGE'!$Q$57)</x:f>
      </x:c>
      <x:c r="L48" s="294" t="str">
        <x:f>IF('_REFLO_BRIDGE'!$R$57="","",'_REFLO_BRIDGE'!$R$57)</x:f>
      </x:c>
      <x:c r="M48" s="294" t="str">
        <x:f>IF('_REFLO_BRIDGE'!$S$57="","",'_REFLO_BRIDGE'!$S$57)</x:f>
      </x:c>
      <x:c r="N48" s="294" t="str">
        <x:f>IF('_REFLO_BRIDGE'!$T$57="","",'_REFLO_BRIDGE'!$T$57)</x:f>
      </x:c>
      <x:c r="O48" s="294" t="str">
        <x:f>IF('_REFLO_BRIDGE'!$U$57="","",'_REFLO_BRIDGE'!$U$57)</x:f>
      </x:c>
      <x:c r="P48" s="284" t="str">
        <x:f>IF('_REFLO_BRIDGE'!$V$57="","",'_REFLO_BRIDGE'!$V$57)</x:f>
      </x:c>
      <x:c r="Q48" s="1"/>
      <x:c r="R48" s="1"/>
      <x:c r="S48" s="1"/>
      <x:c r="T48" s="1"/>
      <x:c r="U48" s="1"/>
      <x:c r="V48" s="1"/>
      <x:c r="W48" s="1"/>
      <x:c r="X48" s="1"/>
      <x:c r="Y48" s="1"/>
      <x:c r="Z48" s="13"/>
    </x:row>
    <x:row r="49" ht="18" customHeight="1">
      <x:c r="A49" s="12"/>
      <x:c r="B49" s="1"/>
      <x:c r="C49" s="1"/>
      <x:c r="D49" s="1"/>
      <x:c r="E49" s="1"/>
      <x:c r="F49" s="1"/>
      <x:c r="G49" s="293" t="str">
        <x:f>IF('_REFLO_BRIDGE'!$M$58="","",'_REFLO_BRIDGE'!$M$58)</x:f>
      </x:c>
      <x:c r="H49" s="284" t="str">
        <x:f>IF('_REFLO_BRIDGE'!$N$58="","",'_REFLO_BRIDGE'!$N$58)</x:f>
      </x:c>
      <x:c r="I49" s="294" t="str">
        <x:f>IF('_REFLO_BRIDGE'!$O$58="","",'_REFLO_BRIDGE'!$O$58)</x:f>
      </x:c>
      <x:c r="J49" s="294" t="str">
        <x:f>IF('_REFLO_BRIDGE'!$P$58="","",'_REFLO_BRIDGE'!$P$58)</x:f>
      </x:c>
      <x:c r="K49" s="294" t="str">
        <x:f>IF('_REFLO_BRIDGE'!$Q$58="","",'_REFLO_BRIDGE'!$Q$58)</x:f>
      </x:c>
      <x:c r="L49" s="294" t="str">
        <x:f>IF('_REFLO_BRIDGE'!$R$58="","",'_REFLO_BRIDGE'!$R$58)</x:f>
      </x:c>
      <x:c r="M49" s="294" t="str">
        <x:f>IF('_REFLO_BRIDGE'!$S$58="","",'_REFLO_BRIDGE'!$S$58)</x:f>
      </x:c>
      <x:c r="N49" s="294" t="str">
        <x:f>IF('_REFLO_BRIDGE'!$T$58="","",'_REFLO_BRIDGE'!$T$58)</x:f>
      </x:c>
      <x:c r="O49" s="294" t="str">
        <x:f>IF('_REFLO_BRIDGE'!$U$58="","",'_REFLO_BRIDGE'!$U$58)</x:f>
      </x:c>
      <x:c r="P49" s="284" t="str">
        <x:f>IF('_REFLO_BRIDGE'!$V$58="","",'_REFLO_BRIDGE'!$V$58)</x:f>
      </x:c>
      <x:c r="Q49" s="1"/>
      <x:c r="R49" s="1"/>
      <x:c r="S49" s="1"/>
      <x:c r="T49" s="1"/>
      <x:c r="U49" s="1"/>
      <x:c r="V49" s="1"/>
      <x:c r="W49" s="1"/>
      <x:c r="X49" s="1"/>
      <x:c r="Y49" s="1"/>
      <x:c r="Z49" s="13"/>
    </x:row>
    <x:row r="50" ht="18" customHeight="1">
      <x:c r="A50" s="12"/>
      <x:c r="B50" s="1"/>
      <x:c r="C50" s="1"/>
      <x:c r="D50" s="1"/>
      <x:c r="E50" s="1"/>
      <x:c r="F50" s="1"/>
      <x:c r="G50" s="293" t="str">
        <x:f>IF('_REFLO_BRIDGE'!$M$59="","",'_REFLO_BRIDGE'!$M$59)</x:f>
      </x:c>
      <x:c r="H50" s="284" t="str">
        <x:f>IF('_REFLO_BRIDGE'!$N$59="","",'_REFLO_BRIDGE'!$N$59)</x:f>
      </x:c>
      <x:c r="I50" s="294" t="str">
        <x:f>IF('_REFLO_BRIDGE'!$O$59="","",'_REFLO_BRIDGE'!$O$59)</x:f>
      </x:c>
      <x:c r="J50" s="294" t="str">
        <x:f>IF('_REFLO_BRIDGE'!$P$59="","",'_REFLO_BRIDGE'!$P$59)</x:f>
      </x:c>
      <x:c r="K50" s="294" t="str">
        <x:f>IF('_REFLO_BRIDGE'!$Q$59="","",'_REFLO_BRIDGE'!$Q$59)</x:f>
      </x:c>
      <x:c r="L50" s="294" t="str">
        <x:f>IF('_REFLO_BRIDGE'!$R$59="","",'_REFLO_BRIDGE'!$R$59)</x:f>
      </x:c>
      <x:c r="M50" s="294" t="str">
        <x:f>IF('_REFLO_BRIDGE'!$S$59="","",'_REFLO_BRIDGE'!$S$59)</x:f>
      </x:c>
      <x:c r="N50" s="294" t="str">
        <x:f>IF('_REFLO_BRIDGE'!$T$59="","",'_REFLO_BRIDGE'!$T$59)</x:f>
      </x:c>
      <x:c r="O50" s="294" t="str">
        <x:f>IF('_REFLO_BRIDGE'!$U$59="","",'_REFLO_BRIDGE'!$U$59)</x:f>
      </x:c>
      <x:c r="P50" s="284" t="str">
        <x:f>IF('_REFLO_BRIDGE'!$V$59="","",'_REFLO_BRIDGE'!$V$59)</x:f>
      </x:c>
      <x:c r="Q50" s="1"/>
      <x:c r="R50" s="1"/>
      <x:c r="S50" s="1"/>
      <x:c r="T50" s="1"/>
      <x:c r="U50" s="1"/>
      <x:c r="V50" s="1"/>
      <x:c r="W50" s="1"/>
      <x:c r="X50" s="1"/>
      <x:c r="Y50" s="1"/>
      <x:c r="Z50" s="13"/>
    </x:row>
    <x:row r="51" ht="18" customHeight="1">
      <x:c r="A51" s="12"/>
      <x:c r="B51" s="1"/>
      <x:c r="C51" s="1"/>
      <x:c r="D51" s="1"/>
      <x:c r="E51" s="1"/>
      <x:c r="F51" s="1"/>
      <x:c r="G51" s="293" t="str">
        <x:f>IF('_REFLO_BRIDGE'!$M$60="","",'_REFLO_BRIDGE'!$M$60)</x:f>
      </x:c>
      <x:c r="H51" s="284" t="str">
        <x:f>IF('_REFLO_BRIDGE'!$N$60="","",'_REFLO_BRIDGE'!$N$60)</x:f>
      </x:c>
      <x:c r="I51" s="294" t="str">
        <x:f>IF('_REFLO_BRIDGE'!$O$60="","",'_REFLO_BRIDGE'!$O$60)</x:f>
      </x:c>
      <x:c r="J51" s="294" t="str">
        <x:f>IF('_REFLO_BRIDGE'!$P$60="","",'_REFLO_BRIDGE'!$P$60)</x:f>
      </x:c>
      <x:c r="K51" s="294" t="str">
        <x:f>IF('_REFLO_BRIDGE'!$Q$60="","",'_REFLO_BRIDGE'!$Q$60)</x:f>
      </x:c>
      <x:c r="L51" s="294" t="str">
        <x:f>IF('_REFLO_BRIDGE'!$R$60="","",'_REFLO_BRIDGE'!$R$60)</x:f>
      </x:c>
      <x:c r="M51" s="294" t="str">
        <x:f>IF('_REFLO_BRIDGE'!$S$60="","",'_REFLO_BRIDGE'!$S$60)</x:f>
      </x:c>
      <x:c r="N51" s="294" t="str">
        <x:f>IF('_REFLO_BRIDGE'!$T$60="","",'_REFLO_BRIDGE'!$T$60)</x:f>
      </x:c>
      <x:c r="O51" s="294" t="str">
        <x:f>IF('_REFLO_BRIDGE'!$U$60="","",'_REFLO_BRIDGE'!$U$60)</x:f>
      </x:c>
      <x:c r="P51" s="284" t="str">
        <x:f>IF('_REFLO_BRIDGE'!$V$60="","",'_REFLO_BRIDGE'!$V$60)</x:f>
      </x:c>
      <x:c r="Q51" s="1"/>
      <x:c r="R51" s="1"/>
      <x:c r="S51" s="1"/>
      <x:c r="T51" s="1"/>
      <x:c r="U51" s="1"/>
      <x:c r="V51" s="1"/>
      <x:c r="W51" s="1"/>
      <x:c r="X51" s="1"/>
      <x:c r="Y51" s="1"/>
      <x:c r="Z51" s="13"/>
    </x:row>
    <x:row r="52" ht="18" customHeight="1">
      <x:c r="A52" s="12"/>
      <x:c r="B52" s="1"/>
      <x:c r="C52" s="1"/>
      <x:c r="D52" s="1"/>
      <x:c r="E52" s="1"/>
      <x:c r="F52" s="1"/>
      <x:c r="G52" s="293" t="str">
        <x:f>IF('_REFLO_BRIDGE'!$M$61="","",'_REFLO_BRIDGE'!$M$61)</x:f>
      </x:c>
      <x:c r="H52" s="284" t="str">
        <x:f>IF('_REFLO_BRIDGE'!$N$61="","",'_REFLO_BRIDGE'!$N$61)</x:f>
      </x:c>
      <x:c r="I52" s="294" t="str">
        <x:f>IF('_REFLO_BRIDGE'!$O$61="","",'_REFLO_BRIDGE'!$O$61)</x:f>
      </x:c>
      <x:c r="J52" s="294" t="str">
        <x:f>IF('_REFLO_BRIDGE'!$P$61="","",'_REFLO_BRIDGE'!$P$61)</x:f>
      </x:c>
      <x:c r="K52" s="294" t="str">
        <x:f>IF('_REFLO_BRIDGE'!$Q$61="","",'_REFLO_BRIDGE'!$Q$61)</x:f>
      </x:c>
      <x:c r="L52" s="294" t="str">
        <x:f>IF('_REFLO_BRIDGE'!$R$61="","",'_REFLO_BRIDGE'!$R$61)</x:f>
      </x:c>
      <x:c r="M52" s="294" t="str">
        <x:f>IF('_REFLO_BRIDGE'!$S$61="","",'_REFLO_BRIDGE'!$S$61)</x:f>
      </x:c>
      <x:c r="N52" s="294" t="str">
        <x:f>IF('_REFLO_BRIDGE'!$T$61="","",'_REFLO_BRIDGE'!$T$61)</x:f>
      </x:c>
      <x:c r="O52" s="294" t="str">
        <x:f>IF('_REFLO_BRIDGE'!$U$61="","",'_REFLO_BRIDGE'!$U$61)</x:f>
      </x:c>
      <x:c r="P52" s="284" t="str">
        <x:f>IF('_REFLO_BRIDGE'!$V$61="","",'_REFLO_BRIDGE'!$V$61)</x:f>
      </x:c>
      <x:c r="Q52" s="1"/>
      <x:c r="R52" s="1"/>
      <x:c r="S52" s="1"/>
      <x:c r="T52" s="1"/>
      <x:c r="U52" s="1"/>
      <x:c r="V52" s="1"/>
      <x:c r="W52" s="1"/>
      <x:c r="X52" s="1"/>
      <x:c r="Y52" s="1"/>
      <x:c r="Z52" s="13"/>
    </x:row>
    <x:row r="53" ht="18" customHeight="1">
      <x:c r="A53" s="12"/>
      <x:c r="B53" s="1"/>
      <x:c r="C53" s="1"/>
      <x:c r="D53" s="1"/>
      <x:c r="E53" s="1"/>
      <x:c r="F53" s="1"/>
      <x:c r="G53" s="293" t="str">
        <x:f>IF('_REFLO_BRIDGE'!$M$62="","",'_REFLO_BRIDGE'!$M$62)</x:f>
      </x:c>
      <x:c r="H53" s="284" t="str">
        <x:f>IF('_REFLO_BRIDGE'!$N$62="","",'_REFLO_BRIDGE'!$N$62)</x:f>
      </x:c>
      <x:c r="I53" s="294" t="str">
        <x:f>IF('_REFLO_BRIDGE'!$O$62="","",'_REFLO_BRIDGE'!$O$62)</x:f>
      </x:c>
      <x:c r="J53" s="294" t="str">
        <x:f>IF('_REFLO_BRIDGE'!$P$62="","",'_REFLO_BRIDGE'!$P$62)</x:f>
      </x:c>
      <x:c r="K53" s="294" t="str">
        <x:f>IF('_REFLO_BRIDGE'!$Q$62="","",'_REFLO_BRIDGE'!$Q$62)</x:f>
      </x:c>
      <x:c r="L53" s="294" t="str">
        <x:f>IF('_REFLO_BRIDGE'!$R$62="","",'_REFLO_BRIDGE'!$R$62)</x:f>
      </x:c>
      <x:c r="M53" s="294" t="str">
        <x:f>IF('_REFLO_BRIDGE'!$S$62="","",'_REFLO_BRIDGE'!$S$62)</x:f>
      </x:c>
      <x:c r="N53" s="294" t="str">
        <x:f>IF('_REFLO_BRIDGE'!$T$62="","",'_REFLO_BRIDGE'!$T$62)</x:f>
      </x:c>
      <x:c r="O53" s="294" t="str">
        <x:f>IF('_REFLO_BRIDGE'!$U$62="","",'_REFLO_BRIDGE'!$U$62)</x:f>
      </x:c>
      <x:c r="P53" s="284" t="str">
        <x:f>IF('_REFLO_BRIDGE'!$V$62="","",'_REFLO_BRIDGE'!$V$62)</x:f>
      </x:c>
      <x:c r="Q53" s="1"/>
      <x:c r="R53" s="1"/>
      <x:c r="S53" s="1"/>
      <x:c r="T53" s="1"/>
      <x:c r="U53" s="1"/>
      <x:c r="V53" s="1"/>
      <x:c r="W53" s="1"/>
      <x:c r="X53" s="1"/>
      <x:c r="Y53" s="1"/>
      <x:c r="Z53" s="13"/>
    </x:row>
    <x:row r="54" ht="18" customHeight="1">
      <x:c r="A54" s="12"/>
      <x:c r="B54" s="1"/>
      <x:c r="C54" s="1"/>
      <x:c r="D54" s="1"/>
      <x:c r="E54" s="1"/>
      <x:c r="F54" s="1"/>
      <x:c r="G54" s="293" t="str">
        <x:f>IF('_REFLO_BRIDGE'!$M$63="","",'_REFLO_BRIDGE'!$M$63)</x:f>
      </x:c>
      <x:c r="H54" s="284" t="str">
        <x:f>IF('_REFLO_BRIDGE'!$N$63="","",'_REFLO_BRIDGE'!$N$63)</x:f>
      </x:c>
      <x:c r="I54" s="294" t="str">
        <x:f>IF('_REFLO_BRIDGE'!$O$63="","",'_REFLO_BRIDGE'!$O$63)</x:f>
      </x:c>
      <x:c r="J54" s="294" t="str">
        <x:f>IF('_REFLO_BRIDGE'!$P$63="","",'_REFLO_BRIDGE'!$P$63)</x:f>
      </x:c>
      <x:c r="K54" s="294" t="str">
        <x:f>IF('_REFLO_BRIDGE'!$Q$63="","",'_REFLO_BRIDGE'!$Q$63)</x:f>
      </x:c>
      <x:c r="L54" s="294" t="str">
        <x:f>IF('_REFLO_BRIDGE'!$R$63="","",'_REFLO_BRIDGE'!$R$63)</x:f>
      </x:c>
      <x:c r="M54" s="294" t="str">
        <x:f>IF('_REFLO_BRIDGE'!$S$63="","",'_REFLO_BRIDGE'!$S$63)</x:f>
      </x:c>
      <x:c r="N54" s="294" t="str">
        <x:f>IF('_REFLO_BRIDGE'!$T$63="","",'_REFLO_BRIDGE'!$T$63)</x:f>
      </x:c>
      <x:c r="O54" s="294" t="str">
        <x:f>IF('_REFLO_BRIDGE'!$U$63="","",'_REFLO_BRIDGE'!$U$63)</x:f>
      </x:c>
      <x:c r="P54" s="284" t="str">
        <x:f>IF('_REFLO_BRIDGE'!$V$63="","",'_REFLO_BRIDGE'!$V$63)</x:f>
      </x:c>
      <x:c r="Q54" s="1"/>
      <x:c r="R54" s="1"/>
      <x:c r="S54" s="1"/>
      <x:c r="T54" s="1"/>
      <x:c r="U54" s="1"/>
      <x:c r="V54" s="1"/>
      <x:c r="W54" s="1"/>
      <x:c r="X54" s="1"/>
      <x:c r="Y54" s="1"/>
      <x:c r="Z54" s="13"/>
    </x:row>
    <x:row r="55" ht="18" customHeight="1">
      <x:c r="A55" s="12"/>
      <x:c r="B55" s="1"/>
      <x:c r="C55" s="1"/>
      <x:c r="D55" s="1"/>
      <x:c r="E55" s="1"/>
      <x:c r="F55" s="1"/>
      <x:c r="G55" s="293" t="str">
        <x:f>IF('_REFLO_BRIDGE'!$M$64="","",'_REFLO_BRIDGE'!$M$64)</x:f>
      </x:c>
      <x:c r="H55" s="284" t="str">
        <x:f>IF('_REFLO_BRIDGE'!$N$64="","",'_REFLO_BRIDGE'!$N$64)</x:f>
      </x:c>
      <x:c r="I55" s="294" t="str">
        <x:f>IF('_REFLO_BRIDGE'!$O$64="","",'_REFLO_BRIDGE'!$O$64)</x:f>
      </x:c>
      <x:c r="J55" s="294" t="str">
        <x:f>IF('_REFLO_BRIDGE'!$P$64="","",'_REFLO_BRIDGE'!$P$64)</x:f>
      </x:c>
      <x:c r="K55" s="294" t="str">
        <x:f>IF('_REFLO_BRIDGE'!$Q$64="","",'_REFLO_BRIDGE'!$Q$64)</x:f>
      </x:c>
      <x:c r="L55" s="294" t="str">
        <x:f>IF('_REFLO_BRIDGE'!$R$64="","",'_REFLO_BRIDGE'!$R$64)</x:f>
      </x:c>
      <x:c r="M55" s="294" t="str">
        <x:f>IF('_REFLO_BRIDGE'!$S$64="","",'_REFLO_BRIDGE'!$S$64)</x:f>
      </x:c>
      <x:c r="N55" s="294" t="str">
        <x:f>IF('_REFLO_BRIDGE'!$T$64="","",'_REFLO_BRIDGE'!$T$64)</x:f>
      </x:c>
      <x:c r="O55" s="294" t="str">
        <x:f>IF('_REFLO_BRIDGE'!$U$64="","",'_REFLO_BRIDGE'!$U$64)</x:f>
      </x:c>
      <x:c r="P55" s="284" t="str">
        <x:f>IF('_REFLO_BRIDGE'!$V$64="","",'_REFLO_BRIDGE'!$V$64)</x:f>
      </x:c>
      <x:c r="Q55" s="1"/>
      <x:c r="R55" s="1"/>
      <x:c r="S55" s="1"/>
      <x:c r="T55" s="1"/>
      <x:c r="U55" s="1"/>
      <x:c r="V55" s="1"/>
      <x:c r="W55" s="1"/>
      <x:c r="X55" s="1"/>
      <x:c r="Y55" s="1"/>
      <x:c r="Z55" s="13"/>
    </x:row>
    <x:row r="56" ht="18" customHeight="1">
      <x:c r="A56" s="12"/>
      <x:c r="B56" s="1"/>
      <x:c r="C56" s="1"/>
      <x:c r="D56" s="1"/>
      <x:c r="E56" s="1"/>
      <x:c r="F56" s="1"/>
      <x:c r="G56" s="293" t="str">
        <x:f>IF('_REFLO_BRIDGE'!$M$65="","",'_REFLO_BRIDGE'!$M$65)</x:f>
      </x:c>
      <x:c r="H56" s="284" t="str">
        <x:f>IF('_REFLO_BRIDGE'!$N$65="","",'_REFLO_BRIDGE'!$N$65)</x:f>
      </x:c>
      <x:c r="I56" s="294" t="str">
        <x:f>IF('_REFLO_BRIDGE'!$O$65="","",'_REFLO_BRIDGE'!$O$65)</x:f>
      </x:c>
      <x:c r="J56" s="294" t="str">
        <x:f>IF('_REFLO_BRIDGE'!$P$65="","",'_REFLO_BRIDGE'!$P$65)</x:f>
      </x:c>
      <x:c r="K56" s="294" t="str">
        <x:f>IF('_REFLO_BRIDGE'!$Q$65="","",'_REFLO_BRIDGE'!$Q$65)</x:f>
      </x:c>
      <x:c r="L56" s="294" t="str">
        <x:f>IF('_REFLO_BRIDGE'!$R$65="","",'_REFLO_BRIDGE'!$R$65)</x:f>
      </x:c>
      <x:c r="M56" s="294" t="str">
        <x:f>IF('_REFLO_BRIDGE'!$S$65="","",'_REFLO_BRIDGE'!$S$65)</x:f>
      </x:c>
      <x:c r="N56" s="294" t="str">
        <x:f>IF('_REFLO_BRIDGE'!$T$65="","",'_REFLO_BRIDGE'!$T$65)</x:f>
      </x:c>
      <x:c r="O56" s="294" t="str">
        <x:f>IF('_REFLO_BRIDGE'!$U$65="","",'_REFLO_BRIDGE'!$U$65)</x:f>
      </x:c>
      <x:c r="P56" s="284" t="str">
        <x:f>IF('_REFLO_BRIDGE'!$V$65="","",'_REFLO_BRIDGE'!$V$65)</x:f>
      </x:c>
      <x:c r="Q56" s="1"/>
      <x:c r="R56" s="1"/>
      <x:c r="S56" s="1"/>
      <x:c r="T56" s="1"/>
      <x:c r="U56" s="1"/>
      <x:c r="V56" s="1"/>
      <x:c r="W56" s="1"/>
      <x:c r="X56" s="1"/>
      <x:c r="Y56" s="1"/>
      <x:c r="Z56" s="13"/>
    </x:row>
    <x:row r="57" ht="18" customHeight="1">
      <x:c r="A57" s="12"/>
      <x:c r="B57" s="1"/>
      <x:c r="C57" s="1"/>
      <x:c r="D57" s="1"/>
      <x:c r="E57" s="1"/>
      <x:c r="F57" s="1"/>
      <x:c r="G57" s="293" t="str">
        <x:f>IF('_REFLO_BRIDGE'!$M$66="","",'_REFLO_BRIDGE'!$M$66)</x:f>
      </x:c>
      <x:c r="H57" s="284" t="str">
        <x:f>IF('_REFLO_BRIDGE'!$N$66="","",'_REFLO_BRIDGE'!$N$66)</x:f>
      </x:c>
      <x:c r="I57" s="294" t="str">
        <x:f>IF('_REFLO_BRIDGE'!$O$66="","",'_REFLO_BRIDGE'!$O$66)</x:f>
      </x:c>
      <x:c r="J57" s="294" t="str">
        <x:f>IF('_REFLO_BRIDGE'!$P$66="","",'_REFLO_BRIDGE'!$P$66)</x:f>
      </x:c>
      <x:c r="K57" s="294" t="str">
        <x:f>IF('_REFLO_BRIDGE'!$Q$66="","",'_REFLO_BRIDGE'!$Q$66)</x:f>
      </x:c>
      <x:c r="L57" s="294" t="str">
        <x:f>IF('_REFLO_BRIDGE'!$R$66="","",'_REFLO_BRIDGE'!$R$66)</x:f>
      </x:c>
      <x:c r="M57" s="294" t="str">
        <x:f>IF('_REFLO_BRIDGE'!$S$66="","",'_REFLO_BRIDGE'!$S$66)</x:f>
      </x:c>
      <x:c r="N57" s="294" t="str">
        <x:f>IF('_REFLO_BRIDGE'!$T$66="","",'_REFLO_BRIDGE'!$T$66)</x:f>
      </x:c>
      <x:c r="O57" s="294" t="str">
        <x:f>IF('_REFLO_BRIDGE'!$U$66="","",'_REFLO_BRIDGE'!$U$66)</x:f>
      </x:c>
      <x:c r="P57" s="284" t="str">
        <x:f>IF('_REFLO_BRIDGE'!$V$66="","",'_REFLO_BRIDGE'!$V$66)</x:f>
      </x:c>
      <x:c r="Q57" s="1"/>
      <x:c r="R57" s="1"/>
      <x:c r="S57" s="1"/>
      <x:c r="T57" s="1"/>
      <x:c r="U57" s="1"/>
      <x:c r="V57" s="1"/>
      <x:c r="W57" s="1"/>
      <x:c r="X57" s="1"/>
      <x:c r="Y57" s="1"/>
      <x:c r="Z57" s="13"/>
    </x:row>
    <x:row r="58" ht="18" customHeight="1">
      <x:c r="A58" s="12"/>
      <x:c r="B58" s="1"/>
      <x:c r="C58" s="1"/>
      <x:c r="D58" s="1"/>
      <x:c r="E58" s="1"/>
      <x:c r="F58" s="1"/>
      <x:c r="G58" s="293" t="str">
        <x:f>IF('_REFLO_BRIDGE'!$M$67="","",'_REFLO_BRIDGE'!$M$67)</x:f>
      </x:c>
      <x:c r="H58" s="284" t="str">
        <x:f>IF('_REFLO_BRIDGE'!$N$67="","",'_REFLO_BRIDGE'!$N$67)</x:f>
      </x:c>
      <x:c r="I58" s="294" t="str">
        <x:f>IF('_REFLO_BRIDGE'!$O$67="","",'_REFLO_BRIDGE'!$O$67)</x:f>
      </x:c>
      <x:c r="J58" s="294" t="str">
        <x:f>IF('_REFLO_BRIDGE'!$P$67="","",'_REFLO_BRIDGE'!$P$67)</x:f>
      </x:c>
      <x:c r="K58" s="294" t="str">
        <x:f>IF('_REFLO_BRIDGE'!$Q$67="","",'_REFLO_BRIDGE'!$Q$67)</x:f>
      </x:c>
      <x:c r="L58" s="294" t="str">
        <x:f>IF('_REFLO_BRIDGE'!$R$67="","",'_REFLO_BRIDGE'!$R$67)</x:f>
      </x:c>
      <x:c r="M58" s="294" t="str">
        <x:f>IF('_REFLO_BRIDGE'!$S$67="","",'_REFLO_BRIDGE'!$S$67)</x:f>
      </x:c>
      <x:c r="N58" s="294" t="str">
        <x:f>IF('_REFLO_BRIDGE'!$T$67="","",'_REFLO_BRIDGE'!$T$67)</x:f>
      </x:c>
      <x:c r="O58" s="294" t="str">
        <x:f>IF('_REFLO_BRIDGE'!$U$67="","",'_REFLO_BRIDGE'!$U$67)</x:f>
      </x:c>
      <x:c r="P58" s="284" t="str">
        <x:f>IF('_REFLO_BRIDGE'!$V$67="","",'_REFLO_BRIDGE'!$V$67)</x:f>
      </x:c>
      <x:c r="Q58" s="1"/>
      <x:c r="R58" s="1"/>
      <x:c r="S58" s="1"/>
      <x:c r="T58" s="1"/>
      <x:c r="U58" s="1"/>
      <x:c r="V58" s="1"/>
      <x:c r="W58" s="1"/>
      <x:c r="X58" s="1"/>
      <x:c r="Y58" s="1"/>
      <x:c r="Z58" s="13"/>
    </x:row>
    <x:row r="59" ht="18" customHeight="1">
      <x:c r="A59" s="12"/>
      <x:c r="B59" s="1"/>
      <x:c r="C59" s="1"/>
      <x:c r="D59" s="1"/>
      <x:c r="E59" s="1"/>
      <x:c r="F59" s="1"/>
      <x:c r="G59" s="293" t="str">
        <x:f>IF('_REFLO_BRIDGE'!$M$68="","",'_REFLO_BRIDGE'!$M$68)</x:f>
      </x:c>
      <x:c r="H59" s="284" t="str">
        <x:f>IF('_REFLO_BRIDGE'!$N$68="","",'_REFLO_BRIDGE'!$N$68)</x:f>
      </x:c>
      <x:c r="I59" s="294" t="str">
        <x:f>IF('_REFLO_BRIDGE'!$O$68="","",'_REFLO_BRIDGE'!$O$68)</x:f>
      </x:c>
      <x:c r="J59" s="294" t="str">
        <x:f>IF('_REFLO_BRIDGE'!$P$68="","",'_REFLO_BRIDGE'!$P$68)</x:f>
      </x:c>
      <x:c r="K59" s="294" t="str">
        <x:f>IF('_REFLO_BRIDGE'!$Q$68="","",'_REFLO_BRIDGE'!$Q$68)</x:f>
      </x:c>
      <x:c r="L59" s="294" t="str">
        <x:f>IF('_REFLO_BRIDGE'!$R$68="","",'_REFLO_BRIDGE'!$R$68)</x:f>
      </x:c>
      <x:c r="M59" s="294" t="str">
        <x:f>IF('_REFLO_BRIDGE'!$S$68="","",'_REFLO_BRIDGE'!$S$68)</x:f>
      </x:c>
      <x:c r="N59" s="294" t="str">
        <x:f>IF('_REFLO_BRIDGE'!$T$68="","",'_REFLO_BRIDGE'!$T$68)</x:f>
      </x:c>
      <x:c r="O59" s="294" t="str">
        <x:f>IF('_REFLO_BRIDGE'!$U$68="","",'_REFLO_BRIDGE'!$U$68)</x:f>
      </x:c>
      <x:c r="P59" s="284" t="str">
        <x:f>IF('_REFLO_BRIDGE'!$V$68="","",'_REFLO_BRIDGE'!$V$68)</x:f>
      </x:c>
      <x:c r="Q59" s="1"/>
      <x:c r="R59" s="1"/>
      <x:c r="S59" s="1"/>
      <x:c r="T59" s="1"/>
      <x:c r="U59" s="1"/>
      <x:c r="V59" s="1"/>
      <x:c r="W59" s="1"/>
      <x:c r="X59" s="1"/>
      <x:c r="Y59" s="1"/>
      <x:c r="Z59" s="13"/>
    </x:row>
    <x:row r="60" ht="18" customHeight="1">
      <x:c r="A60" s="9"/>
      <x:c r="B60" s="10"/>
      <x:c r="C60" s="10"/>
      <x:c r="D60" s="10"/>
      <x:c r="E60" s="10"/>
      <x:c r="F60" s="10"/>
      <x:c r="G60" s="293" t="str">
        <x:f>IF('_REFLO_BRIDGE'!$M$69="","",'_REFLO_BRIDGE'!$M$69)</x:f>
      </x:c>
      <x:c r="H60" s="284" t="str">
        <x:f>IF('_REFLO_BRIDGE'!$N$69="","",'_REFLO_BRIDGE'!$N$69)</x:f>
      </x:c>
      <x:c r="I60" s="294" t="str">
        <x:f>IF('_REFLO_BRIDGE'!$O$69="","",'_REFLO_BRIDGE'!$O$69)</x:f>
      </x:c>
      <x:c r="J60" s="294" t="str">
        <x:f>IF('_REFLO_BRIDGE'!$P$69="","",'_REFLO_BRIDGE'!$P$69)</x:f>
      </x:c>
      <x:c r="K60" s="294" t="str">
        <x:f>IF('_REFLO_BRIDGE'!$Q$69="","",'_REFLO_BRIDGE'!$Q$69)</x:f>
      </x:c>
      <x:c r="L60" s="294" t="str">
        <x:f>IF('_REFLO_BRIDGE'!$R$69="","",'_REFLO_BRIDGE'!$R$69)</x:f>
      </x:c>
      <x:c r="M60" s="294" t="str">
        <x:f>IF('_REFLO_BRIDGE'!$S$69="","",'_REFLO_BRIDGE'!$S$69)</x:f>
      </x:c>
      <x:c r="N60" s="294" t="str">
        <x:f>IF('_REFLO_BRIDGE'!$T$69="","",'_REFLO_BRIDGE'!$T$69)</x:f>
      </x:c>
      <x:c r="O60" s="294" t="str">
        <x:f>IF('_REFLO_BRIDGE'!$U$69="","",'_REFLO_BRIDGE'!$U$69)</x:f>
      </x:c>
      <x:c r="P60" s="284" t="str">
        <x:f>IF('_REFLO_BRIDGE'!$V$69="","",'_REFLO_BRIDGE'!$V$69)</x:f>
      </x:c>
      <x:c r="Q60" s="10"/>
      <x:c r="R60" s="10"/>
      <x:c r="S60" s="10"/>
      <x:c r="T60" s="10"/>
      <x:c r="U60" s="10"/>
      <x:c r="V60" s="10"/>
      <x:c r="W60" s="10"/>
      <x:c r="X60" s="10"/>
      <x:c r="Y60" s="10"/>
      <x:c r="Z60" s="11"/>
    </x:row>
    <x:row r="61" ht="18" customHeight="1">
      <x:c r="A61" s="1"/>
      <x:c r="B61" s="1"/>
      <x:c r="C61" s="1"/>
      <x:c r="D61" s="1"/>
      <x:c r="E61" s="1"/>
      <x:c r="F61" s="1"/>
      <x:c r="G61" s="293" t="str">
        <x:f>IF('_REFLO_BRIDGE'!$M$70="","",'_REFLO_BRIDGE'!$M$70)</x:f>
      </x:c>
      <x:c r="H61" s="284" t="str">
        <x:f>IF('_REFLO_BRIDGE'!$N$70="","",'_REFLO_BRIDGE'!$N$70)</x:f>
      </x:c>
      <x:c r="I61" s="294" t="str">
        <x:f>IF('_REFLO_BRIDGE'!$O$70="","",'_REFLO_BRIDGE'!$O$70)</x:f>
      </x:c>
      <x:c r="J61" s="294" t="str">
        <x:f>IF('_REFLO_BRIDGE'!$P$70="","",'_REFLO_BRIDGE'!$P$70)</x:f>
      </x:c>
      <x:c r="K61" s="294" t="str">
        <x:f>IF('_REFLO_BRIDGE'!$Q$70="","",'_REFLO_BRIDGE'!$Q$70)</x:f>
      </x:c>
      <x:c r="L61" s="294" t="str">
        <x:f>IF('_REFLO_BRIDGE'!$R$70="","",'_REFLO_BRIDGE'!$R$70)</x:f>
      </x:c>
      <x:c r="M61" s="294" t="str">
        <x:f>IF('_REFLO_BRIDGE'!$S$70="","",'_REFLO_BRIDGE'!$S$70)</x:f>
      </x:c>
      <x:c r="N61" s="294" t="str">
        <x:f>IF('_REFLO_BRIDGE'!$T$70="","",'_REFLO_BRIDGE'!$T$70)</x:f>
      </x:c>
      <x:c r="O61" s="294" t="str">
        <x:f>IF('_REFLO_BRIDGE'!$U$70="","",'_REFLO_BRIDGE'!$U$70)</x:f>
      </x:c>
      <x:c r="P61" s="284" t="str">
        <x:f>IF('_REFLO_BRIDGE'!$V$70="","",'_REFLO_BRIDGE'!$V$70)</x:f>
      </x:c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1"/>
      <x:c r="B62" s="1"/>
      <x:c r="C62" s="1"/>
      <x:c r="D62" s="1"/>
      <x:c r="E62" s="1"/>
      <x:c r="F62" s="1"/>
      <x:c r="G62" s="293" t="str">
        <x:f>IF('_REFLO_BRIDGE'!$M$71="","",'_REFLO_BRIDGE'!$M$71)</x:f>
      </x:c>
      <x:c r="H62" s="284" t="str">
        <x:f>IF('_REFLO_BRIDGE'!$N$71="","",'_REFLO_BRIDGE'!$N$71)</x:f>
      </x:c>
      <x:c r="I62" s="294" t="str">
        <x:f>IF('_REFLO_BRIDGE'!$O$71="","",'_REFLO_BRIDGE'!$O$71)</x:f>
      </x:c>
      <x:c r="J62" s="294" t="str">
        <x:f>IF('_REFLO_BRIDGE'!$P$71="","",'_REFLO_BRIDGE'!$P$71)</x:f>
      </x:c>
      <x:c r="K62" s="294" t="str">
        <x:f>IF('_REFLO_BRIDGE'!$Q$71="","",'_REFLO_BRIDGE'!$Q$71)</x:f>
      </x:c>
      <x:c r="L62" s="294" t="str">
        <x:f>IF('_REFLO_BRIDGE'!$R$71="","",'_REFLO_BRIDGE'!$R$71)</x:f>
      </x:c>
      <x:c r="M62" s="294" t="str">
        <x:f>IF('_REFLO_BRIDGE'!$S$71="","",'_REFLO_BRIDGE'!$S$71)</x:f>
      </x:c>
      <x:c r="N62" s="294" t="str">
        <x:f>IF('_REFLO_BRIDGE'!$T$71="","",'_REFLO_BRIDGE'!$T$71)</x:f>
      </x:c>
      <x:c r="O62" s="294" t="str">
        <x:f>IF('_REFLO_BRIDGE'!$U$71="","",'_REFLO_BRIDGE'!$U$71)</x:f>
      </x:c>
      <x:c r="P62" s="284" t="str">
        <x:f>IF('_REFLO_BRIDGE'!$V$71="","",'_REFLO_BRIDGE'!$V$71)</x:f>
      </x:c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1"/>
      <x:c r="B63" s="1"/>
      <x:c r="C63" s="1"/>
      <x:c r="D63" s="1"/>
      <x:c r="E63" s="1"/>
      <x:c r="F63" s="1"/>
      <x:c r="G63" s="293" t="str">
        <x:f>IF('_REFLO_BRIDGE'!$M$72="","",'_REFLO_BRIDGE'!$M$72)</x:f>
      </x:c>
      <x:c r="H63" s="284" t="str">
        <x:f>IF('_REFLO_BRIDGE'!$N$72="","",'_REFLO_BRIDGE'!$N$72)</x:f>
      </x:c>
      <x:c r="I63" s="294" t="str">
        <x:f>IF('_REFLO_BRIDGE'!$O$72="","",'_REFLO_BRIDGE'!$O$72)</x:f>
      </x:c>
      <x:c r="J63" s="294" t="str">
        <x:f>IF('_REFLO_BRIDGE'!$P$72="","",'_REFLO_BRIDGE'!$P$72)</x:f>
      </x:c>
      <x:c r="K63" s="294" t="str">
        <x:f>IF('_REFLO_BRIDGE'!$Q$72="","",'_REFLO_BRIDGE'!$Q$72)</x:f>
      </x:c>
      <x:c r="L63" s="294" t="str">
        <x:f>IF('_REFLO_BRIDGE'!$R$72="","",'_REFLO_BRIDGE'!$R$72)</x:f>
      </x:c>
      <x:c r="M63" s="294" t="str">
        <x:f>IF('_REFLO_BRIDGE'!$S$72="","",'_REFLO_BRIDGE'!$S$72)</x:f>
      </x:c>
      <x:c r="N63" s="294" t="str">
        <x:f>IF('_REFLO_BRIDGE'!$T$72="","",'_REFLO_BRIDGE'!$T$72)</x:f>
      </x:c>
      <x:c r="O63" s="294" t="str">
        <x:f>IF('_REFLO_BRIDGE'!$U$72="","",'_REFLO_BRIDGE'!$U$72)</x:f>
      </x:c>
      <x:c r="P63" s="284" t="str">
        <x:f>IF('_REFLO_BRIDGE'!$V$72="","",'_REFLO_BRIDGE'!$V$72)</x:f>
      </x:c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1"/>
      <x:c r="B64" s="1"/>
      <x:c r="C64" s="1"/>
      <x:c r="D64" s="1"/>
      <x:c r="E64" s="1"/>
      <x:c r="F64" s="1"/>
      <x:c r="G64" s="293" t="str">
        <x:f>IF('_REFLO_BRIDGE'!$M$73="","",'_REFLO_BRIDGE'!$M$73)</x:f>
      </x:c>
      <x:c r="H64" s="284" t="str">
        <x:f>IF('_REFLO_BRIDGE'!$N$73="","",'_REFLO_BRIDGE'!$N$73)</x:f>
      </x:c>
      <x:c r="I64" s="294" t="str">
        <x:f>IF('_REFLO_BRIDGE'!$O$73="","",'_REFLO_BRIDGE'!$O$73)</x:f>
      </x:c>
      <x:c r="J64" s="294" t="str">
        <x:f>IF('_REFLO_BRIDGE'!$P$73="","",'_REFLO_BRIDGE'!$P$73)</x:f>
      </x:c>
      <x:c r="K64" s="294" t="str">
        <x:f>IF('_REFLO_BRIDGE'!$Q$73="","",'_REFLO_BRIDGE'!$Q$73)</x:f>
      </x:c>
      <x:c r="L64" s="294" t="str">
        <x:f>IF('_REFLO_BRIDGE'!$R$73="","",'_REFLO_BRIDGE'!$R$73)</x:f>
      </x:c>
      <x:c r="M64" s="294" t="str">
        <x:f>IF('_REFLO_BRIDGE'!$S$73="","",'_REFLO_BRIDGE'!$S$73)</x:f>
      </x:c>
      <x:c r="N64" s="294" t="str">
        <x:f>IF('_REFLO_BRIDGE'!$T$73="","",'_REFLO_BRIDGE'!$T$73)</x:f>
      </x:c>
      <x:c r="O64" s="294" t="str">
        <x:f>IF('_REFLO_BRIDGE'!$U$73="","",'_REFLO_BRIDGE'!$U$73)</x:f>
      </x:c>
      <x:c r="P64" s="284" t="str">
        <x:f>IF('_REFLO_BRIDGE'!$V$73="","",'_REFLO_BRIDGE'!$V$73)</x:f>
      </x:c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</x:sheetData>
  <x:mergeCells>
    <x:mergeCell ref="A2:E2"/>
    <x:mergeCell ref="A21:E21"/>
    <x:mergeCell ref="G2:P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1F6E6A"/>
  </x:sheetPr>
  <x:sheetViews>
    <x:sheetView showGridLines="0" workbookViewId="0"/>
  </x:sheetViews>
  <x:sheetFormatPr defaultColWidth="8.69921875" defaultRowHeight="17.399999618530273"/>
  <x:cols>
    <x:col min="1" max="1" width="24" customWidth="1"/>
    <x:col min="2" max="4" width="12" customWidth="1"/>
    <x:col min="5" max="5" width="35" customWidth="1"/>
    <x:col min="6" max="6" width="12" customWidth="1"/>
    <x:col min="7" max="26" width="1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22.049999237060547" customHeight="1">
      <x:c r="A1" s="111" t="str">
        <x:v>도표 3. 대덕전자 Historical P/B Band — DART BPS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6"/>
    </x:row>
    <x:row r="2" ht="18" customHeight="1">
      <x:c r="A2" s="165" t="str">
        <x:v>자동 재생성은 DART 확정 BPS와 KRX 수정주가를 사용합니다. 기존 12MF 배수 표는 비교 참고값으로 보존합니다.</x:v>
      </x:c>
      <x:c r="B2" s="148"/>
      <x:c r="C2" s="148"/>
      <x:c r="D2" s="148"/>
      <x:c r="E2" s="148"/>
      <x:c r="F2" s="3"/>
      <x:c r="G2" s="286" t="str">
        <x:v>DART Historical BPS 연결 영역</x:v>
      </x:c>
      <x:c r="H2" s="286"/>
      <x:c r="I2" s="286"/>
      <x:c r="J2" s="286"/>
      <x:c r="K2" s="286"/>
      <x:c r="L2" s="286"/>
      <x:c r="M2" s="286"/>
      <x:c r="N2" s="286"/>
      <x:c r="O2" s="286"/>
      <x:c r="P2" s="286"/>
      <x:c r="Q2" s="3"/>
      <x:c r="R2" s="3"/>
      <x:c r="S2" s="3"/>
      <x:c r="T2" s="3"/>
      <x:c r="U2" s="3"/>
      <x:c r="V2" s="3"/>
      <x:c r="W2" s="3"/>
      <x:c r="X2" s="3"/>
      <x:c r="Y2" s="3"/>
      <x:c r="Z2" s="28"/>
    </x:row>
    <x:row r="3" ht="18" customHeight="1">
      <x:c r="A3" s="12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3"/>
    </x:row>
    <x:row r="4" ht="19.950000762939453" customHeight="1">
      <x:c r="A4" s="73" t="s">
        <x:v>318</x:v>
      </x:c>
      <x:c r="B4" s="73" t="s">
        <x:v>319</x:v>
      </x:c>
      <x:c r="C4" s="74"/>
      <x:c r="D4" s="74"/>
      <x:c r="E4" s="73" t="s">
        <x:v>109</x:v>
      </x:c>
      <x:c r="F4" s="1"/>
      <x:c r="G4" s="244" t="str">
        <x:v>Date</x:v>
      </x:c>
      <x:c r="H4" s="244" t="str">
        <x:v>Date Label</x:v>
      </x:c>
      <x:c r="I4" s="244" t="str">
        <x:v>Actual BPS</x:v>
      </x:c>
      <x:c r="J4" s="244" t="str">
        <x:v>Adjusted Price</x:v>
      </x:c>
      <x:c r="K4" s="244" t="str">
        <x:v>2.6x</x:v>
      </x:c>
      <x:c r="L4" s="244" t="str">
        <x:v>2.1x</x:v>
      </x:c>
      <x:c r="M4" s="244" t="str">
        <x:v>1.7x</x:v>
      </x:c>
      <x:c r="N4" s="244" t="str">
        <x:v>1.2x</x:v>
      </x:c>
      <x:c r="O4" s="244" t="str">
        <x:v>0.8x</x:v>
      </x:c>
      <x:c r="P4" s="244" t="str">
        <x:v>Source ID</x:v>
      </x:c>
      <x:c r="Q4" s="1"/>
      <x:c r="R4" s="1"/>
      <x:c r="S4" s="1"/>
      <x:c r="T4" s="1"/>
      <x:c r="U4" s="1"/>
      <x:c r="V4" s="1"/>
      <x:c r="W4" s="1"/>
      <x:c r="X4" s="1"/>
      <x:c r="Y4" s="1"/>
      <x:c r="Z4" s="13"/>
    </x:row>
    <x:row r="5" ht="19.950000762939453" customHeight="1">
      <x:c r="A5" s="53" t="s">
        <x:v>320</x:v>
      </x:c>
      <x:c r="B5" s="113">
        <x:v>2.6</x:v>
      </x:c>
      <x:c r="C5" s="114"/>
      <x:c r="D5" s="114"/>
      <x:c r="E5" s="53" t="s">
        <x:v>321</x:v>
      </x:c>
      <x:c r="F5" s="1"/>
      <x:c r="G5" s="291" t="n">
        <x:f>IF('_REFLO_BRIDGE'!$X$14="","",'_REFLO_BRIDGE'!$X$14)</x:f>
        <x:v>45657</x:v>
      </x:c>
      <x:c r="H5" s="273" t="str">
        <x:f>IF('_REFLO_BRIDGE'!$Y$14="","",'_REFLO_BRIDGE'!$Y$14)</x:f>
        <x:v>2024A</x:v>
      </x:c>
      <x:c r="I5" s="292" t="n">
        <x:f>IF('_REFLO_BRIDGE'!$Z$14="","",'_REFLO_BRIDGE'!$Z$14)</x:f>
        <x:v>16996</x:v>
      </x:c>
      <x:c r="J5" s="292" t="str">
        <x:f>IF('_REFLO_BRIDGE'!$AA$14="","",'_REFLO_BRIDGE'!$AA$14)</x:f>
      </x:c>
      <x:c r="K5" s="292" t="n">
        <x:f>IF('_REFLO_BRIDGE'!$AB$14="","",'_REFLO_BRIDGE'!$AB$14)</x:f>
        <x:v>44189.6</x:v>
      </x:c>
      <x:c r="L5" s="292" t="n">
        <x:f>IF('_REFLO_BRIDGE'!$AC$14="","",'_REFLO_BRIDGE'!$AC$14)</x:f>
        <x:v>35691.6</x:v>
      </x:c>
      <x:c r="M5" s="292" t="n">
        <x:f>IF('_REFLO_BRIDGE'!$AD$14="","",'_REFLO_BRIDGE'!$AD$14)</x:f>
        <x:v>28893.2</x:v>
      </x:c>
      <x:c r="N5" s="292" t="n">
        <x:f>IF('_REFLO_BRIDGE'!$AE$14="","",'_REFLO_BRIDGE'!$AE$14)</x:f>
        <x:v>20395.2</x:v>
      </x:c>
      <x:c r="O5" s="292" t="n">
        <x:f>IF('_REFLO_BRIDGE'!$AF$14="","",'_REFLO_BRIDGE'!$AF$14)</x:f>
        <x:v>13596.800000000001</x:v>
      </x:c>
      <x:c r="P5" s="273" t="str">
        <x:f>IF('_REFLO_BRIDGE'!$AG$14="","",'_REFLO_BRIDGE'!$AG$14)</x:f>
        <x:v>LEGACY_REPORT_DART</x:v>
      </x:c>
      <x:c r="Q5" s="1"/>
      <x:c r="R5" s="1"/>
      <x:c r="S5" s="1"/>
      <x:c r="T5" s="1"/>
      <x:c r="U5" s="1"/>
      <x:c r="V5" s="1"/>
      <x:c r="W5" s="1"/>
      <x:c r="X5" s="1"/>
      <x:c r="Y5" s="1"/>
      <x:c r="Z5" s="13"/>
    </x:row>
    <x:row r="6" ht="18" customHeight="1">
      <x:c r="A6" s="54" t="s">
        <x:v>322</x:v>
      </x:c>
      <x:c r="B6" s="115">
        <x:v>2.1</x:v>
      </x:c>
      <x:c r="C6" s="56"/>
      <x:c r="D6" s="56"/>
      <x:c r="E6" s="54" t="s">
        <x:v>321</x:v>
      </x:c>
      <x:c r="F6" s="1"/>
      <x:c r="G6" s="293" t="str">
        <x:f>IF('_REFLO_BRIDGE'!$X$15="","",'_REFLO_BRIDGE'!$X$15)</x:f>
      </x:c>
      <x:c r="H6" s="284" t="str">
        <x:f>IF('_REFLO_BRIDGE'!$Y$15="","",'_REFLO_BRIDGE'!$Y$15)</x:f>
      </x:c>
      <x:c r="I6" s="294" t="str">
        <x:f>IF('_REFLO_BRIDGE'!$Z$15="","",'_REFLO_BRIDGE'!$Z$15)</x:f>
      </x:c>
      <x:c r="J6" s="294" t="str">
        <x:f>IF('_REFLO_BRIDGE'!$AA$15="","",'_REFLO_BRIDGE'!$AA$15)</x:f>
      </x:c>
      <x:c r="K6" s="294" t="str">
        <x:f>IF('_REFLO_BRIDGE'!$AB$15="","",'_REFLO_BRIDGE'!$AB$15)</x:f>
      </x:c>
      <x:c r="L6" s="294" t="str">
        <x:f>IF('_REFLO_BRIDGE'!$AC$15="","",'_REFLO_BRIDGE'!$AC$15)</x:f>
      </x:c>
      <x:c r="M6" s="294" t="str">
        <x:f>IF('_REFLO_BRIDGE'!$AD$15="","",'_REFLO_BRIDGE'!$AD$15)</x:f>
      </x:c>
      <x:c r="N6" s="294" t="str">
        <x:f>IF('_REFLO_BRIDGE'!$AE$15="","",'_REFLO_BRIDGE'!$AE$15)</x:f>
      </x:c>
      <x:c r="O6" s="294" t="str">
        <x:f>IF('_REFLO_BRIDGE'!$AF$15="","",'_REFLO_BRIDGE'!$AF$15)</x:f>
      </x:c>
      <x:c r="P6" s="284" t="str">
        <x:f>IF('_REFLO_BRIDGE'!$AG$15="","",'_REFLO_BRIDGE'!$AG$15)</x:f>
      </x:c>
      <x:c r="Q6" s="1"/>
      <x:c r="R6" s="1"/>
      <x:c r="S6" s="1"/>
      <x:c r="T6" s="1"/>
      <x:c r="U6" s="1"/>
      <x:c r="V6" s="1"/>
      <x:c r="W6" s="1"/>
      <x:c r="X6" s="1"/>
      <x:c r="Y6" s="1"/>
      <x:c r="Z6" s="13"/>
    </x:row>
    <x:row r="7" ht="18" customHeight="1">
      <x:c r="A7" s="54" t="s">
        <x:v>323</x:v>
      </x:c>
      <x:c r="B7" s="115">
        <x:v>1.7</x:v>
      </x:c>
      <x:c r="C7" s="56"/>
      <x:c r="D7" s="56"/>
      <x:c r="E7" s="54" t="s">
        <x:v>321</x:v>
      </x:c>
      <x:c r="F7" s="1"/>
      <x:c r="G7" s="293" t="str">
        <x:f>IF('_REFLO_BRIDGE'!$X$16="","",'_REFLO_BRIDGE'!$X$16)</x:f>
      </x:c>
      <x:c r="H7" s="284" t="str">
        <x:f>IF('_REFLO_BRIDGE'!$Y$16="","",'_REFLO_BRIDGE'!$Y$16)</x:f>
      </x:c>
      <x:c r="I7" s="294" t="str">
        <x:f>IF('_REFLO_BRIDGE'!$Z$16="","",'_REFLO_BRIDGE'!$Z$16)</x:f>
      </x:c>
      <x:c r="J7" s="294" t="str">
        <x:f>IF('_REFLO_BRIDGE'!$AA$16="","",'_REFLO_BRIDGE'!$AA$16)</x:f>
      </x:c>
      <x:c r="K7" s="294" t="str">
        <x:f>IF('_REFLO_BRIDGE'!$AB$16="","",'_REFLO_BRIDGE'!$AB$16)</x:f>
      </x:c>
      <x:c r="L7" s="294" t="str">
        <x:f>IF('_REFLO_BRIDGE'!$AC$16="","",'_REFLO_BRIDGE'!$AC$16)</x:f>
      </x:c>
      <x:c r="M7" s="294" t="str">
        <x:f>IF('_REFLO_BRIDGE'!$AD$16="","",'_REFLO_BRIDGE'!$AD$16)</x:f>
      </x:c>
      <x:c r="N7" s="294" t="str">
        <x:f>IF('_REFLO_BRIDGE'!$AE$16="","",'_REFLO_BRIDGE'!$AE$16)</x:f>
      </x:c>
      <x:c r="O7" s="294" t="str">
        <x:f>IF('_REFLO_BRIDGE'!$AF$16="","",'_REFLO_BRIDGE'!$AF$16)</x:f>
      </x:c>
      <x:c r="P7" s="284" t="str">
        <x:f>IF('_REFLO_BRIDGE'!$AG$16="","",'_REFLO_BRIDGE'!$AG$16)</x:f>
      </x:c>
      <x:c r="Q7" s="1"/>
      <x:c r="R7" s="1"/>
      <x:c r="S7" s="1"/>
      <x:c r="T7" s="1"/>
      <x:c r="U7" s="1"/>
      <x:c r="V7" s="1"/>
      <x:c r="W7" s="1"/>
      <x:c r="X7" s="1"/>
      <x:c r="Y7" s="1"/>
      <x:c r="Z7" s="13"/>
    </x:row>
    <x:row r="8" ht="18" customHeight="1">
      <x:c r="A8" s="54" t="s">
        <x:v>324</x:v>
      </x:c>
      <x:c r="B8" s="115">
        <x:v>1.2</x:v>
      </x:c>
      <x:c r="C8" s="56"/>
      <x:c r="D8" s="56"/>
      <x:c r="E8" s="54" t="s">
        <x:v>321</x:v>
      </x:c>
      <x:c r="F8" s="1"/>
      <x:c r="G8" s="293" t="str">
        <x:f>IF('_REFLO_BRIDGE'!$X$17="","",'_REFLO_BRIDGE'!$X$17)</x:f>
      </x:c>
      <x:c r="H8" s="284" t="str">
        <x:f>IF('_REFLO_BRIDGE'!$Y$17="","",'_REFLO_BRIDGE'!$Y$17)</x:f>
      </x:c>
      <x:c r="I8" s="294" t="str">
        <x:f>IF('_REFLO_BRIDGE'!$Z$17="","",'_REFLO_BRIDGE'!$Z$17)</x:f>
      </x:c>
      <x:c r="J8" s="294" t="str">
        <x:f>IF('_REFLO_BRIDGE'!$AA$17="","",'_REFLO_BRIDGE'!$AA$17)</x:f>
      </x:c>
      <x:c r="K8" s="294" t="str">
        <x:f>IF('_REFLO_BRIDGE'!$AB$17="","",'_REFLO_BRIDGE'!$AB$17)</x:f>
      </x:c>
      <x:c r="L8" s="294" t="str">
        <x:f>IF('_REFLO_BRIDGE'!$AC$17="","",'_REFLO_BRIDGE'!$AC$17)</x:f>
      </x:c>
      <x:c r="M8" s="294" t="str">
        <x:f>IF('_REFLO_BRIDGE'!$AD$17="","",'_REFLO_BRIDGE'!$AD$17)</x:f>
      </x:c>
      <x:c r="N8" s="294" t="str">
        <x:f>IF('_REFLO_BRIDGE'!$AE$17="","",'_REFLO_BRIDGE'!$AE$17)</x:f>
      </x:c>
      <x:c r="O8" s="294" t="str">
        <x:f>IF('_REFLO_BRIDGE'!$AF$17="","",'_REFLO_BRIDGE'!$AF$17)</x:f>
      </x:c>
      <x:c r="P8" s="284" t="str">
        <x:f>IF('_REFLO_BRIDGE'!$AG$17="","",'_REFLO_BRIDGE'!$AG$17)</x:f>
      </x:c>
      <x:c r="Q8" s="1"/>
      <x:c r="R8" s="1"/>
      <x:c r="S8" s="1"/>
      <x:c r="T8" s="1"/>
      <x:c r="U8" s="1"/>
      <x:c r="V8" s="1"/>
      <x:c r="W8" s="1"/>
      <x:c r="X8" s="1"/>
      <x:c r="Y8" s="1"/>
      <x:c r="Z8" s="13"/>
    </x:row>
    <x:row r="9" ht="18" customHeight="1">
      <x:c r="A9" s="54" t="s">
        <x:v>325</x:v>
      </x:c>
      <x:c r="B9" s="115">
        <x:v>0.8</x:v>
      </x:c>
      <x:c r="C9" s="56"/>
      <x:c r="D9" s="56"/>
      <x:c r="E9" s="54" t="s">
        <x:v>321</x:v>
      </x:c>
      <x:c r="F9" s="1"/>
      <x:c r="G9" s="293" t="str">
        <x:f>IF('_REFLO_BRIDGE'!$X$18="","",'_REFLO_BRIDGE'!$X$18)</x:f>
      </x:c>
      <x:c r="H9" s="284" t="str">
        <x:f>IF('_REFLO_BRIDGE'!$Y$18="","",'_REFLO_BRIDGE'!$Y$18)</x:f>
      </x:c>
      <x:c r="I9" s="294" t="str">
        <x:f>IF('_REFLO_BRIDGE'!$Z$18="","",'_REFLO_BRIDGE'!$Z$18)</x:f>
      </x:c>
      <x:c r="J9" s="294" t="str">
        <x:f>IF('_REFLO_BRIDGE'!$AA$18="","",'_REFLO_BRIDGE'!$AA$18)</x:f>
      </x:c>
      <x:c r="K9" s="294" t="str">
        <x:f>IF('_REFLO_BRIDGE'!$AB$18="","",'_REFLO_BRIDGE'!$AB$18)</x:f>
      </x:c>
      <x:c r="L9" s="294" t="str">
        <x:f>IF('_REFLO_BRIDGE'!$AC$18="","",'_REFLO_BRIDGE'!$AC$18)</x:f>
      </x:c>
      <x:c r="M9" s="294" t="str">
        <x:f>IF('_REFLO_BRIDGE'!$AD$18="","",'_REFLO_BRIDGE'!$AD$18)</x:f>
      </x:c>
      <x:c r="N9" s="294" t="str">
        <x:f>IF('_REFLO_BRIDGE'!$AE$18="","",'_REFLO_BRIDGE'!$AE$18)</x:f>
      </x:c>
      <x:c r="O9" s="294" t="str">
        <x:f>IF('_REFLO_BRIDGE'!$AF$18="","",'_REFLO_BRIDGE'!$AF$18)</x:f>
      </x:c>
      <x:c r="P9" s="284" t="str">
        <x:f>IF('_REFLO_BRIDGE'!$AG$18="","",'_REFLO_BRIDGE'!$AG$18)</x:f>
      </x:c>
      <x:c r="Q9" s="1"/>
      <x:c r="R9" s="1"/>
      <x:c r="S9" s="1"/>
      <x:c r="T9" s="1"/>
      <x:c r="U9" s="1"/>
      <x:c r="V9" s="1"/>
      <x:c r="W9" s="1"/>
      <x:c r="X9" s="1"/>
      <x:c r="Y9" s="1"/>
      <x:c r="Z9" s="13"/>
    </x:row>
    <x:row r="10" ht="19.950000762939453" customHeight="1">
      <x:c r="A10" s="20"/>
      <x:c r="B10" s="5"/>
      <x:c r="C10" s="5"/>
      <x:c r="D10" s="5"/>
      <x:c r="E10" s="5"/>
      <x:c r="F10" s="1"/>
      <x:c r="G10" s="293" t="str">
        <x:f>IF('_REFLO_BRIDGE'!$X$19="","",'_REFLO_BRIDGE'!$X$19)</x:f>
      </x:c>
      <x:c r="H10" s="284" t="str">
        <x:f>IF('_REFLO_BRIDGE'!$Y$19="","",'_REFLO_BRIDGE'!$Y$19)</x:f>
      </x:c>
      <x:c r="I10" s="294" t="str">
        <x:f>IF('_REFLO_BRIDGE'!$Z$19="","",'_REFLO_BRIDGE'!$Z$19)</x:f>
      </x:c>
      <x:c r="J10" s="294" t="str">
        <x:f>IF('_REFLO_BRIDGE'!$AA$19="","",'_REFLO_BRIDGE'!$AA$19)</x:f>
      </x:c>
      <x:c r="K10" s="294" t="str">
        <x:f>IF('_REFLO_BRIDGE'!$AB$19="","",'_REFLO_BRIDGE'!$AB$19)</x:f>
      </x:c>
      <x:c r="L10" s="294" t="str">
        <x:f>IF('_REFLO_BRIDGE'!$AC$19="","",'_REFLO_BRIDGE'!$AC$19)</x:f>
      </x:c>
      <x:c r="M10" s="294" t="str">
        <x:f>IF('_REFLO_BRIDGE'!$AD$19="","",'_REFLO_BRIDGE'!$AD$19)</x:f>
      </x:c>
      <x:c r="N10" s="294" t="str">
        <x:f>IF('_REFLO_BRIDGE'!$AE$19="","",'_REFLO_BRIDGE'!$AE$19)</x:f>
      </x:c>
      <x:c r="O10" s="294" t="str">
        <x:f>IF('_REFLO_BRIDGE'!$AF$19="","",'_REFLO_BRIDGE'!$AF$19)</x:f>
      </x:c>
      <x:c r="P10" s="284" t="str">
        <x:f>IF('_REFLO_BRIDGE'!$AG$19="","",'_REFLO_BRIDGE'!$AG$19)</x:f>
      </x:c>
      <x:c r="Q10" s="1"/>
      <x:c r="R10" s="1"/>
      <x:c r="S10" s="1"/>
      <x:c r="T10" s="1"/>
      <x:c r="U10" s="1"/>
      <x:c r="V10" s="1"/>
      <x:c r="W10" s="1"/>
      <x:c r="X10" s="1"/>
      <x:c r="Y10" s="1"/>
      <x:c r="Z10" s="13"/>
    </x:row>
    <x:row r="11" ht="19.950000762939453" customHeight="1">
      <x:c r="A11" s="119" t="s">
        <x:v>209</x:v>
      </x:c>
      <x:c r="B11" s="7"/>
      <x:c r="C11" s="7"/>
      <x:c r="D11" s="7"/>
      <x:c r="E11" s="8"/>
      <x:c r="F11" s="1"/>
      <x:c r="G11" s="293" t="str">
        <x:f>IF('_REFLO_BRIDGE'!$X$20="","",'_REFLO_BRIDGE'!$X$20)</x:f>
      </x:c>
      <x:c r="H11" s="284" t="str">
        <x:f>IF('_REFLO_BRIDGE'!$Y$20="","",'_REFLO_BRIDGE'!$Y$20)</x:f>
      </x:c>
      <x:c r="I11" s="294" t="str">
        <x:f>IF('_REFLO_BRIDGE'!$Z$20="","",'_REFLO_BRIDGE'!$Z$20)</x:f>
      </x:c>
      <x:c r="J11" s="294" t="str">
        <x:f>IF('_REFLO_BRIDGE'!$AA$20="","",'_REFLO_BRIDGE'!$AA$20)</x:f>
      </x:c>
      <x:c r="K11" s="294" t="str">
        <x:f>IF('_REFLO_BRIDGE'!$AB$20="","",'_REFLO_BRIDGE'!$AB$20)</x:f>
      </x:c>
      <x:c r="L11" s="294" t="str">
        <x:f>IF('_REFLO_BRIDGE'!$AC$20="","",'_REFLO_BRIDGE'!$AC$20)</x:f>
      </x:c>
      <x:c r="M11" s="294" t="str">
        <x:f>IF('_REFLO_BRIDGE'!$AD$20="","",'_REFLO_BRIDGE'!$AD$20)</x:f>
      </x:c>
      <x:c r="N11" s="294" t="str">
        <x:f>IF('_REFLO_BRIDGE'!$AE$20="","",'_REFLO_BRIDGE'!$AE$20)</x:f>
      </x:c>
      <x:c r="O11" s="294" t="str">
        <x:f>IF('_REFLO_BRIDGE'!$AF$20="","",'_REFLO_BRIDGE'!$AF$20)</x:f>
      </x:c>
      <x:c r="P11" s="284" t="str">
        <x:f>IF('_REFLO_BRIDGE'!$AG$20="","",'_REFLO_BRIDGE'!$AG$20)</x:f>
      </x:c>
      <x:c r="Q11" s="1"/>
      <x:c r="R11" s="1"/>
      <x:c r="S11" s="1"/>
      <x:c r="T11" s="1"/>
      <x:c r="U11" s="1"/>
      <x:c r="V11" s="1"/>
      <x:c r="W11" s="1"/>
      <x:c r="X11" s="1"/>
      <x:c r="Y11" s="1"/>
      <x:c r="Z11" s="13"/>
    </x:row>
    <x:row r="12" ht="18" customHeight="1">
      <x:c r="A12" s="12"/>
      <x:c r="B12" s="1"/>
      <x:c r="C12" s="1"/>
      <x:c r="D12" s="1"/>
      <x:c r="E12" s="1"/>
      <x:c r="F12" s="1"/>
      <x:c r="G12" s="293" t="str">
        <x:f>IF('_REFLO_BRIDGE'!$X$21="","",'_REFLO_BRIDGE'!$X$21)</x:f>
      </x:c>
      <x:c r="H12" s="284" t="str">
        <x:f>IF('_REFLO_BRIDGE'!$Y$21="","",'_REFLO_BRIDGE'!$Y$21)</x:f>
      </x:c>
      <x:c r="I12" s="294" t="str">
        <x:f>IF('_REFLO_BRIDGE'!$Z$21="","",'_REFLO_BRIDGE'!$Z$21)</x:f>
      </x:c>
      <x:c r="J12" s="294" t="str">
        <x:f>IF('_REFLO_BRIDGE'!$AA$21="","",'_REFLO_BRIDGE'!$AA$21)</x:f>
      </x:c>
      <x:c r="K12" s="294" t="str">
        <x:f>IF('_REFLO_BRIDGE'!$AB$21="","",'_REFLO_BRIDGE'!$AB$21)</x:f>
      </x:c>
      <x:c r="L12" s="294" t="str">
        <x:f>IF('_REFLO_BRIDGE'!$AC$21="","",'_REFLO_BRIDGE'!$AC$21)</x:f>
      </x:c>
      <x:c r="M12" s="294" t="str">
        <x:f>IF('_REFLO_BRIDGE'!$AD$21="","",'_REFLO_BRIDGE'!$AD$21)</x:f>
      </x:c>
      <x:c r="N12" s="294" t="str">
        <x:f>IF('_REFLO_BRIDGE'!$AE$21="","",'_REFLO_BRIDGE'!$AE$21)</x:f>
      </x:c>
      <x:c r="O12" s="294" t="str">
        <x:f>IF('_REFLO_BRIDGE'!$AF$21="","",'_REFLO_BRIDGE'!$AF$21)</x:f>
      </x:c>
      <x:c r="P12" s="284" t="str">
        <x:f>IF('_REFLO_BRIDGE'!$AG$21="","",'_REFLO_BRIDGE'!$AG$21)</x:f>
      </x:c>
      <x:c r="Q12" s="1"/>
      <x:c r="R12" s="1"/>
      <x:c r="S12" s="1"/>
      <x:c r="T12" s="1"/>
      <x:c r="U12" s="1"/>
      <x:c r="V12" s="1"/>
      <x:c r="W12" s="1"/>
      <x:c r="X12" s="1"/>
      <x:c r="Y12" s="1"/>
      <x:c r="Z12" s="13"/>
    </x:row>
    <x:row r="13" ht="18" customHeight="1">
      <x:c r="A13" s="116" t="s">
        <x:v>326</x:v>
      </x:c>
      <x:c r="B13" s="1"/>
      <x:c r="C13" s="1"/>
      <x:c r="D13" s="1"/>
      <x:c r="E13" s="1"/>
      <x:c r="F13" s="1"/>
      <x:c r="G13" s="293" t="str">
        <x:f>IF('_REFLO_BRIDGE'!$X$22="","",'_REFLO_BRIDGE'!$X$22)</x:f>
      </x:c>
      <x:c r="H13" s="284" t="str">
        <x:f>IF('_REFLO_BRIDGE'!$Y$22="","",'_REFLO_BRIDGE'!$Y$22)</x:f>
      </x:c>
      <x:c r="I13" s="294" t="str">
        <x:f>IF('_REFLO_BRIDGE'!$Z$22="","",'_REFLO_BRIDGE'!$Z$22)</x:f>
      </x:c>
      <x:c r="J13" s="294" t="str">
        <x:f>IF('_REFLO_BRIDGE'!$AA$22="","",'_REFLO_BRIDGE'!$AA$22)</x:f>
      </x:c>
      <x:c r="K13" s="294" t="str">
        <x:f>IF('_REFLO_BRIDGE'!$AB$22="","",'_REFLO_BRIDGE'!$AB$22)</x:f>
      </x:c>
      <x:c r="L13" s="294" t="str">
        <x:f>IF('_REFLO_BRIDGE'!$AC$22="","",'_REFLO_BRIDGE'!$AC$22)</x:f>
      </x:c>
      <x:c r="M13" s="294" t="str">
        <x:f>IF('_REFLO_BRIDGE'!$AD$22="","",'_REFLO_BRIDGE'!$AD$22)</x:f>
      </x:c>
      <x:c r="N13" s="294" t="str">
        <x:f>IF('_REFLO_BRIDGE'!$AE$22="","",'_REFLO_BRIDGE'!$AE$22)</x:f>
      </x:c>
      <x:c r="O13" s="294" t="str">
        <x:f>IF('_REFLO_BRIDGE'!$AF$22="","",'_REFLO_BRIDGE'!$AF$22)</x:f>
      </x:c>
      <x:c r="P13" s="284" t="str">
        <x:f>IF('_REFLO_BRIDGE'!$AG$22="","",'_REFLO_BRIDGE'!$AG$22)</x:f>
      </x:c>
      <x:c r="Q13" s="1"/>
      <x:c r="R13" s="1"/>
      <x:c r="S13" s="1"/>
      <x:c r="T13" s="1"/>
      <x:c r="U13" s="1"/>
      <x:c r="V13" s="1"/>
      <x:c r="W13" s="1"/>
      <x:c r="X13" s="1"/>
      <x:c r="Y13" s="1"/>
      <x:c r="Z13" s="13"/>
    </x:row>
    <x:row r="14" ht="18" customHeight="1">
      <x:c r="A14" s="54" t="s">
        <x:v>318</x:v>
      </x:c>
      <x:c r="B14" s="54" t="s">
        <x:v>319</x:v>
      </x:c>
      <x:c r="C14" s="54" t="s">
        <x:v>327</x:v>
      </x:c>
      <x:c r="D14" s="54" t="s">
        <x:v>328</x:v>
      </x:c>
      <x:c r="E14" s="54" t="s">
        <x:v>109</x:v>
      </x:c>
      <x:c r="F14" s="1"/>
      <x:c r="G14" s="293" t="str">
        <x:f>IF('_REFLO_BRIDGE'!$X$23="","",'_REFLO_BRIDGE'!$X$23)</x:f>
      </x:c>
      <x:c r="H14" s="284" t="str">
        <x:f>IF('_REFLO_BRIDGE'!$Y$23="","",'_REFLO_BRIDGE'!$Y$23)</x:f>
      </x:c>
      <x:c r="I14" s="294" t="str">
        <x:f>IF('_REFLO_BRIDGE'!$Z$23="","",'_REFLO_BRIDGE'!$Z$23)</x:f>
      </x:c>
      <x:c r="J14" s="294" t="str">
        <x:f>IF('_REFLO_BRIDGE'!$AA$23="","",'_REFLO_BRIDGE'!$AA$23)</x:f>
      </x:c>
      <x:c r="K14" s="294" t="str">
        <x:f>IF('_REFLO_BRIDGE'!$AB$23="","",'_REFLO_BRIDGE'!$AB$23)</x:f>
      </x:c>
      <x:c r="L14" s="294" t="str">
        <x:f>IF('_REFLO_BRIDGE'!$AC$23="","",'_REFLO_BRIDGE'!$AC$23)</x:f>
      </x:c>
      <x:c r="M14" s="294" t="str">
        <x:f>IF('_REFLO_BRIDGE'!$AD$23="","",'_REFLO_BRIDGE'!$AD$23)</x:f>
      </x:c>
      <x:c r="N14" s="294" t="str">
        <x:f>IF('_REFLO_BRIDGE'!$AE$23="","",'_REFLO_BRIDGE'!$AE$23)</x:f>
      </x:c>
      <x:c r="O14" s="294" t="str">
        <x:f>IF('_REFLO_BRIDGE'!$AF$23="","",'_REFLO_BRIDGE'!$AF$23)</x:f>
      </x:c>
      <x:c r="P14" s="284" t="str">
        <x:f>IF('_REFLO_BRIDGE'!$AG$23="","",'_REFLO_BRIDGE'!$AG$23)</x:f>
      </x:c>
      <x:c r="Q14" s="1"/>
      <x:c r="R14" s="1"/>
      <x:c r="S14" s="1"/>
      <x:c r="T14" s="1"/>
      <x:c r="U14" s="1"/>
      <x:c r="V14" s="1"/>
      <x:c r="W14" s="1"/>
      <x:c r="X14" s="1"/>
      <x:c r="Y14" s="1"/>
      <x:c r="Z14" s="13"/>
    </x:row>
    <x:row r="15" ht="18" customHeight="1">
      <x:c r="A15" s="54" t="s">
        <x:v>320</x:v>
      </x:c>
      <x:c r="B15" s="54" t="n">
        <x:f>$B$5</x:f>
        <x:v>2.6</x:v>
      </x:c>
      <x:c r="C15" s="91" t="n">
        <x:f>$B15*'14_p4_투자지표'!$E$7</x:f>
        <x:v>52036.4</x:v>
      </x:c>
      <x:c r="D15" s="91" t="n">
        <x:f>$C15/'05_도표1_Valuation'!$C$8-1</x:f>
        <x:v>-0.008830476190476166</x:v>
      </x:c>
      <x:c r="E15" s="54" t="s">
        <x:v>331</x:v>
      </x:c>
      <x:c r="F15" s="1"/>
      <x:c r="G15" s="293" t="str">
        <x:f>IF('_REFLO_BRIDGE'!$X$24="","",'_REFLO_BRIDGE'!$X$24)</x:f>
      </x:c>
      <x:c r="H15" s="284" t="str">
        <x:f>IF('_REFLO_BRIDGE'!$Y$24="","",'_REFLO_BRIDGE'!$Y$24)</x:f>
      </x:c>
      <x:c r="I15" s="294" t="str">
        <x:f>IF('_REFLO_BRIDGE'!$Z$24="","",'_REFLO_BRIDGE'!$Z$24)</x:f>
      </x:c>
      <x:c r="J15" s="294" t="str">
        <x:f>IF('_REFLO_BRIDGE'!$AA$24="","",'_REFLO_BRIDGE'!$AA$24)</x:f>
      </x:c>
      <x:c r="K15" s="294" t="str">
        <x:f>IF('_REFLO_BRIDGE'!$AB$24="","",'_REFLO_BRIDGE'!$AB$24)</x:f>
      </x:c>
      <x:c r="L15" s="294" t="str">
        <x:f>IF('_REFLO_BRIDGE'!$AC$24="","",'_REFLO_BRIDGE'!$AC$24)</x:f>
      </x:c>
      <x:c r="M15" s="294" t="str">
        <x:f>IF('_REFLO_BRIDGE'!$AD$24="","",'_REFLO_BRIDGE'!$AD$24)</x:f>
      </x:c>
      <x:c r="N15" s="294" t="str">
        <x:f>IF('_REFLO_BRIDGE'!$AE$24="","",'_REFLO_BRIDGE'!$AE$24)</x:f>
      </x:c>
      <x:c r="O15" s="294" t="str">
        <x:f>IF('_REFLO_BRIDGE'!$AF$24="","",'_REFLO_BRIDGE'!$AF$24)</x:f>
      </x:c>
      <x:c r="P15" s="284" t="str">
        <x:f>IF('_REFLO_BRIDGE'!$AG$24="","",'_REFLO_BRIDGE'!$AG$24)</x:f>
      </x:c>
      <x:c r="Q15" s="1"/>
      <x:c r="R15" s="1"/>
      <x:c r="S15" s="1"/>
      <x:c r="T15" s="1"/>
      <x:c r="U15" s="1"/>
      <x:c r="V15" s="1"/>
      <x:c r="W15" s="1"/>
      <x:c r="X15" s="1"/>
      <x:c r="Y15" s="1"/>
      <x:c r="Z15" s="13"/>
    </x:row>
    <x:row r="16" ht="19.950000762939453" customHeight="1">
      <x:c r="A16" s="73" t="s">
        <x:v>322</x:v>
      </x:c>
      <x:c r="B16" s="120" t="n">
        <x:f>$B$6</x:f>
        <x:v>2.1</x:v>
      </x:c>
      <x:c r="C16" s="121" t="n">
        <x:f>$B16*'14_p4_투자지표'!$E$7</x:f>
        <x:v>42029.4</x:v>
      </x:c>
      <x:c r="D16" s="121" t="n">
        <x:f>$C16/'05_도표1_Valuation'!$C$8-1</x:f>
        <x:v>-0.19943999999999995</x:v>
      </x:c>
      <x:c r="E16" s="73" t="s">
        <x:v>331</x:v>
      </x:c>
      <x:c r="F16" s="1"/>
      <x:c r="G16" s="293" t="str">
        <x:f>IF('_REFLO_BRIDGE'!$X$25="","",'_REFLO_BRIDGE'!$X$25)</x:f>
      </x:c>
      <x:c r="H16" s="284" t="str">
        <x:f>IF('_REFLO_BRIDGE'!$Y$25="","",'_REFLO_BRIDGE'!$Y$25)</x:f>
      </x:c>
      <x:c r="I16" s="294" t="str">
        <x:f>IF('_REFLO_BRIDGE'!$Z$25="","",'_REFLO_BRIDGE'!$Z$25)</x:f>
      </x:c>
      <x:c r="J16" s="294" t="str">
        <x:f>IF('_REFLO_BRIDGE'!$AA$25="","",'_REFLO_BRIDGE'!$AA$25)</x:f>
      </x:c>
      <x:c r="K16" s="294" t="str">
        <x:f>IF('_REFLO_BRIDGE'!$AB$25="","",'_REFLO_BRIDGE'!$AB$25)</x:f>
      </x:c>
      <x:c r="L16" s="294" t="str">
        <x:f>IF('_REFLO_BRIDGE'!$AC$25="","",'_REFLO_BRIDGE'!$AC$25)</x:f>
      </x:c>
      <x:c r="M16" s="294" t="str">
        <x:f>IF('_REFLO_BRIDGE'!$AD$25="","",'_REFLO_BRIDGE'!$AD$25)</x:f>
      </x:c>
      <x:c r="N16" s="294" t="str">
        <x:f>IF('_REFLO_BRIDGE'!$AE$25="","",'_REFLO_BRIDGE'!$AE$25)</x:f>
      </x:c>
      <x:c r="O16" s="294" t="str">
        <x:f>IF('_REFLO_BRIDGE'!$AF$25="","",'_REFLO_BRIDGE'!$AF$25)</x:f>
      </x:c>
      <x:c r="P16" s="284" t="str">
        <x:f>IF('_REFLO_BRIDGE'!$AG$25="","",'_REFLO_BRIDGE'!$AG$25)</x:f>
      </x:c>
      <x:c r="Q16" s="1"/>
      <x:c r="R16" s="1"/>
      <x:c r="S16" s="1"/>
      <x:c r="T16" s="1"/>
      <x:c r="U16" s="1"/>
      <x:c r="V16" s="1"/>
      <x:c r="W16" s="1"/>
      <x:c r="X16" s="1"/>
      <x:c r="Y16" s="1"/>
      <x:c r="Z16" s="13"/>
    </x:row>
    <x:row r="17" ht="19.950000762939453" customHeight="1">
      <x:c r="A17" s="53" t="s">
        <x:v>323</x:v>
      </x:c>
      <x:c r="B17" s="122" t="n">
        <x:f>$B$7</x:f>
        <x:v>1.7</x:v>
      </x:c>
      <x:c r="C17" s="99" t="n">
        <x:f>$B17*'14_p4_투자지표'!$E$7</x:f>
        <x:v>34023.799999999996</x:v>
      </x:c>
      <x:c r="D17" s="99" t="n">
        <x:f>$C17/'05_도표1_Valuation'!$C$8-1</x:f>
        <x:v>-0.35192761904761916</x:v>
      </x:c>
      <x:c r="E17" s="53" t="s">
        <x:v>331</x:v>
      </x:c>
      <x:c r="F17" s="1"/>
      <x:c r="G17" s="293" t="str">
        <x:f>IF('_REFLO_BRIDGE'!$X$26="","",'_REFLO_BRIDGE'!$X$26)</x:f>
      </x:c>
      <x:c r="H17" s="284" t="str">
        <x:f>IF('_REFLO_BRIDGE'!$Y$26="","",'_REFLO_BRIDGE'!$Y$26)</x:f>
      </x:c>
      <x:c r="I17" s="294" t="str">
        <x:f>IF('_REFLO_BRIDGE'!$Z$26="","",'_REFLO_BRIDGE'!$Z$26)</x:f>
      </x:c>
      <x:c r="J17" s="294" t="str">
        <x:f>IF('_REFLO_BRIDGE'!$AA$26="","",'_REFLO_BRIDGE'!$AA$26)</x:f>
      </x:c>
      <x:c r="K17" s="294" t="str">
        <x:f>IF('_REFLO_BRIDGE'!$AB$26="","",'_REFLO_BRIDGE'!$AB$26)</x:f>
      </x:c>
      <x:c r="L17" s="294" t="str">
        <x:f>IF('_REFLO_BRIDGE'!$AC$26="","",'_REFLO_BRIDGE'!$AC$26)</x:f>
      </x:c>
      <x:c r="M17" s="294" t="str">
        <x:f>IF('_REFLO_BRIDGE'!$AD$26="","",'_REFLO_BRIDGE'!$AD$26)</x:f>
      </x:c>
      <x:c r="N17" s="294" t="str">
        <x:f>IF('_REFLO_BRIDGE'!$AE$26="","",'_REFLO_BRIDGE'!$AE$26)</x:f>
      </x:c>
      <x:c r="O17" s="294" t="str">
        <x:f>IF('_REFLO_BRIDGE'!$AF$26="","",'_REFLO_BRIDGE'!$AF$26)</x:f>
      </x:c>
      <x:c r="P17" s="284" t="str">
        <x:f>IF('_REFLO_BRIDGE'!$AG$26="","",'_REFLO_BRIDGE'!$AG$26)</x:f>
      </x:c>
      <x:c r="Q17" s="1"/>
      <x:c r="R17" s="1"/>
      <x:c r="S17" s="1"/>
      <x:c r="T17" s="1"/>
      <x:c r="U17" s="1"/>
      <x:c r="V17" s="1"/>
      <x:c r="W17" s="1"/>
      <x:c r="X17" s="1"/>
      <x:c r="Y17" s="1"/>
      <x:c r="Z17" s="13"/>
    </x:row>
    <x:row r="18" ht="18" customHeight="1">
      <x:c r="A18" s="54" t="s">
        <x:v>324</x:v>
      </x:c>
      <x:c r="B18" s="54" t="n">
        <x:f>$B$8</x:f>
        <x:v>1.2</x:v>
      </x:c>
      <x:c r="C18" s="91" t="n">
        <x:f>$B18*'14_p4_투자지표'!$E$7</x:f>
        <x:v>24016.8</x:v>
      </x:c>
      <x:c r="D18" s="91" t="n">
        <x:f>$C18/'05_도표1_Valuation'!$C$8-1</x:f>
        <x:v>-0.5425371428571428</x:v>
      </x:c>
      <x:c r="E18" s="54" t="s">
        <x:v>331</x:v>
      </x:c>
      <x:c r="F18" s="1"/>
      <x:c r="G18" s="293" t="str">
        <x:f>IF('_REFLO_BRIDGE'!$X$27="","",'_REFLO_BRIDGE'!$X$27)</x:f>
      </x:c>
      <x:c r="H18" s="284" t="str">
        <x:f>IF('_REFLO_BRIDGE'!$Y$27="","",'_REFLO_BRIDGE'!$Y$27)</x:f>
      </x:c>
      <x:c r="I18" s="294" t="str">
        <x:f>IF('_REFLO_BRIDGE'!$Z$27="","",'_REFLO_BRIDGE'!$Z$27)</x:f>
      </x:c>
      <x:c r="J18" s="294" t="str">
        <x:f>IF('_REFLO_BRIDGE'!$AA$27="","",'_REFLO_BRIDGE'!$AA$27)</x:f>
      </x:c>
      <x:c r="K18" s="294" t="str">
        <x:f>IF('_REFLO_BRIDGE'!$AB$27="","",'_REFLO_BRIDGE'!$AB$27)</x:f>
      </x:c>
      <x:c r="L18" s="294" t="str">
        <x:f>IF('_REFLO_BRIDGE'!$AC$27="","",'_REFLO_BRIDGE'!$AC$27)</x:f>
      </x:c>
      <x:c r="M18" s="294" t="str">
        <x:f>IF('_REFLO_BRIDGE'!$AD$27="","",'_REFLO_BRIDGE'!$AD$27)</x:f>
      </x:c>
      <x:c r="N18" s="294" t="str">
        <x:f>IF('_REFLO_BRIDGE'!$AE$27="","",'_REFLO_BRIDGE'!$AE$27)</x:f>
      </x:c>
      <x:c r="O18" s="294" t="str">
        <x:f>IF('_REFLO_BRIDGE'!$AF$27="","",'_REFLO_BRIDGE'!$AF$27)</x:f>
      </x:c>
      <x:c r="P18" s="284" t="str">
        <x:f>IF('_REFLO_BRIDGE'!$AG$27="","",'_REFLO_BRIDGE'!$AG$27)</x:f>
      </x:c>
      <x:c r="Q18" s="1"/>
      <x:c r="R18" s="1"/>
      <x:c r="S18" s="1"/>
      <x:c r="T18" s="1"/>
      <x:c r="U18" s="1"/>
      <x:c r="V18" s="1"/>
      <x:c r="W18" s="1"/>
      <x:c r="X18" s="1"/>
      <x:c r="Y18" s="1"/>
      <x:c r="Z18" s="13"/>
    </x:row>
    <x:row r="19" ht="18" customHeight="1">
      <x:c r="A19" s="54" t="s">
        <x:v>325</x:v>
      </x:c>
      <x:c r="B19" s="54" t="n">
        <x:f>$B$9</x:f>
        <x:v>0.8</x:v>
      </x:c>
      <x:c r="C19" s="91" t="n">
        <x:f>$B19*'14_p4_투자지표'!$E$7</x:f>
        <x:v>16011.2</x:v>
      </x:c>
      <x:c r="D19" s="91" t="n">
        <x:f>$C19/'05_도표1_Valuation'!$C$8-1</x:f>
        <x:v>-0.6950247619047618</x:v>
      </x:c>
      <x:c r="E19" s="54" t="s">
        <x:v>331</x:v>
      </x:c>
      <x:c r="F19" s="1"/>
      <x:c r="G19" s="293" t="str">
        <x:f>IF('_REFLO_BRIDGE'!$X$28="","",'_REFLO_BRIDGE'!$X$28)</x:f>
      </x:c>
      <x:c r="H19" s="284" t="str">
        <x:f>IF('_REFLO_BRIDGE'!$Y$28="","",'_REFLO_BRIDGE'!$Y$28)</x:f>
      </x:c>
      <x:c r="I19" s="294" t="str">
        <x:f>IF('_REFLO_BRIDGE'!$Z$28="","",'_REFLO_BRIDGE'!$Z$28)</x:f>
      </x:c>
      <x:c r="J19" s="294" t="str">
        <x:f>IF('_REFLO_BRIDGE'!$AA$28="","",'_REFLO_BRIDGE'!$AA$28)</x:f>
      </x:c>
      <x:c r="K19" s="294" t="str">
        <x:f>IF('_REFLO_BRIDGE'!$AB$28="","",'_REFLO_BRIDGE'!$AB$28)</x:f>
      </x:c>
      <x:c r="L19" s="294" t="str">
        <x:f>IF('_REFLO_BRIDGE'!$AC$28="","",'_REFLO_BRIDGE'!$AC$28)</x:f>
      </x:c>
      <x:c r="M19" s="294" t="str">
        <x:f>IF('_REFLO_BRIDGE'!$AD$28="","",'_REFLO_BRIDGE'!$AD$28)</x:f>
      </x:c>
      <x:c r="N19" s="294" t="str">
        <x:f>IF('_REFLO_BRIDGE'!$AE$28="","",'_REFLO_BRIDGE'!$AE$28)</x:f>
      </x:c>
      <x:c r="O19" s="294" t="str">
        <x:f>IF('_REFLO_BRIDGE'!$AF$28="","",'_REFLO_BRIDGE'!$AF$28)</x:f>
      </x:c>
      <x:c r="P19" s="284" t="str">
        <x:f>IF('_REFLO_BRIDGE'!$AG$28="","",'_REFLO_BRIDGE'!$AG$28)</x:f>
      </x:c>
      <x:c r="Q19" s="1"/>
      <x:c r="R19" s="1"/>
      <x:c r="S19" s="1"/>
      <x:c r="T19" s="1"/>
      <x:c r="U19" s="1"/>
      <x:c r="V19" s="1"/>
      <x:c r="W19" s="1"/>
      <x:c r="X19" s="1"/>
      <x:c r="Y19" s="1"/>
      <x:c r="Z19" s="13"/>
    </x:row>
    <x:row r="20" ht="18" customHeight="1">
      <x:c r="A20" s="12"/>
      <x:c r="B20" s="1"/>
      <x:c r="C20" s="1"/>
      <x:c r="D20" s="1"/>
      <x:c r="E20" s="1"/>
      <x:c r="F20" s="1"/>
      <x:c r="G20" s="293" t="str">
        <x:f>IF('_REFLO_BRIDGE'!$X$29="","",'_REFLO_BRIDGE'!$X$29)</x:f>
      </x:c>
      <x:c r="H20" s="284" t="str">
        <x:f>IF('_REFLO_BRIDGE'!$Y$29="","",'_REFLO_BRIDGE'!$Y$29)</x:f>
      </x:c>
      <x:c r="I20" s="294" t="str">
        <x:f>IF('_REFLO_BRIDGE'!$Z$29="","",'_REFLO_BRIDGE'!$Z$29)</x:f>
      </x:c>
      <x:c r="J20" s="294" t="str">
        <x:f>IF('_REFLO_BRIDGE'!$AA$29="","",'_REFLO_BRIDGE'!$AA$29)</x:f>
      </x:c>
      <x:c r="K20" s="294" t="str">
        <x:f>IF('_REFLO_BRIDGE'!$AB$29="","",'_REFLO_BRIDGE'!$AB$29)</x:f>
      </x:c>
      <x:c r="L20" s="294" t="str">
        <x:f>IF('_REFLO_BRIDGE'!$AC$29="","",'_REFLO_BRIDGE'!$AC$29)</x:f>
      </x:c>
      <x:c r="M20" s="294" t="str">
        <x:f>IF('_REFLO_BRIDGE'!$AD$29="","",'_REFLO_BRIDGE'!$AD$29)</x:f>
      </x:c>
      <x:c r="N20" s="294" t="str">
        <x:f>IF('_REFLO_BRIDGE'!$AE$29="","",'_REFLO_BRIDGE'!$AE$29)</x:f>
      </x:c>
      <x:c r="O20" s="294" t="str">
        <x:f>IF('_REFLO_BRIDGE'!$AF$29="","",'_REFLO_BRIDGE'!$AF$29)</x:f>
      </x:c>
      <x:c r="P20" s="284" t="str">
        <x:f>IF('_REFLO_BRIDGE'!$AG$29="","",'_REFLO_BRIDGE'!$AG$29)</x:f>
      </x:c>
      <x:c r="Q20" s="1"/>
      <x:c r="R20" s="1"/>
      <x:c r="S20" s="1"/>
      <x:c r="T20" s="1"/>
      <x:c r="U20" s="1"/>
      <x:c r="V20" s="1"/>
      <x:c r="W20" s="1"/>
      <x:c r="X20" s="1"/>
      <x:c r="Y20" s="1"/>
      <x:c r="Z20" s="13"/>
    </x:row>
    <x:row r="21" ht="18" customHeight="1">
      <x:c r="A21" s="164" t="s">
        <x:v>330</x:v>
      </x:c>
      <x:c r="B21" s="148"/>
      <x:c r="C21" s="148"/>
      <x:c r="D21" s="148"/>
      <x:c r="E21" s="148"/>
      <x:c r="F21" s="1"/>
      <x:c r="G21" s="293" t="str">
        <x:f>IF('_REFLO_BRIDGE'!$X$30="","",'_REFLO_BRIDGE'!$X$30)</x:f>
      </x:c>
      <x:c r="H21" s="284" t="str">
        <x:f>IF('_REFLO_BRIDGE'!$Y$30="","",'_REFLO_BRIDGE'!$Y$30)</x:f>
      </x:c>
      <x:c r="I21" s="294" t="str">
        <x:f>IF('_REFLO_BRIDGE'!$Z$30="","",'_REFLO_BRIDGE'!$Z$30)</x:f>
      </x:c>
      <x:c r="J21" s="294" t="str">
        <x:f>IF('_REFLO_BRIDGE'!$AA$30="","",'_REFLO_BRIDGE'!$AA$30)</x:f>
      </x:c>
      <x:c r="K21" s="294" t="str">
        <x:f>IF('_REFLO_BRIDGE'!$AB$30="","",'_REFLO_BRIDGE'!$AB$30)</x:f>
      </x:c>
      <x:c r="L21" s="294" t="str">
        <x:f>IF('_REFLO_BRIDGE'!$AC$30="","",'_REFLO_BRIDGE'!$AC$30)</x:f>
      </x:c>
      <x:c r="M21" s="294" t="str">
        <x:f>IF('_REFLO_BRIDGE'!$AD$30="","",'_REFLO_BRIDGE'!$AD$30)</x:f>
      </x:c>
      <x:c r="N21" s="294" t="str">
        <x:f>IF('_REFLO_BRIDGE'!$AE$30="","",'_REFLO_BRIDGE'!$AE$30)</x:f>
      </x:c>
      <x:c r="O21" s="294" t="str">
        <x:f>IF('_REFLO_BRIDGE'!$AF$30="","",'_REFLO_BRIDGE'!$AF$30)</x:f>
      </x:c>
      <x:c r="P21" s="284" t="str">
        <x:f>IF('_REFLO_BRIDGE'!$AG$30="","",'_REFLO_BRIDGE'!$AG$30)</x:f>
      </x:c>
      <x:c r="Q21" s="1"/>
      <x:c r="R21" s="1"/>
      <x:c r="S21" s="1"/>
      <x:c r="T21" s="1"/>
      <x:c r="U21" s="1"/>
      <x:c r="V21" s="1"/>
      <x:c r="W21" s="1"/>
      <x:c r="X21" s="1"/>
      <x:c r="Y21" s="1"/>
      <x:c r="Z21" s="13"/>
    </x:row>
    <x:row r="22" ht="18" customHeight="1">
      <x:c r="A22" s="12"/>
      <x:c r="B22" s="1"/>
      <x:c r="C22" s="1"/>
      <x:c r="D22" s="1"/>
      <x:c r="E22" s="1"/>
      <x:c r="F22" s="1"/>
      <x:c r="G22" s="293" t="str">
        <x:f>IF('_REFLO_BRIDGE'!$X$31="","",'_REFLO_BRIDGE'!$X$31)</x:f>
      </x:c>
      <x:c r="H22" s="284" t="str">
        <x:f>IF('_REFLO_BRIDGE'!$Y$31="","",'_REFLO_BRIDGE'!$Y$31)</x:f>
      </x:c>
      <x:c r="I22" s="294" t="str">
        <x:f>IF('_REFLO_BRIDGE'!$Z$31="","",'_REFLO_BRIDGE'!$Z$31)</x:f>
      </x:c>
      <x:c r="J22" s="294" t="str">
        <x:f>IF('_REFLO_BRIDGE'!$AA$31="","",'_REFLO_BRIDGE'!$AA$31)</x:f>
      </x:c>
      <x:c r="K22" s="294" t="str">
        <x:f>IF('_REFLO_BRIDGE'!$AB$31="","",'_REFLO_BRIDGE'!$AB$31)</x:f>
      </x:c>
      <x:c r="L22" s="294" t="str">
        <x:f>IF('_REFLO_BRIDGE'!$AC$31="","",'_REFLO_BRIDGE'!$AC$31)</x:f>
      </x:c>
      <x:c r="M22" s="294" t="str">
        <x:f>IF('_REFLO_BRIDGE'!$AD$31="","",'_REFLO_BRIDGE'!$AD$31)</x:f>
      </x:c>
      <x:c r="N22" s="294" t="str">
        <x:f>IF('_REFLO_BRIDGE'!$AE$31="","",'_REFLO_BRIDGE'!$AE$31)</x:f>
      </x:c>
      <x:c r="O22" s="294" t="str">
        <x:f>IF('_REFLO_BRIDGE'!$AF$31="","",'_REFLO_BRIDGE'!$AF$31)</x:f>
      </x:c>
      <x:c r="P22" s="284" t="str">
        <x:f>IF('_REFLO_BRIDGE'!$AG$31="","",'_REFLO_BRIDGE'!$AG$31)</x:f>
      </x:c>
      <x:c r="Q22" s="1"/>
      <x:c r="R22" s="1"/>
      <x:c r="S22" s="1"/>
      <x:c r="T22" s="1"/>
      <x:c r="U22" s="1"/>
      <x:c r="V22" s="1"/>
      <x:c r="W22" s="1"/>
      <x:c r="X22" s="1"/>
      <x:c r="Y22" s="1"/>
      <x:c r="Z22" s="13"/>
    </x:row>
    <x:row r="23" ht="18" customHeight="1">
      <x:c r="A23" s="12"/>
      <x:c r="B23" s="1"/>
      <x:c r="C23" s="1"/>
      <x:c r="D23" s="1"/>
      <x:c r="E23" s="1"/>
      <x:c r="F23" s="1"/>
      <x:c r="G23" s="293" t="str">
        <x:f>IF('_REFLO_BRIDGE'!$X$32="","",'_REFLO_BRIDGE'!$X$32)</x:f>
      </x:c>
      <x:c r="H23" s="284" t="str">
        <x:f>IF('_REFLO_BRIDGE'!$Y$32="","",'_REFLO_BRIDGE'!$Y$32)</x:f>
      </x:c>
      <x:c r="I23" s="294" t="str">
        <x:f>IF('_REFLO_BRIDGE'!$Z$32="","",'_REFLO_BRIDGE'!$Z$32)</x:f>
      </x:c>
      <x:c r="J23" s="294" t="str">
        <x:f>IF('_REFLO_BRIDGE'!$AA$32="","",'_REFLO_BRIDGE'!$AA$32)</x:f>
      </x:c>
      <x:c r="K23" s="294" t="str">
        <x:f>IF('_REFLO_BRIDGE'!$AB$32="","",'_REFLO_BRIDGE'!$AB$32)</x:f>
      </x:c>
      <x:c r="L23" s="294" t="str">
        <x:f>IF('_REFLO_BRIDGE'!$AC$32="","",'_REFLO_BRIDGE'!$AC$32)</x:f>
      </x:c>
      <x:c r="M23" s="294" t="str">
        <x:f>IF('_REFLO_BRIDGE'!$AD$32="","",'_REFLO_BRIDGE'!$AD$32)</x:f>
      </x:c>
      <x:c r="N23" s="294" t="str">
        <x:f>IF('_REFLO_BRIDGE'!$AE$32="","",'_REFLO_BRIDGE'!$AE$32)</x:f>
      </x:c>
      <x:c r="O23" s="294" t="str">
        <x:f>IF('_REFLO_BRIDGE'!$AF$32="","",'_REFLO_BRIDGE'!$AF$32)</x:f>
      </x:c>
      <x:c r="P23" s="284" t="str">
        <x:f>IF('_REFLO_BRIDGE'!$AG$32="","",'_REFLO_BRIDGE'!$AG$32)</x:f>
      </x:c>
      <x:c r="Q23" s="1"/>
      <x:c r="R23" s="1"/>
      <x:c r="S23" s="1"/>
      <x:c r="T23" s="1"/>
      <x:c r="U23" s="1"/>
      <x:c r="V23" s="1"/>
      <x:c r="W23" s="1"/>
      <x:c r="X23" s="1"/>
      <x:c r="Y23" s="1"/>
      <x:c r="Z23" s="13"/>
    </x:row>
    <x:row r="24" ht="18" customHeight="1">
      <x:c r="A24" s="12"/>
      <x:c r="B24" s="1"/>
      <x:c r="C24" s="1"/>
      <x:c r="D24" s="1"/>
      <x:c r="E24" s="1"/>
      <x:c r="F24" s="1"/>
      <x:c r="G24" s="293" t="str">
        <x:f>IF('_REFLO_BRIDGE'!$X$33="","",'_REFLO_BRIDGE'!$X$33)</x:f>
      </x:c>
      <x:c r="H24" s="284" t="str">
        <x:f>IF('_REFLO_BRIDGE'!$Y$33="","",'_REFLO_BRIDGE'!$Y$33)</x:f>
      </x:c>
      <x:c r="I24" s="294" t="str">
        <x:f>IF('_REFLO_BRIDGE'!$Z$33="","",'_REFLO_BRIDGE'!$Z$33)</x:f>
      </x:c>
      <x:c r="J24" s="294" t="str">
        <x:f>IF('_REFLO_BRIDGE'!$AA$33="","",'_REFLO_BRIDGE'!$AA$33)</x:f>
      </x:c>
      <x:c r="K24" s="294" t="str">
        <x:f>IF('_REFLO_BRIDGE'!$AB$33="","",'_REFLO_BRIDGE'!$AB$33)</x:f>
      </x:c>
      <x:c r="L24" s="294" t="str">
        <x:f>IF('_REFLO_BRIDGE'!$AC$33="","",'_REFLO_BRIDGE'!$AC$33)</x:f>
      </x:c>
      <x:c r="M24" s="294" t="str">
        <x:f>IF('_REFLO_BRIDGE'!$AD$33="","",'_REFLO_BRIDGE'!$AD$33)</x:f>
      </x:c>
      <x:c r="N24" s="294" t="str">
        <x:f>IF('_REFLO_BRIDGE'!$AE$33="","",'_REFLO_BRIDGE'!$AE$33)</x:f>
      </x:c>
      <x:c r="O24" s="294" t="str">
        <x:f>IF('_REFLO_BRIDGE'!$AF$33="","",'_REFLO_BRIDGE'!$AF$33)</x:f>
      </x:c>
      <x:c r="P24" s="284" t="str">
        <x:f>IF('_REFLO_BRIDGE'!$AG$33="","",'_REFLO_BRIDGE'!$AG$33)</x:f>
      </x:c>
      <x:c r="Q24" s="1"/>
      <x:c r="R24" s="1"/>
      <x:c r="S24" s="1"/>
      <x:c r="T24" s="1"/>
      <x:c r="U24" s="1"/>
      <x:c r="V24" s="1"/>
      <x:c r="W24" s="1"/>
      <x:c r="X24" s="1"/>
      <x:c r="Y24" s="1"/>
      <x:c r="Z24" s="13"/>
    </x:row>
    <x:row r="25" ht="18" customHeight="1">
      <x:c r="A25" s="12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3"/>
    </x:row>
    <x:row r="26" ht="18" customHeight="1">
      <x:c r="A26" s="12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3"/>
    </x:row>
    <x:row r="27" ht="18" customHeight="1">
      <x:c r="A27" s="12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3"/>
    </x:row>
    <x:row r="28" ht="18" customHeight="1">
      <x:c r="A28" s="12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3"/>
    </x:row>
    <x:row r="29" ht="18" customHeight="1">
      <x:c r="A29" s="12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3"/>
    </x:row>
    <x:row r="30" ht="18" customHeight="1">
      <x:c r="A30" s="12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3"/>
    </x:row>
    <x:row r="31" ht="18" customHeight="1">
      <x:c r="A31" s="12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3"/>
    </x:row>
    <x:row r="32" ht="18" customHeight="1">
      <x:c r="A32" s="12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3"/>
    </x:row>
    <x:row r="33" ht="18" customHeight="1">
      <x:c r="A33" s="12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3"/>
    </x:row>
    <x:row r="34" ht="18" customHeight="1">
      <x:c r="A34" s="12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3"/>
    </x:row>
    <x:row r="35" ht="18" customHeight="1">
      <x:c r="A35" s="12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3"/>
    </x:row>
    <x:row r="36" ht="18" customHeight="1">
      <x:c r="A36" s="12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3"/>
    </x:row>
    <x:row r="37" ht="18" customHeight="1">
      <x:c r="A37" s="12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3"/>
    </x:row>
    <x:row r="38" ht="18" customHeight="1">
      <x:c r="A38" s="12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3"/>
    </x:row>
    <x:row r="39" ht="18" customHeight="1">
      <x:c r="A39" s="12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3"/>
    </x:row>
    <x:row r="40" ht="18" customHeight="1">
      <x:c r="A40" s="12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3"/>
    </x:row>
    <x:row r="41" ht="18" customHeight="1">
      <x:c r="A41" s="12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3"/>
    </x:row>
    <x:row r="42" ht="18" customHeight="1">
      <x:c r="A42" s="12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3"/>
    </x:row>
    <x:row r="43" ht="18" customHeight="1">
      <x:c r="A43" s="12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3"/>
    </x:row>
    <x:row r="44" ht="18" customHeight="1">
      <x:c r="A44" s="12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3"/>
    </x:row>
    <x:row r="45" ht="18" customHeight="1">
      <x:c r="A45" s="12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3"/>
    </x:row>
    <x:row r="46" ht="18" customHeight="1">
      <x:c r="A46" s="12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3"/>
    </x:row>
    <x:row r="47" ht="18" customHeight="1">
      <x:c r="A47" s="12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3"/>
    </x:row>
    <x:row r="48" ht="18" customHeight="1">
      <x:c r="A48" s="12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3"/>
    </x:row>
    <x:row r="49" ht="18" customHeight="1">
      <x:c r="A49" s="12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3"/>
    </x:row>
    <x:row r="50" ht="18" customHeight="1">
      <x:c r="A50" s="12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3"/>
    </x:row>
    <x:row r="51" ht="18" customHeight="1">
      <x:c r="A51" s="12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3"/>
    </x:row>
    <x:row r="52" ht="18" customHeight="1">
      <x:c r="A52" s="12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3"/>
    </x:row>
    <x:row r="53" ht="18" customHeight="1">
      <x:c r="A53" s="12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3"/>
    </x:row>
    <x:row r="54" ht="18" customHeight="1">
      <x:c r="A54" s="12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3"/>
    </x:row>
    <x:row r="55" ht="18" customHeight="1">
      <x:c r="A55" s="12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3"/>
    </x:row>
    <x:row r="56" ht="18" customHeight="1">
      <x:c r="A56" s="12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3"/>
    </x:row>
    <x:row r="57" ht="18" customHeight="1">
      <x:c r="A57" s="12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3"/>
    </x:row>
    <x:row r="58" ht="18" customHeight="1">
      <x:c r="A58" s="12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3"/>
    </x:row>
    <x:row r="59" ht="18" customHeight="1">
      <x:c r="A59" s="12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3"/>
    </x:row>
    <x:row r="60" ht="18" customHeight="1">
      <x:c r="A60" s="9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</x:sheetData>
  <x:mergeCells>
    <x:mergeCell ref="A2:E2"/>
    <x:mergeCell ref="A21:E21"/>
    <x:mergeCell ref="G2:P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1F6E6A"/>
  </x:sheetPr>
  <x:sheetViews>
    <x:sheetView showGridLines="0" workbookViewId="0"/>
  </x:sheetViews>
  <x:sheetFormatPr defaultColWidth="8.69921875" defaultRowHeight="17.399999618530273"/>
  <x:cols>
    <x:col min="1" max="1" width="20" customWidth="1"/>
    <x:col min="2" max="26" width="10" customWidth="1"/>
  </x:cols>
  <x:sheetData>
    <x:row r="1" ht="22.049999237060547" customHeight="1">
      <x:c r="A1" s="49" t="s">
        <x:v>332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1"/>
    </x:row>
    <x:row r="2" ht="18" customHeight="1">
      <x:c r="A2" s="166" t="s">
        <x:v>333</x:v>
      </x:c>
      <x:c r="B2" s="148"/>
      <x:c r="C2" s="148"/>
      <x:c r="D2" s="148"/>
      <x:c r="E2" s="148"/>
      <x:c r="F2" s="148"/>
      <x:c r="G2" s="148"/>
      <x:c r="H2" s="148"/>
      <x:c r="I2" s="148"/>
      <x:c r="J2" s="148"/>
      <x:c r="K2" s="148"/>
      <x:c r="L2" s="148"/>
      <x:c r="M2" s="148"/>
      <x:c r="N2" s="148"/>
      <x:c r="O2" s="148"/>
      <x:c r="P2" s="148"/>
      <x:c r="Q2" s="148"/>
      <x:c r="R2" s="148"/>
      <x:c r="S2" s="148"/>
      <x:c r="T2" s="148"/>
      <x:c r="U2" s="148"/>
      <x:c r="V2" s="148"/>
      <x:c r="W2" s="148"/>
      <x:c r="X2" s="148"/>
      <x:c r="Y2" s="148"/>
      <x:c r="Z2" s="1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9.950000762939453" customHeight="1">
      <x:c r="A4" s="53" t="s">
        <x:v>3</x:v>
      </x:c>
      <x:c r="B4" s="53" t="s">
        <x:v>334</x:v>
      </x:c>
      <x:c r="C4" s="53" t="s">
        <x:v>335</x:v>
      </x:c>
      <x:c r="D4" s="53" t="s">
        <x:v>336</x:v>
      </x:c>
      <x:c r="E4" s="53" t="s">
        <x:v>337</x:v>
      </x:c>
      <x:c r="F4" s="53" t="s">
        <x:v>338</x:v>
      </x:c>
      <x:c r="G4" s="53" t="s">
        <x:v>339</x:v>
      </x:c>
      <x:c r="H4" s="53" t="s">
        <x:v>340</x:v>
      </x:c>
      <x:c r="I4" s="53" t="s">
        <x:v>341</x:v>
      </x:c>
      <x:c r="J4" s="53" t="s">
        <x:v>342</x:v>
      </x:c>
      <x:c r="K4" s="53" t="s">
        <x:v>343</x:v>
      </x:c>
      <x:c r="L4" s="53" t="s">
        <x:v>344</x:v>
      </x:c>
      <x:c r="M4" s="53" t="s">
        <x:v>345</x:v>
      </x:c>
      <x:c r="N4" s="53" t="s">
        <x:v>346</x:v>
      </x:c>
      <x:c r="O4" s="53" t="s">
        <x:v>347</x:v>
      </x:c>
      <x:c r="P4" s="53" t="s">
        <x:v>348</x:v>
      </x:c>
      <x:c r="Q4" s="53" t="s">
        <x:v>349</x:v>
      </x:c>
      <x:c r="R4" s="53" t="s">
        <x:v>114</x:v>
      </x:c>
      <x:c r="S4" s="53" t="s">
        <x:v>115</x:v>
      </x:c>
      <x:c r="T4" s="53" t="s">
        <x:v>116</x:v>
      </x:c>
      <x:c r="U4" s="53" t="s">
        <x:v>117</x:v>
      </x:c>
      <x:c r="V4" s="53" t="s">
        <x:v>350</x:v>
      </x:c>
      <x:c r="W4" s="53" t="s">
        <x:v>351</x:v>
      </x:c>
      <x:c r="X4" s="53" t="s">
        <x:v>352</x:v>
      </x:c>
      <x:c r="Y4" s="53" t="s">
        <x:v>353</x:v>
      </x:c>
      <x:c r="Z4" s="1"/>
    </x:row>
    <x:row r="5" ht="18" customHeight="1">
      <x:c r="A5" s="54" t="s">
        <x:v>145</x:v>
      </x:c>
      <x:c r="B5" s="123">
        <x:v>235</x:v>
      </x:c>
      <x:c r="C5" s="123">
        <x:v>230</x:v>
      </x:c>
      <x:c r="D5" s="123">
        <x:v>256</x:v>
      </x:c>
      <x:c r="E5" s="123">
        <x:v>283</x:v>
      </x:c>
      <x:c r="F5" s="123">
        <x:v>296</x:v>
      </x:c>
      <x:c r="G5" s="123">
        <x:v>343</x:v>
      </x:c>
      <x:c r="H5" s="123">
        <x:v>373</x:v>
      </x:c>
      <x:c r="I5" s="123">
        <x:v>296</x:v>
      </x:c>
      <x:c r="J5" s="123">
        <x:v>218</x:v>
      </x:c>
      <x:c r="K5" s="123">
        <x:v>220</x:v>
      </x:c>
      <x:c r="L5" s="123">
        <x:v>238</x:v>
      </x:c>
      <x:c r="M5" s="123">
        <x:v>235</x:v>
      </x:c>
      <x:c r="N5" s="78">
        <x:v>214.8</x:v>
      </x:c>
      <x:c r="O5" s="78">
        <x:v>238.3</x:v>
      </x:c>
      <x:c r="P5" s="78">
        <x:v>232.7</x:v>
      </x:c>
      <x:c r="Q5" s="78">
        <x:v>206.4</x:v>
      </x:c>
      <x:c r="R5" s="78">
        <x:v>215.4</x:v>
      </x:c>
      <x:c r="S5" s="78">
        <x:v>245.9</x:v>
      </x:c>
      <x:c r="T5" s="78">
        <x:v>286.2</x:v>
      </x:c>
      <x:c r="U5" s="78">
        <x:v>317.89999999999998</x:v>
      </x:c>
      <x:c r="V5" s="78">
        <x:v>330</x:v>
      </x:c>
      <x:c r="W5" s="78">
        <x:v>354</x:v>
      </x:c>
      <x:c r="X5" s="78">
        <x:v>397.7</x:v>
      </x:c>
      <x:c r="Y5" s="78">
        <x:v>403.9</x:v>
      </x:c>
      <x:c r="Z5" s="1"/>
    </x:row>
    <x:row r="6" ht="18" customHeight="1">
      <x:c r="A6" s="54" t="s">
        <x:v>135</x:v>
      </x:c>
      <x:c r="B6" s="123">
        <x:v>5.9</x:v>
      </x:c>
      <x:c r="C6" s="123">
        <x:v>8.1</x:v>
      </x:c>
      <x:c r="D6" s="123">
        <x:v>23</x:v>
      </x:c>
      <x:c r="E6" s="123">
        <x:v>25.5</x:v>
      </x:c>
      <x:c r="F6" s="123">
        <x:v>42.9</x:v>
      </x:c>
      <x:c r="G6" s="123">
        <x:v>61.7</x:v>
      </x:c>
      <x:c r="H6" s="123">
        <x:v>78.3</x:v>
      </x:c>
      <x:c r="I6" s="123">
        <x:v>48.8</x:v>
      </x:c>
      <x:c r="J6" s="123">
        <x:v>9.8000000000000007</x:v>
      </x:c>
      <x:c r="K6" s="123">
        <x:v>6.6</x:v>
      </x:c>
      <x:c r="L6" s="123">
        <x:v>2.4</x:v>
      </x:c>
      <x:c r="M6" s="123">
        <x:v>8.1999999999999993</x:v>
      </x:c>
      <x:c r="N6" s="78">
        <x:v>-2.9</x:v>
      </x:c>
      <x:c r="O6" s="78">
        <x:v>10.7</x:v>
      </x:c>
      <x:c r="P6" s="78">
        <x:v>9.1999999999999993</x:v>
      </x:c>
      <x:c r="Q6" s="78">
        <x:v>-6</x:v>
      </x:c>
      <x:c r="R6" s="78">
        <x:v>-6.2</x:v>
      </x:c>
      <x:c r="S6" s="78">
        <x:v>1.9</x:v>
      </x:c>
      <x:c r="T6" s="78">
        <x:v>24.4</x:v>
      </x:c>
      <x:c r="U6" s="78">
        <x:v>29</x:v>
      </x:c>
      <x:c r="V6" s="78">
        <x:v>40.200000000000003</x:v>
      </x:c>
      <x:c r="W6" s="78">
        <x:v>43</x:v>
      </x:c>
      <x:c r="X6" s="78">
        <x:v>48.4</x:v>
      </x:c>
      <x:c r="Y6" s="78">
        <x:v>48.4</x:v>
      </x:c>
      <x:c r="Z6" s="1"/>
    </x:row>
    <x:row r="7" ht="18" customHeight="1">
      <x:c r="A7" s="54" t="s">
        <x:v>354</x:v>
      </x:c>
      <x:c r="B7" s="124" t="n">
        <x:f t="shared" ref="B7:Y7" si="0">B6/B5</x:f>
        <x:v>0.025106382978723404</x:v>
      </x:c>
      <x:c r="C7" s="124">
        <x:f t="shared" si="0"/>
        <x:v>3.5217391304347825E-2</x:v>
      </x:c>
      <x:c r="D7" s="124">
        <x:f t="shared" si="0"/>
        <x:v>8.984375E-2</x:v>
      </x:c>
      <x:c r="E7" s="124">
        <x:f t="shared" si="0"/>
        <x:v>9.0106007067137811E-2</x:v>
      </x:c>
      <x:c r="F7" s="124">
        <x:f t="shared" si="0"/>
        <x:v>0.14493243243243242</x:v>
      </x:c>
      <x:c r="G7" s="124">
        <x:f t="shared" si="0"/>
        <x:v>0.17988338192419825</x:v>
      </x:c>
      <x:c r="H7" s="124">
        <x:f t="shared" si="0"/>
        <x:v>0.2099195710455764</x:v>
      </x:c>
      <x:c r="I7" s="124">
        <x:f t="shared" si="0"/>
        <x:v>0.16486486486486485</x:v>
      </x:c>
      <x:c r="J7" s="124">
        <x:f t="shared" si="0"/>
        <x:v>4.4954128440366975E-2</x:v>
      </x:c>
      <x:c r="K7" s="124">
        <x:f t="shared" si="0"/>
        <x:v>0.03</x:v>
      </x:c>
      <x:c r="L7" s="124">
        <x:f t="shared" si="0"/>
        <x:v>1.0084033613445377E-2</x:v>
      </x:c>
      <x:c r="M7" s="124">
        <x:f t="shared" si="0"/>
        <x:v>3.4893617021276593E-2</x:v>
      </x:c>
      <x:c r="N7" s="124">
        <x:f t="shared" si="0"/>
        <x:v>-1.3500931098696461E-2</x:v>
      </x:c>
      <x:c r="O7" s="124">
        <x:f t="shared" si="0"/>
        <x:v>4.49013848090642E-2</x:v>
      </x:c>
      <x:c r="P7" s="124">
        <x:f t="shared" si="0"/>
        <x:v>3.9535883111302107E-2</x:v>
      </x:c>
      <x:c r="Q7" s="124">
        <x:f t="shared" si="0"/>
        <x:v>-2.9069767441860465E-2</x:v>
      </x:c>
      <x:c r="R7" s="124">
        <x:f t="shared" si="0"/>
        <x:v>-2.8783658310120707E-2</x:v>
      </x:c>
      <x:c r="S7" s="124">
        <x:f t="shared" si="0"/>
        <x:v>7.7267181781211867E-3</x:v>
      </x:c>
      <x:c r="T7" s="124">
        <x:f t="shared" si="0"/>
        <x:v>8.5255066387141851E-2</x:v>
      </x:c>
      <x:c r="U7" s="124">
        <x:f t="shared" si="0"/>
        <x:v>9.1223655237496079E-2</x:v>
      </x:c>
      <x:c r="V7" s="124">
        <x:f t="shared" si="0"/>
        <x:v>0.12181818181818183</x:v>
      </x:c>
      <x:c r="W7" s="124">
        <x:f t="shared" si="0"/>
        <x:v>0.12146892655367232</x:v>
      </x:c>
      <x:c r="X7" s="124">
        <x:f t="shared" si="0"/>
        <x:v>0.12169977369876792</x:v>
      </x:c>
      <x:c r="Y7" s="124">
        <x:f t="shared" si="0"/>
        <x:v>0.11983164149541967</x:v>
      </x:c>
      <x:c r="Z7" s="1"/>
    </x:row>
    <x:row r="8" ht="18" customHeight="1">
      <x:c r="A8" s="12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3"/>
      <x:c r="Z8" s="1"/>
    </x:row>
    <x:row r="9" ht="18" customHeight="1">
      <x:c r="A9" s="150" t="s">
        <x:v>355</x:v>
      </x:c>
      <x:c r="B9" s="151"/>
      <x:c r="C9" s="151"/>
      <x:c r="D9" s="151"/>
      <x:c r="E9" s="151"/>
      <x:c r="F9" s="151"/>
      <x:c r="G9" s="151"/>
      <x:c r="H9" s="151"/>
      <x:c r="I9" s="151"/>
      <x:c r="J9" s="151"/>
      <x:c r="K9" s="151"/>
      <x:c r="L9" s="151"/>
      <x:c r="M9" s="151"/>
      <x:c r="N9" s="151"/>
      <x:c r="O9" s="151"/>
      <x:c r="P9" s="151"/>
      <x:c r="Q9" s="151"/>
      <x:c r="R9" s="151"/>
      <x:c r="S9" s="151"/>
      <x:c r="T9" s="151"/>
      <x:c r="U9" s="151"/>
      <x:c r="V9" s="151"/>
      <x:c r="W9" s="151"/>
      <x:c r="X9" s="151"/>
      <x:c r="Y9" s="152"/>
      <x:c r="Z9" s="1"/>
    </x:row>
    <x:row r="10" ht="18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8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8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8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8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8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8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8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8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8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8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8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8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8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8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8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8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8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8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8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8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8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8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8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8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</x:sheetData>
  <x:mergeCells>
    <x:mergeCell ref="A9:Y9"/>
    <x:mergeCell ref="A2:Y2"/>
  </x:mergeCells>
  <x:pageMargins left="0.7" right="0.7" top="0.75" bottom="0.75" header="0.3" footer="0.3"/>
  <x:drawing xmlns:r="http://schemas.openxmlformats.org/officeDocument/2006/relationships" r:id="R77a484138ea04ae4"/>
</x:worksheet>
</file>

<file path=xl/worksheets/sheet14.xml><?xml version="1.0" encoding="utf-8"?>
<x:worksheet xmlns:x="http://schemas.openxmlformats.org/spreadsheetml/2006/main">
  <x:sheetPr>
    <x:tabColor rgb="FF1F6E6A"/>
  </x:sheetPr>
  <x:sheetViews>
    <x:sheetView showGridLines="0" workbookViewId="0"/>
  </x:sheetViews>
  <x:sheetFormatPr defaultColWidth="8.69921875" defaultRowHeight="17.399999618530273"/>
  <x:cols>
    <x:col min="1" max="1" width="20" customWidth="1"/>
    <x:col min="2" max="26" width="10" customWidth="1"/>
  </x:cols>
  <x:sheetData>
    <x:row r="1" ht="22.049999237060547" customHeight="1">
      <x:c r="A1" s="49" t="s">
        <x:v>356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1"/>
    </x:row>
    <x:row r="2" ht="18" customHeight="1">
      <x:c r="A2" s="166" t="s">
        <x:v>357</x:v>
      </x:c>
      <x:c r="B2" s="148"/>
      <x:c r="C2" s="148"/>
      <x:c r="D2" s="148"/>
      <x:c r="E2" s="148"/>
      <x:c r="F2" s="148"/>
      <x:c r="G2" s="148"/>
      <x:c r="H2" s="148"/>
      <x:c r="I2" s="148"/>
      <x:c r="J2" s="148"/>
      <x:c r="K2" s="148"/>
      <x:c r="L2" s="148"/>
      <x:c r="M2" s="148"/>
      <x:c r="N2" s="148"/>
      <x:c r="O2" s="148"/>
      <x:c r="P2" s="148"/>
      <x:c r="Q2" s="148"/>
      <x:c r="R2" s="148"/>
      <x:c r="S2" s="148"/>
      <x:c r="T2" s="148"/>
      <x:c r="U2" s="148"/>
      <x:c r="V2" s="3"/>
      <x:c r="W2" s="3"/>
      <x:c r="X2" s="3"/>
      <x:c r="Y2" s="3"/>
      <x:c r="Z2" s="1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9.950000762939453" customHeight="1">
      <x:c r="A4" s="53" t="s">
        <x:v>3</x:v>
      </x:c>
      <x:c r="B4" s="53" t="s">
        <x:v>334</x:v>
      </x:c>
      <x:c r="C4" s="53" t="s">
        <x:v>335</x:v>
      </x:c>
      <x:c r="D4" s="53" t="s">
        <x:v>336</x:v>
      </x:c>
      <x:c r="E4" s="53" t="s">
        <x:v>337</x:v>
      </x:c>
      <x:c r="F4" s="53" t="s">
        <x:v>338</x:v>
      </x:c>
      <x:c r="G4" s="53" t="s">
        <x:v>339</x:v>
      </x:c>
      <x:c r="H4" s="53" t="s">
        <x:v>340</x:v>
      </x:c>
      <x:c r="I4" s="53" t="s">
        <x:v>341</x:v>
      </x:c>
      <x:c r="J4" s="53" t="s">
        <x:v>342</x:v>
      </x:c>
      <x:c r="K4" s="53" t="s">
        <x:v>343</x:v>
      </x:c>
      <x:c r="L4" s="53" t="s">
        <x:v>344</x:v>
      </x:c>
      <x:c r="M4" s="53" t="s">
        <x:v>345</x:v>
      </x:c>
      <x:c r="N4" s="53" t="s">
        <x:v>346</x:v>
      </x:c>
      <x:c r="O4" s="53" t="s">
        <x:v>347</x:v>
      </x:c>
      <x:c r="P4" s="53" t="s">
        <x:v>348</x:v>
      </x:c>
      <x:c r="Q4" s="53" t="s">
        <x:v>349</x:v>
      </x:c>
      <x:c r="R4" s="53" t="s">
        <x:v>114</x:v>
      </x:c>
      <x:c r="S4" s="53" t="s">
        <x:v>115</x:v>
      </x:c>
      <x:c r="T4" s="53" t="s">
        <x:v>116</x:v>
      </x:c>
      <x:c r="U4" s="1"/>
      <x:c r="V4" s="1"/>
      <x:c r="W4" s="1"/>
      <x:c r="X4" s="1"/>
      <x:c r="Y4" s="1"/>
      <x:c r="Z4" s="1"/>
    </x:row>
    <x:row r="5" ht="18" customHeight="1">
      <x:c r="A5" s="198" t="str">
        <x:f>'_REFLO_BRIDGE'!$AI$5</x:f>
        <x:v>수주잔고</x:v>
      </x:c>
      <x:c r="B5" s="199" t="n">
        <x:f>'_REFLO_BRIDGE'!$AJ$5</x:f>
        <x:v>640</x:v>
      </x:c>
      <x:c r="C5" s="199" t="n">
        <x:f>'_REFLO_BRIDGE'!$AK$5</x:f>
        <x:v>1300</x:v>
      </x:c>
      <x:c r="D5" s="199" t="n">
        <x:f>'_REFLO_BRIDGE'!$AL$5</x:f>
        <x:v>2070</x:v>
      </x:c>
      <x:c r="E5" s="199" t="n">
        <x:f>'_REFLO_BRIDGE'!$AM$5</x:f>
        <x:v>1310</x:v>
      </x:c>
      <x:c r="F5" s="199" t="n">
        <x:f>'_REFLO_BRIDGE'!$AN$5</x:f>
        <x:v>780</x:v>
      </x:c>
      <x:c r="G5" s="199" t="n">
        <x:f>'_REFLO_BRIDGE'!$AO$5</x:f>
        <x:v>1100</x:v>
      </x:c>
      <x:c r="H5" s="199" t="n">
        <x:f>'_REFLO_BRIDGE'!$AP$5</x:f>
        <x:v>610</x:v>
      </x:c>
      <x:c r="I5" s="199" t="n">
        <x:f>'_REFLO_BRIDGE'!$AQ$5</x:f>
        <x:v>330</x:v>
      </x:c>
      <x:c r="J5" s="199" t="n">
        <x:f>'_REFLO_BRIDGE'!$AR$5</x:f>
        <x:v>800</x:v>
      </x:c>
      <x:c r="K5" s="199" t="n">
        <x:f>'_REFLO_BRIDGE'!$AS$5</x:f>
        <x:v>380</x:v>
      </x:c>
      <x:c r="L5" s="199" t="n">
        <x:f>'_REFLO_BRIDGE'!$AT$5</x:f>
        <x:v>1010</x:v>
      </x:c>
      <x:c r="M5" s="199" t="n">
        <x:f>'_REFLO_BRIDGE'!$AU$5</x:f>
        <x:v>340</x:v>
      </x:c>
      <x:c r="N5" s="199" t="n">
        <x:f>'_REFLO_BRIDGE'!$AV$5</x:f>
        <x:v>730</x:v>
      </x:c>
      <x:c r="O5" s="199" t="n">
        <x:f>'_REFLO_BRIDGE'!$AW$5</x:f>
        <x:v>690</x:v>
      </x:c>
      <x:c r="P5" s="199" t="n">
        <x:f>'_REFLO_BRIDGE'!$AX$5</x:f>
        <x:v>780</x:v>
      </x:c>
      <x:c r="Q5" s="199" t="n">
        <x:f>'_REFLO_BRIDGE'!$AY$5</x:f>
        <x:v>360</x:v>
      </x:c>
      <x:c r="R5" s="199" t="n">
        <x:f>'_REFLO_BRIDGE'!$AZ$5</x:f>
        <x:v>800</x:v>
      </x:c>
      <x:c r="S5" s="199" t="n">
        <x:f>'_REFLO_BRIDGE'!$BA$5</x:f>
        <x:v>1290</x:v>
      </x:c>
      <x:c r="T5" s="199" t="n">
        <x:f>'_REFLO_BRIDGE'!$BB$5</x:f>
        <x:v>3080</x:v>
      </x:c>
      <x:c r="U5" s="1"/>
      <x:c r="V5" s="1"/>
      <x:c r="W5" s="1"/>
      <x:c r="X5" s="1"/>
      <x:c r="Y5" s="1"/>
      <x:c r="Z5" s="1"/>
    </x:row>
    <x:row r="6" ht="18" customHeight="1">
      <x:c r="A6" s="200" t="n">
        <x:f>'_REFLO_BRIDGE'!$AI$6</x:f>
        <x:v>0</x:v>
      </x:c>
      <x:c r="B6" s="201" t="n">
        <x:f>'_REFLO_BRIDGE'!$AJ$6</x:f>
        <x:v>0</x:v>
      </x:c>
      <x:c r="C6" s="201" t="n">
        <x:f>'_REFLO_BRIDGE'!$AK$6</x:f>
        <x:v>0</x:v>
      </x:c>
      <x:c r="D6" s="201" t="n">
        <x:f>'_REFLO_BRIDGE'!$AL$6</x:f>
        <x:v>0</x:v>
      </x:c>
      <x:c r="E6" s="201" t="n">
        <x:f>'_REFLO_BRIDGE'!$AM$6</x:f>
        <x:v>0</x:v>
      </x:c>
      <x:c r="F6" s="201" t="n">
        <x:f>'_REFLO_BRIDGE'!$AN$6</x:f>
        <x:v>0</x:v>
      </x:c>
      <x:c r="G6" s="201" t="n">
        <x:f>'_REFLO_BRIDGE'!$AO$6</x:f>
        <x:v>0</x:v>
      </x:c>
      <x:c r="H6" s="201" t="n">
        <x:f>'_REFLO_BRIDGE'!$AP$6</x:f>
        <x:v>0</x:v>
      </x:c>
      <x:c r="I6" s="201" t="n">
        <x:f>'_REFLO_BRIDGE'!$AQ$6</x:f>
        <x:v>0</x:v>
      </x:c>
      <x:c r="J6" s="201" t="n">
        <x:f>'_REFLO_BRIDGE'!$AR$6</x:f>
        <x:v>0</x:v>
      </x:c>
      <x:c r="K6" s="201" t="n">
        <x:f>'_REFLO_BRIDGE'!$AS$6</x:f>
        <x:v>0</x:v>
      </x:c>
      <x:c r="L6" s="201" t="n">
        <x:f>'_REFLO_BRIDGE'!$AT$6</x:f>
        <x:v>0</x:v>
      </x:c>
      <x:c r="M6" s="201" t="n">
        <x:f>'_REFLO_BRIDGE'!$AU$6</x:f>
        <x:v>0</x:v>
      </x:c>
      <x:c r="N6" s="201" t="n">
        <x:f>'_REFLO_BRIDGE'!$AV$6</x:f>
        <x:v>0</x:v>
      </x:c>
      <x:c r="O6" s="201" t="n">
        <x:f>'_REFLO_BRIDGE'!$AW$6</x:f>
        <x:v>0</x:v>
      </x:c>
      <x:c r="P6" s="201" t="n">
        <x:f>'_REFLO_BRIDGE'!$AX$6</x:f>
        <x:v>0</x:v>
      </x:c>
      <x:c r="Q6" s="201" t="n">
        <x:f>'_REFLO_BRIDGE'!$AY$6</x:f>
        <x:v>0</x:v>
      </x:c>
      <x:c r="R6" s="201" t="n">
        <x:f>'_REFLO_BRIDGE'!$AZ$6</x:f>
        <x:v>0</x:v>
      </x:c>
      <x:c r="S6" s="201" t="n">
        <x:f>'_REFLO_BRIDGE'!$BA$6</x:f>
        <x:v>0</x:v>
      </x:c>
      <x:c r="T6" s="202" t="n">
        <x:f>'_REFLO_BRIDGE'!$BB$6</x:f>
        <x:v>0</x:v>
      </x:c>
      <x:c r="U6" s="1"/>
      <x:c r="V6" s="1"/>
      <x:c r="W6" s="1"/>
      <x:c r="X6" s="1"/>
      <x:c r="Y6" s="1"/>
      <x:c r="Z6" s="1"/>
    </x:row>
    <x:row r="7" ht="18" customHeight="1">
      <x:c r="A7" s="203" t="str">
        <x:f>'_REFLO_BRIDGE'!$AI$7</x:f>
        <x:v>자료: 대덕전자, 하나증권 (차트 이미지 판독 근사치, 억원)</x:v>
      </x:c>
      <x:c r="B7" s="204" t="n">
        <x:f>'_REFLO_BRIDGE'!$AJ$7</x:f>
        <x:v>0</x:v>
      </x:c>
      <x:c r="C7" s="204" t="n">
        <x:f>'_REFLO_BRIDGE'!$AK$7</x:f>
        <x:v>0</x:v>
      </x:c>
      <x:c r="D7" s="204" t="n">
        <x:f>'_REFLO_BRIDGE'!$AL$7</x:f>
        <x:v>0</x:v>
      </x:c>
      <x:c r="E7" s="204" t="n">
        <x:f>'_REFLO_BRIDGE'!$AM$7</x:f>
        <x:v>0</x:v>
      </x:c>
      <x:c r="F7" s="204" t="n">
        <x:f>'_REFLO_BRIDGE'!$AN$7</x:f>
        <x:v>0</x:v>
      </x:c>
      <x:c r="G7" s="204" t="n">
        <x:f>'_REFLO_BRIDGE'!$AO$7</x:f>
        <x:v>0</x:v>
      </x:c>
      <x:c r="H7" s="204" t="n">
        <x:f>'_REFLO_BRIDGE'!$AP$7</x:f>
        <x:v>0</x:v>
      </x:c>
      <x:c r="I7" s="204" t="n">
        <x:f>'_REFLO_BRIDGE'!$AQ$7</x:f>
        <x:v>0</x:v>
      </x:c>
      <x:c r="J7" s="204" t="n">
        <x:f>'_REFLO_BRIDGE'!$AR$7</x:f>
        <x:v>0</x:v>
      </x:c>
      <x:c r="K7" s="204" t="n">
        <x:f>'_REFLO_BRIDGE'!$AS$7</x:f>
        <x:v>0</x:v>
      </x:c>
      <x:c r="L7" s="204" t="n">
        <x:f>'_REFLO_BRIDGE'!$AT$7</x:f>
        <x:v>0</x:v>
      </x:c>
      <x:c r="M7" s="204" t="n">
        <x:f>'_REFLO_BRIDGE'!$AU$7</x:f>
        <x:v>0</x:v>
      </x:c>
      <x:c r="N7" s="204" t="n">
        <x:f>'_REFLO_BRIDGE'!$AV$7</x:f>
        <x:v>0</x:v>
      </x:c>
      <x:c r="O7" s="204" t="n">
        <x:f>'_REFLO_BRIDGE'!$AW$7</x:f>
        <x:v>0</x:v>
      </x:c>
      <x:c r="P7" s="204" t="n">
        <x:f>'_REFLO_BRIDGE'!$AX$7</x:f>
        <x:v>0</x:v>
      </x:c>
      <x:c r="Q7" s="204" t="n">
        <x:f>'_REFLO_BRIDGE'!$AY$7</x:f>
        <x:v>0</x:v>
      </x:c>
      <x:c r="R7" s="204" t="n">
        <x:f>'_REFLO_BRIDGE'!$AZ$7</x:f>
        <x:v>0</x:v>
      </x:c>
      <x:c r="S7" s="204" t="n">
        <x:f>'_REFLO_BRIDGE'!$BA$7</x:f>
        <x:v>0</x:v>
      </x:c>
      <x:c r="T7" s="205" t="n">
        <x:f>'_REFLO_BRIDGE'!$BB$7</x:f>
        <x:v>0</x:v>
      </x:c>
      <x:c r="U7" s="1"/>
      <x:c r="V7" s="1"/>
      <x:c r="W7" s="1"/>
      <x:c r="X7" s="1"/>
      <x:c r="Y7" s="1"/>
      <x:c r="Z7" s="1"/>
    </x:row>
    <x:row r="8" ht="18" customHeight="1">
      <x:c r="A8" s="206" t="str">
        <x:f>'_REFLO_BRIDGE'!$AI$8</x:f>
        <x:v>주) 수주잔고는 IFRS 표준 공시 항목이 아니며 대덕전자·하나증권이 제공한 수치로, DART XBRL(사업보고서·분기보고서)에서 구조화된 형태로 확인되지 않았습니다. 임의 추정이 아니라 원문 차트의 눈금을 읽은 근사치임을 밝혀둡니다 (마지막 분기 3Q25 ≈3,080억원으로 최대치를 기록).</x:v>
      </x:c>
      <x:c r="B8" s="207" t="n">
        <x:f>'_REFLO_BRIDGE'!$AJ$8</x:f>
        <x:v>0</x:v>
      </x:c>
      <x:c r="C8" s="207" t="n">
        <x:f>'_REFLO_BRIDGE'!$AK$8</x:f>
        <x:v>0</x:v>
      </x:c>
      <x:c r="D8" s="207" t="n">
        <x:f>'_REFLO_BRIDGE'!$AL$8</x:f>
        <x:v>0</x:v>
      </x:c>
      <x:c r="E8" s="207" t="n">
        <x:f>'_REFLO_BRIDGE'!$AM$8</x:f>
        <x:v>0</x:v>
      </x:c>
      <x:c r="F8" s="207" t="n">
        <x:f>'_REFLO_BRIDGE'!$AN$8</x:f>
        <x:v>0</x:v>
      </x:c>
      <x:c r="G8" s="207" t="n">
        <x:f>'_REFLO_BRIDGE'!$AO$8</x:f>
        <x:v>0</x:v>
      </x:c>
      <x:c r="H8" s="207" t="n">
        <x:f>'_REFLO_BRIDGE'!$AP$8</x:f>
        <x:v>0</x:v>
      </x:c>
      <x:c r="I8" s="207" t="n">
        <x:f>'_REFLO_BRIDGE'!$AQ$8</x:f>
        <x:v>0</x:v>
      </x:c>
      <x:c r="J8" s="207" t="n">
        <x:f>'_REFLO_BRIDGE'!$AR$8</x:f>
        <x:v>0</x:v>
      </x:c>
      <x:c r="K8" s="207" t="n">
        <x:f>'_REFLO_BRIDGE'!$AS$8</x:f>
        <x:v>0</x:v>
      </x:c>
      <x:c r="L8" s="207" t="n">
        <x:f>'_REFLO_BRIDGE'!$AT$8</x:f>
        <x:v>0</x:v>
      </x:c>
      <x:c r="M8" s="207" t="n">
        <x:f>'_REFLO_BRIDGE'!$AU$8</x:f>
        <x:v>0</x:v>
      </x:c>
      <x:c r="N8" s="207" t="n">
        <x:f>'_REFLO_BRIDGE'!$AV$8</x:f>
        <x:v>0</x:v>
      </x:c>
      <x:c r="O8" s="207" t="n">
        <x:f>'_REFLO_BRIDGE'!$AW$8</x:f>
        <x:v>0</x:v>
      </x:c>
      <x:c r="P8" s="207" t="n">
        <x:f>'_REFLO_BRIDGE'!$AX$8</x:f>
        <x:v>0</x:v>
      </x:c>
      <x:c r="Q8" s="207" t="n">
        <x:f>'_REFLO_BRIDGE'!$AY$8</x:f>
        <x:v>0</x:v>
      </x:c>
      <x:c r="R8" s="207" t="n">
        <x:f>'_REFLO_BRIDGE'!$AZ$8</x:f>
        <x:v>0</x:v>
      </x:c>
      <x:c r="S8" s="207" t="n">
        <x:f>'_REFLO_BRIDGE'!$BA$8</x:f>
        <x:v>0</x:v>
      </x:c>
      <x:c r="T8" s="208" t="n">
        <x:f>'_REFLO_BRIDGE'!$BB$8</x:f>
        <x:v>0</x:v>
      </x:c>
      <x:c r="U8" s="1"/>
      <x:c r="V8" s="1"/>
      <x:c r="W8" s="1"/>
      <x:c r="X8" s="1"/>
      <x:c r="Y8" s="1"/>
      <x:c r="Z8" s="1"/>
    </x:row>
    <x:row r="9" ht="1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8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8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8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8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8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8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8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8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8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8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8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8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8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8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8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8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8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8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8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8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8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8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8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8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8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</x:sheetData>
  <x:mergeCells>
    <x:mergeCell ref="A7:T7"/>
    <x:mergeCell ref="A8:T8"/>
    <x:mergeCell ref="A2:U2"/>
  </x:mergeCells>
  <x:pageMargins left="0.7" right="0.7" top="0.75" bottom="0.75" header="0.3" footer="0.3"/>
  <x:drawing xmlns:r="http://schemas.openxmlformats.org/officeDocument/2006/relationships" r:id="Rd982ae617ac04783"/>
</x:worksheet>
</file>

<file path=xl/worksheets/sheet15.xml><?xml version="1.0" encoding="utf-8"?>
<x:worksheet xmlns:x="http://schemas.openxmlformats.org/spreadsheetml/2006/main">
  <x:sheetPr>
    <x:tabColor rgb="FF1F6E6A"/>
  </x:sheetPr>
  <x:sheetViews>
    <x:sheetView showGridLines="0" workbookViewId="0"/>
  </x:sheetViews>
  <x:sheetFormatPr defaultColWidth="8.69921875" defaultRowHeight="17.399999618530273"/>
  <x:cols>
    <x:col min="1" max="1" width="24" customWidth="1"/>
    <x:col min="2" max="12" width="10" customWidth="1"/>
    <x:col min="13" max="13" width="8" customWidth="1"/>
    <x:col min="14" max="26" width="10" customWidth="1"/>
  </x:cols>
  <x:sheetData>
    <x:row r="1" ht="22.049999237060547" customHeight="1">
      <x:c r="A1" s="111" t="s">
        <x:v>358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6"/>
    </x:row>
    <x:row r="2" ht="18" customHeight="1">
      <x:c r="A2" s="165" t="s">
        <x:v>359</x:v>
      </x:c>
      <x:c r="B2" s="148"/>
      <x:c r="C2" s="148"/>
      <x:c r="D2" s="148"/>
      <x:c r="E2" s="148"/>
      <x:c r="F2" s="148"/>
      <x:c r="G2" s="148"/>
      <x:c r="H2" s="148"/>
      <x:c r="I2" s="148"/>
      <x:c r="J2" s="148"/>
      <x:c r="K2" s="148"/>
      <x:c r="L2" s="148"/>
      <x:c r="M2" s="148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28"/>
    </x:row>
    <x:row r="3" ht="18" customHeight="1">
      <x:c r="A3" s="12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3"/>
    </x:row>
    <x:row r="4" ht="19.950000762939453" customHeight="1">
      <x:c r="A4" s="53" t="s">
        <x:v>3</x:v>
      </x:c>
      <x:c r="B4" s="53" t="s">
        <x:v>114</x:v>
      </x:c>
      <x:c r="C4" s="53" t="s">
        <x:v>115</x:v>
      </x:c>
      <x:c r="D4" s="53" t="s">
        <x:v>116</x:v>
      </x:c>
      <x:c r="E4" s="53" t="s">
        <x:v>117</x:v>
      </x:c>
      <x:c r="F4" s="53" t="s">
        <x:v>118</x:v>
      </x:c>
      <x:c r="G4" s="53" t="s">
        <x:v>119</x:v>
      </x:c>
      <x:c r="H4" s="53" t="s">
        <x:v>120</x:v>
      </x:c>
      <x:c r="I4" s="53" t="s">
        <x:v>121</x:v>
      </x:c>
      <x:c r="J4" s="53" t="s">
        <x:v>143</x:v>
      </x:c>
      <x:c r="K4" s="53" t="s">
        <x:v>144</x:v>
      </x:c>
      <x:c r="L4" s="53" t="s">
        <x:v>123</x:v>
      </x:c>
      <x:c r="M4" s="53" t="s">
        <x:v>108</x:v>
      </x:c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3"/>
    </x:row>
    <x:row r="5" ht="18" customHeight="1">
      <x:c r="A5" s="54" t="s">
        <x:v>145</x:v>
      </x:c>
      <x:c r="B5" s="126">
        <x:v>215.4</x:v>
      </x:c>
      <x:c r="C5" s="126">
        <x:v>245.9</x:v>
      </x:c>
      <x:c r="D5" s="126">
        <x:v>286.2</x:v>
      </x:c>
      <x:c r="E5" s="126">
        <x:v>317.89999999999998</x:v>
      </x:c>
      <x:c r="F5" s="126">
        <x:v>330</x:v>
      </x:c>
      <x:c r="G5" s="126">
        <x:v>354</x:v>
      </x:c>
      <x:c r="H5" s="126">
        <x:v>397.7</x:v>
      </x:c>
      <x:c r="I5" s="126">
        <x:v>403.9</x:v>
      </x:c>
      <x:c r="J5" s="126">
        <x:v>892.1</x:v>
      </x:c>
      <x:c r="K5" s="126">
        <x:v>1065.3</x:v>
      </x:c>
      <x:c r="L5" s="126">
        <x:v>1485.6</x:v>
      </x:c>
      <x:c r="M5" s="54" t="s">
        <x:v>146</x:v>
      </x:c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3"/>
    </x:row>
    <x:row r="6" ht="18" customHeight="1">
      <x:c r="A6" s="54" t="s">
        <x:v>131</x:v>
      </x:c>
      <x:c r="B6" s="127">
        <x:v>3.0000000000000001E-3</x:v>
      </x:c>
      <x:c r="C6" s="127">
        <x:v>3.2000000000000001E-2</x:v>
      </x:c>
      <x:c r="D6" s="127">
        <x:v>0.23</x:v>
      </x:c>
      <x:c r="E6" s="127">
        <x:v>0.54</x:v>
      </x:c>
      <x:c r="F6" s="127">
        <x:v>0.53200000000000003</x:v>
      </x:c>
      <x:c r="G6" s="127">
        <x:v>0.44</x:v>
      </x:c>
      <x:c r="H6" s="127">
        <x:v>0.39</x:v>
      </x:c>
      <x:c r="I6" s="127">
        <x:v>0.27</x:v>
      </x:c>
      <x:c r="J6" s="127">
        <x:v>-1.9E-2</x:v>
      </x:c>
      <x:c r="K6" s="127">
        <x:v>0.19400000000000001</x:v>
      </x:c>
      <x:c r="L6" s="127">
        <x:v>0.39500000000000002</x:v>
      </x:c>
      <x:c r="M6" s="54" t="s">
        <x:v>132</x:v>
      </x:c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3"/>
    </x:row>
    <x:row r="7" ht="18" customHeight="1">
      <x:c r="A7" s="54" t="s">
        <x:v>133</x:v>
      </x:c>
      <x:c r="B7" s="127">
        <x:v>4.2999999999999997E-2</x:v>
      </x:c>
      <x:c r="C7" s="127">
        <x:v>0.14199999999999999</x:v>
      </x:c>
      <x:c r="D7" s="127">
        <x:v>0.16400000000000001</x:v>
      </x:c>
      <x:c r="E7" s="127">
        <x:v>0.111</x:v>
      </x:c>
      <x:c r="F7" s="127">
        <x:v>3.7999999999999999E-2</x:v>
      </x:c>
      <x:c r="G7" s="127">
        <x:v>7.2999999999999995E-2</x:v>
      </x:c>
      <x:c r="H7" s="127">
        <x:v>0.123</x:v>
      </x:c>
      <x:c r="I7" s="127">
        <x:v>1.4999999999999999E-2</x:v>
      </x:c>
      <x:c r="J7" s="127"/>
      <x:c r="K7" s="127"/>
      <x:c r="L7" s="127"/>
      <x:c r="M7" s="54" t="s">
        <x:v>132</x:v>
      </x:c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3"/>
    </x:row>
    <x:row r="8" ht="18" customHeight="1">
      <x:c r="A8" s="54" t="s">
        <x:v>125</x:v>
      </x:c>
      <x:c r="B8" s="126">
        <x:v>176.6</x:v>
      </x:c>
      <x:c r="C8" s="126">
        <x:v>207.8</x:v>
      </x:c>
      <x:c r="D8" s="126">
        <x:v>243.8</x:v>
      </x:c>
      <x:c r="E8" s="126">
        <x:v>273.7</x:v>
      </x:c>
      <x:c r="F8" s="126">
        <x:v>283.89999999999998</x:v>
      </x:c>
      <x:c r="G8" s="126">
        <x:v>296.89999999999998</x:v>
      </x:c>
      <x:c r="H8" s="126">
        <x:v>311.7</x:v>
      </x:c>
      <x:c r="I8" s="126">
        <x:v>308.7</x:v>
      </x:c>
      <x:c r="J8" s="126">
        <x:v>768.8</x:v>
      </x:c>
      <x:c r="K8" s="126">
        <x:v>901.9</x:v>
      </x:c>
      <x:c r="L8" s="126">
        <x:v>1201.2</x:v>
      </x:c>
      <x:c r="M8" s="54" t="s">
        <x:v>146</x:v>
      </x:c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3"/>
    </x:row>
    <x:row r="9" ht="18" customHeight="1">
      <x:c r="A9" s="54" t="s">
        <x:v>360</x:v>
      </x:c>
      <x:c r="B9" s="126">
        <x:v>101.3</x:v>
      </x:c>
      <x:c r="C9" s="126">
        <x:v>127.1</x:v>
      </x:c>
      <x:c r="D9" s="126">
        <x:v>158</x:v>
      </x:c>
      <x:c r="E9" s="126">
        <x:v>160.5</x:v>
      </x:c>
      <x:c r="F9" s="126">
        <x:v>162.1</x:v>
      </x:c>
      <x:c r="G9" s="126">
        <x:v>168.3</x:v>
      </x:c>
      <x:c r="H9" s="126">
        <x:v>174.6</x:v>
      </x:c>
      <x:c r="I9" s="126">
        <x:v>168.7</x:v>
      </x:c>
      <x:c r="J9" s="126">
        <x:v>476.5</x:v>
      </x:c>
      <x:c r="K9" s="126">
        <x:v>546.9</x:v>
      </x:c>
      <x:c r="L9" s="126">
        <x:v>673.7</x:v>
      </x:c>
      <x:c r="M9" s="54" t="s">
        <x:v>146</x:v>
      </x:c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3"/>
    </x:row>
    <x:row r="10" ht="18" customHeight="1">
      <x:c r="A10" s="54" t="s">
        <x:v>361</x:v>
      </x:c>
      <x:c r="B10" s="126">
        <x:v>75.3</x:v>
      </x:c>
      <x:c r="C10" s="126">
        <x:v>80.7</x:v>
      </x:c>
      <x:c r="D10" s="126">
        <x:v>85.8</x:v>
      </x:c>
      <x:c r="E10" s="126">
        <x:v>113.2</x:v>
      </x:c>
      <x:c r="F10" s="126">
        <x:v>121.8</x:v>
      </x:c>
      <x:c r="G10" s="126">
        <x:v>128.6</x:v>
      </x:c>
      <x:c r="H10" s="126">
        <x:v>137</x:v>
      </x:c>
      <x:c r="I10" s="126">
        <x:v>140.1</x:v>
      </x:c>
      <x:c r="J10" s="126">
        <x:v>292.39999999999998</x:v>
      </x:c>
      <x:c r="K10" s="126">
        <x:v>355</x:v>
      </x:c>
      <x:c r="L10" s="126">
        <x:v>527.5</x:v>
      </x:c>
      <x:c r="M10" s="54" t="s">
        <x:v>146</x:v>
      </x:c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3"/>
    </x:row>
    <x:row r="11" ht="18" customHeight="1">
      <x:c r="A11" s="54" t="s">
        <x:v>128</x:v>
      </x:c>
      <x:c r="B11" s="126">
        <x:v>38.799999999999997</x:v>
      </x:c>
      <x:c r="C11" s="126">
        <x:v>37.700000000000003</x:v>
      </x:c>
      <x:c r="D11" s="126">
        <x:v>42.4</x:v>
      </x:c>
      <x:c r="E11" s="126">
        <x:v>44.2</x:v>
      </x:c>
      <x:c r="F11" s="126">
        <x:v>46.1</x:v>
      </x:c>
      <x:c r="G11" s="126">
        <x:v>57.1</x:v>
      </x:c>
      <x:c r="H11" s="126">
        <x:v>86</x:v>
      </x:c>
      <x:c r="I11" s="126">
        <x:v>95.1</x:v>
      </x:c>
      <x:c r="J11" s="126">
        <x:v>122.6</x:v>
      </x:c>
      <x:c r="K11" s="126">
        <x:v>163.1</x:v>
      </x:c>
      <x:c r="L11" s="126">
        <x:v>284.39999999999998</x:v>
      </x:c>
      <x:c r="M11" s="54" t="s">
        <x:v>146</x:v>
      </x:c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3"/>
    </x:row>
    <x:row r="12" ht="18" customHeight="1">
      <x:c r="A12" s="54" t="s">
        <x:v>129</x:v>
      </x:c>
      <x:c r="B12" s="126">
        <x:v>0</x:v>
      </x:c>
      <x:c r="C12" s="126">
        <x:v>0.3</x:v>
      </x:c>
      <x:c r="D12" s="126">
        <x:v>0</x:v>
      </x:c>
      <x:c r="E12" s="126">
        <x:v>0</x:v>
      </x:c>
      <x:c r="F12" s="126">
        <x:v>0</x:v>
      </x:c>
      <x:c r="G12" s="126">
        <x:v>0</x:v>
      </x:c>
      <x:c r="H12" s="126">
        <x:v>0</x:v>
      </x:c>
      <x:c r="I12" s="126">
        <x:v>0</x:v>
      </x:c>
      <x:c r="J12" s="126">
        <x:v>0.8</x:v>
      </x:c>
      <x:c r="K12" s="126">
        <x:v>0.3</x:v>
      </x:c>
      <x:c r="L12" s="126">
        <x:v>0</x:v>
      </x:c>
      <x:c r="M12" s="54" t="s">
        <x:v>146</x:v>
      </x:c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3"/>
    </x:row>
    <x:row r="13" ht="18" customHeight="1">
      <x:c r="A13" s="54" t="s">
        <x:v>362</x:v>
      </x:c>
      <x:c r="B13" s="126"/>
      <x:c r="C13" s="126"/>
      <x:c r="D13" s="126"/>
      <x:c r="E13" s="126"/>
      <x:c r="F13" s="126"/>
      <x:c r="G13" s="126"/>
      <x:c r="H13" s="126"/>
      <x:c r="I13" s="126"/>
      <x:c r="J13" s="126"/>
      <x:c r="K13" s="126"/>
      <x:c r="L13" s="126"/>
      <x:c r="M13" s="56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3"/>
    </x:row>
    <x:row r="14" ht="18" customHeight="1">
      <x:c r="A14" s="54" t="s">
        <x:v>363</x:v>
      </x:c>
      <x:c r="B14" s="127">
        <x:v>0.82</x:v>
      </x:c>
      <x:c r="C14" s="127">
        <x:v>0.84499999999999997</x:v>
      </x:c>
      <x:c r="D14" s="127">
        <x:v>0.85199999999999998</x:v>
      </x:c>
      <x:c r="E14" s="127">
        <x:v>0.86099999999999999</x:v>
      </x:c>
      <x:c r="F14" s="127">
        <x:v>0.86</x:v>
      </x:c>
      <x:c r="G14" s="127">
        <x:v>0.83899999999999997</x:v>
      </x:c>
      <x:c r="H14" s="127">
        <x:v>0.78400000000000003</x:v>
      </x:c>
      <x:c r="I14" s="127">
        <x:v>0.76400000000000001</x:v>
      </x:c>
      <x:c r="J14" s="127">
        <x:v>0.86199999999999999</x:v>
      </x:c>
      <x:c r="K14" s="127">
        <x:v>0.84699999999999998</x:v>
      </x:c>
      <x:c r="L14" s="127">
        <x:v>0.80900000000000005</x:v>
      </x:c>
      <x:c r="M14" s="54" t="s">
        <x:v>132</x:v>
      </x:c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3"/>
    </x:row>
    <x:row r="15" ht="18" customHeight="1">
      <x:c r="A15" s="54" t="s">
        <x:v>364</x:v>
      </x:c>
      <x:c r="B15" s="127">
        <x:v>0.47</x:v>
      </x:c>
      <x:c r="C15" s="127">
        <x:v>0.51700000000000002</x:v>
      </x:c>
      <x:c r="D15" s="127">
        <x:v>0.55200000000000005</x:v>
      </x:c>
      <x:c r="E15" s="127">
        <x:v>0.505</x:v>
      </x:c>
      <x:c r="F15" s="127">
        <x:v>0.49099999999999999</x:v>
      </x:c>
      <x:c r="G15" s="127">
        <x:v>0.47499999999999998</x:v>
      </x:c>
      <x:c r="H15" s="127">
        <x:v>0.439</x:v>
      </x:c>
      <x:c r="I15" s="127">
        <x:v>0.41799999999999998</x:v>
      </x:c>
      <x:c r="J15" s="127">
        <x:v>0.53400000000000003</x:v>
      </x:c>
      <x:c r="K15" s="127">
        <x:v>0.51300000000000001</x:v>
      </x:c>
      <x:c r="L15" s="127">
        <x:v>0.45300000000000001</x:v>
      </x:c>
      <x:c r="M15" s="54" t="s">
        <x:v>132</x:v>
      </x:c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3"/>
    </x:row>
    <x:row r="16" ht="18" customHeight="1">
      <x:c r="A16" s="54" t="s">
        <x:v>365</x:v>
      </x:c>
      <x:c r="B16" s="127">
        <x:v>0.35</x:v>
      </x:c>
      <x:c r="C16" s="127">
        <x:v>0.32800000000000001</x:v>
      </x:c>
      <x:c r="D16" s="127">
        <x:v>0.3</x:v>
      </x:c>
      <x:c r="E16" s="127">
        <x:v>0.35599999999999998</x:v>
      </x:c>
      <x:c r="F16" s="127">
        <x:v>0.36899999999999999</x:v>
      </x:c>
      <x:c r="G16" s="127">
        <x:v>0.36299999999999999</x:v>
      </x:c>
      <x:c r="H16" s="127">
        <x:v>0.34499999999999997</x:v>
      </x:c>
      <x:c r="I16" s="127">
        <x:v>0.34699999999999998</x:v>
      </x:c>
      <x:c r="J16" s="127">
        <x:v>0.32800000000000001</x:v>
      </x:c>
      <x:c r="K16" s="127">
        <x:v>0.33300000000000002</x:v>
      </x:c>
      <x:c r="L16" s="127">
        <x:v>0.35499999999999998</x:v>
      </x:c>
      <x:c r="M16" s="54" t="s">
        <x:v>132</x:v>
      </x:c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3"/>
    </x:row>
    <x:row r="17" ht="18" customHeight="1">
      <x:c r="A17" s="54" t="s">
        <x:v>366</x:v>
      </x:c>
      <x:c r="B17" s="127">
        <x:v>0.18</x:v>
      </x:c>
      <x:c r="C17" s="127">
        <x:v>0.153</x:v>
      </x:c>
      <x:c r="D17" s="127">
        <x:v>0.14799999999999999</x:v>
      </x:c>
      <x:c r="E17" s="127">
        <x:v>0.13900000000000001</x:v>
      </x:c>
      <x:c r="F17" s="127">
        <x:v>0.14000000000000001</x:v>
      </x:c>
      <x:c r="G17" s="127">
        <x:v>0.161</x:v>
      </x:c>
      <x:c r="H17" s="127">
        <x:v>0.216</x:v>
      </x:c>
      <x:c r="I17" s="127">
        <x:v>0.23599999999999999</x:v>
      </x:c>
      <x:c r="J17" s="127">
        <x:v>0.13700000000000001</x:v>
      </x:c>
      <x:c r="K17" s="127">
        <x:v>0.153</x:v>
      </x:c>
      <x:c r="L17" s="127">
        <x:v>0.191</x:v>
      </x:c>
      <x:c r="M17" s="54" t="s">
        <x:v>132</x:v>
      </x:c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3"/>
    </x:row>
    <x:row r="18" ht="18" customHeight="1">
      <x:c r="A18" s="54" t="s">
        <x:v>367</x:v>
      </x:c>
      <x:c r="B18" s="127">
        <x:v>0</x:v>
      </x:c>
      <x:c r="C18" s="127">
        <x:v>1E-3</x:v>
      </x:c>
      <x:c r="D18" s="127">
        <x:v>0</x:v>
      </x:c>
      <x:c r="E18" s="127">
        <x:v>0</x:v>
      </x:c>
      <x:c r="F18" s="127">
        <x:v>0</x:v>
      </x:c>
      <x:c r="G18" s="127">
        <x:v>0</x:v>
      </x:c>
      <x:c r="H18" s="127">
        <x:v>0</x:v>
      </x:c>
      <x:c r="I18" s="127">
        <x:v>0</x:v>
      </x:c>
      <x:c r="J18" s="127">
        <x:v>1E-3</x:v>
      </x:c>
      <x:c r="K18" s="127">
        <x:v>0</x:v>
      </x:c>
      <x:c r="L18" s="127">
        <x:v>0</x:v>
      </x:c>
      <x:c r="M18" s="54" t="s">
        <x:v>132</x:v>
      </x:c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3"/>
    </x:row>
    <x:row r="19" ht="18" customHeight="1">
      <x:c r="A19" s="54" t="s">
        <x:v>368</x:v>
      </x:c>
      <x:c r="B19" s="126">
        <x:v>-6.2</x:v>
      </x:c>
      <x:c r="C19" s="126">
        <x:v>1.9</x:v>
      </x:c>
      <x:c r="D19" s="126">
        <x:v>24.4</x:v>
      </x:c>
      <x:c r="E19" s="126">
        <x:v>29</x:v>
      </x:c>
      <x:c r="F19" s="126">
        <x:v>40.200000000000003</x:v>
      </x:c>
      <x:c r="G19" s="126">
        <x:v>43</x:v>
      </x:c>
      <x:c r="H19" s="126">
        <x:v>48.4</x:v>
      </x:c>
      <x:c r="I19" s="126">
        <x:v>48.4</x:v>
      </x:c>
      <x:c r="J19" s="126">
        <x:v>11.3</x:v>
      </x:c>
      <x:c r="K19" s="126">
        <x:v>49.2</x:v>
      </x:c>
      <x:c r="L19" s="126">
        <x:v>180</x:v>
      </x:c>
      <x:c r="M19" s="54" t="s">
        <x:v>146</x:v>
      </x:c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3"/>
    </x:row>
    <x:row r="20" ht="18" customHeight="1">
      <x:c r="A20" s="54" t="s">
        <x:v>131</x:v>
      </x:c>
      <x:c r="B20" s="127">
        <x:v>1.1499999999999999</x:v>
      </x:c>
      <x:c r="C20" s="127">
        <x:v>-0.82199999999999995</x:v>
      </x:c>
      <x:c r="D20" s="127">
        <x:v>1.655</x:v>
      </x:c>
      <x:c r="E20" s="127">
        <x:v>-5.8639999999999999</x:v>
      </x:c>
      <x:c r="F20" s="127">
        <x:v>-7.4820000000000002</x:v>
      </x:c>
      <x:c r="G20" s="127">
        <x:v>22.01</x:v>
      </x:c>
      <x:c r="H20" s="127">
        <x:v>0.97799999999999998</x:v>
      </x:c>
      <x:c r="I20" s="127">
        <x:v>0.66800000000000004</x:v>
      </x:c>
      <x:c r="J20" s="127">
        <x:v>-0.52600000000000002</x:v>
      </x:c>
      <x:c r="K20" s="127">
        <x:v>3.3660000000000001</x:v>
      </x:c>
      <x:c r="L20" s="127">
        <x:v>2.6619999999999999</x:v>
      </x:c>
      <x:c r="M20" s="54" t="s">
        <x:v>132</x:v>
      </x:c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3"/>
    </x:row>
    <x:row r="21" ht="18" customHeight="1">
      <x:c r="A21" s="54" t="s">
        <x:v>133</x:v>
      </x:c>
      <x:c r="B21" s="127">
        <x:v>4.1000000000000002E-2</x:v>
      </x:c>
      <x:c r="C21" s="127">
        <x:v>-1.3140000000000001</x:v>
      </x:c>
      <x:c r="D21" s="127">
        <x:v>12.074</x:v>
      </x:c>
      <x:c r="E21" s="127">
        <x:v>0.188</x:v>
      </x:c>
      <x:c r="F21" s="127">
        <x:v>0.38400000000000001</x:v>
      </x:c>
      <x:c r="G21" s="127">
        <x:v>7.0999999999999994E-2</x:v>
      </x:c>
      <x:c r="H21" s="127">
        <x:v>0.124</x:v>
      </x:c>
      <x:c r="I21" s="127">
        <x:v>1E-3</x:v>
      </x:c>
      <x:c r="J21" s="127"/>
      <x:c r="K21" s="127"/>
      <x:c r="L21" s="127"/>
      <x:c r="M21" s="54" t="s">
        <x:v>132</x:v>
      </x:c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3"/>
    </x:row>
    <x:row r="22" ht="18" customHeight="1">
      <x:c r="A22" s="54" t="s">
        <x:v>354</x:v>
      </x:c>
      <x:c r="B22" s="127">
        <x:v>-2.9000000000000001E-2</x:v>
      </x:c>
      <x:c r="C22" s="127">
        <x:v>8.0000000000000002E-3</x:v>
      </x:c>
      <x:c r="D22" s="127">
        <x:v>8.5000000000000006E-2</x:v>
      </x:c>
      <x:c r="E22" s="127">
        <x:v>9.0999999999999998E-2</x:v>
      </x:c>
      <x:c r="F22" s="127">
        <x:v>0.122</x:v>
      </x:c>
      <x:c r="G22" s="127">
        <x:v>0.122</x:v>
      </x:c>
      <x:c r="H22" s="127">
        <x:v>0.122</x:v>
      </x:c>
      <x:c r="I22" s="127">
        <x:v>0.12</x:v>
      </x:c>
      <x:c r="J22" s="127">
        <x:v>1.2999999999999999E-2</x:v>
      </x:c>
      <x:c r="K22" s="127">
        <x:v>4.5999999999999999E-2</x:v>
      </x:c>
      <x:c r="L22" s="127">
        <x:v>0.121</x:v>
      </x:c>
      <x:c r="M22" s="54" t="s">
        <x:v>132</x:v>
      </x:c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3"/>
    </x:row>
    <x:row r="23" ht="18" customHeight="1">
      <x:c r="A23" s="12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3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3"/>
    </x:row>
    <x:row r="24" ht="18" customHeight="1">
      <x:c r="A24" s="116" t="s">
        <x:v>209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3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3"/>
    </x:row>
    <x:row r="25" ht="18" customHeight="1">
      <x:c r="A25" s="12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3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3"/>
    </x:row>
    <x:row r="26" ht="19.950000762939453" customHeight="1">
      <x:c r="A26" s="80" t="s">
        <x:v>297</x:v>
      </x:c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2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3"/>
    </x:row>
    <x:row r="27" ht="19.950000762939453" customHeight="1">
      <x:c r="A27" s="53" t="s">
        <x:v>152</x:v>
      </x:c>
      <x:c r="B27" s="53" t="s">
        <x:v>114</x:v>
      </x:c>
      <x:c r="C27" s="53" t="s">
        <x:v>115</x:v>
      </x:c>
      <x:c r="D27" s="53" t="s">
        <x:v>116</x:v>
      </x:c>
      <x:c r="E27" s="53" t="s">
        <x:v>117</x:v>
      </x:c>
      <x:c r="F27" s="53" t="s">
        <x:v>118</x:v>
      </x:c>
      <x:c r="G27" s="53" t="s">
        <x:v>119</x:v>
      </x:c>
      <x:c r="H27" s="53" t="s">
        <x:v>120</x:v>
      </x:c>
      <x:c r="I27" s="53" t="s">
        <x:v>121</x:v>
      </x:c>
      <x:c r="J27" s="53" t="s">
        <x:v>143</x:v>
      </x:c>
      <x:c r="K27" s="53" t="s">
        <x:v>144</x:v>
      </x:c>
      <x:c r="L27" s="53" t="s">
        <x:v>123</x:v>
      </x:c>
      <x:c r="M27" s="53" t="s">
        <x:v>108</x:v>
      </x:c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3"/>
    </x:row>
    <x:row r="28" ht="18" customHeight="1">
      <x:c r="A28" s="54" t="s">
        <x:v>369</x:v>
      </x:c>
      <x:c r="B28" s="54" t="n">
        <x:f t="shared" ref="B28:L28" si="0">B8+B11+B12</x:f>
        <x:v>215.39999999999998</x:v>
      </x:c>
      <x:c r="C28" s="54">
        <x:f t="shared" si="0"/>
        <x:v>245.8</x:v>
      </x:c>
      <x:c r="D28" s="54">
        <x:f t="shared" si="0"/>
        <x:v>286.2</x:v>
      </x:c>
      <x:c r="E28" s="54">
        <x:f t="shared" si="0"/>
        <x:v>317.89999999999998</x:v>
      </x:c>
      <x:c r="F28" s="54">
        <x:f t="shared" si="0"/>
        <x:v>330</x:v>
      </x:c>
      <x:c r="G28" s="54">
        <x:f t="shared" si="0"/>
        <x:v>354</x:v>
      </x:c>
      <x:c r="H28" s="54">
        <x:f t="shared" si="0"/>
        <x:v>397.7</x:v>
      </x:c>
      <x:c r="I28" s="54">
        <x:f t="shared" si="0"/>
        <x:v>403.79999999999995</x:v>
      </x:c>
      <x:c r="J28" s="54">
        <x:f t="shared" si="0"/>
        <x:v>892.19999999999993</x:v>
      </x:c>
      <x:c r="K28" s="54">
        <x:f t="shared" si="0"/>
        <x:v>1065.3</x:v>
      </x:c>
      <x:c r="L28" s="54">
        <x:f t="shared" si="0"/>
        <x:v>1485.6</x:v>
      </x:c>
      <x:c r="M28" s="56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3"/>
    </x:row>
    <x:row r="29" ht="18" customHeight="1">
      <x:c r="A29" s="54" t="s">
        <x:v>370</x:v>
      </x:c>
      <x:c r="B29" s="54" t="n">
        <x:f t="shared" ref="B29:L29" si="1">B28-B5</x:f>
        <x:v>-2.842170943040401e-14</x:v>
      </x:c>
      <x:c r="C29" s="54">
        <x:f t="shared" si="1"/>
        <x:v>-9.9999999999994316E-2</x:v>
      </x:c>
      <x:c r="D29" s="54">
        <x:f t="shared" si="1"/>
        <x:v>0</x:v>
      </x:c>
      <x:c r="E29" s="54">
        <x:f t="shared" si="1"/>
        <x:v>0</x:v>
      </x:c>
      <x:c r="F29" s="54">
        <x:f t="shared" si="1"/>
        <x:v>0</x:v>
      </x:c>
      <x:c r="G29" s="54">
        <x:f t="shared" si="1"/>
        <x:v>0</x:v>
      </x:c>
      <x:c r="H29" s="54">
        <x:f t="shared" si="1"/>
        <x:v>0</x:v>
      </x:c>
      <x:c r="I29" s="54">
        <x:f t="shared" si="1"/>
        <x:v>-0.10000000000002274</x:v>
      </x:c>
      <x:c r="J29" s="54">
        <x:f t="shared" si="1"/>
        <x:v>9.9999999999909051E-2</x:v>
      </x:c>
      <x:c r="K29" s="54">
        <x:f t="shared" si="1"/>
        <x:v>0</x:v>
      </x:c>
      <x:c r="L29" s="54">
        <x:f t="shared" si="1"/>
        <x:v>0</x:v>
      </x:c>
      <x:c r="M29" s="56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3"/>
    </x:row>
    <x:row r="30" ht="18" customHeight="1">
      <x:c r="A30" s="54" t="s">
        <x:v>371</x:v>
      </x:c>
      <x:c r="B30" s="124" t="n">
        <x:f t="shared" ref="B30:L30" si="2">IFERROR(B19/B5,"")</x:f>
        <x:v>-0.028783658310120707</x:v>
      </x:c>
      <x:c r="C30" s="124">
        <x:f t="shared" si="2"/>
        <x:v>7.7267181781211867E-3</x:v>
      </x:c>
      <x:c r="D30" s="124">
        <x:f t="shared" si="2"/>
        <x:v>8.5255066387141851E-2</x:v>
      </x:c>
      <x:c r="E30" s="124">
        <x:f t="shared" si="2"/>
        <x:v>9.1223655237496079E-2</x:v>
      </x:c>
      <x:c r="F30" s="124">
        <x:f t="shared" si="2"/>
        <x:v>0.12181818181818183</x:v>
      </x:c>
      <x:c r="G30" s="124">
        <x:f t="shared" si="2"/>
        <x:v>0.12146892655367232</x:v>
      </x:c>
      <x:c r="H30" s="124">
        <x:f t="shared" si="2"/>
        <x:v>0.12169977369876792</x:v>
      </x:c>
      <x:c r="I30" s="124">
        <x:f t="shared" si="2"/>
        <x:v>0.11983164149541967</x:v>
      </x:c>
      <x:c r="J30" s="124">
        <x:f t="shared" si="2"/>
        <x:v>1.2666741396704406E-2</x:v>
      </x:c>
      <x:c r="K30" s="124">
        <x:f t="shared" si="2"/>
        <x:v>4.6184173472261336E-2</x:v>
      </x:c>
      <x:c r="L30" s="124">
        <x:f t="shared" si="2"/>
        <x:v>0.12116316639741519</x:v>
      </x:c>
      <x:c r="M30" s="56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3"/>
    </x:row>
    <x:row r="31" ht="18" customHeight="1">
      <x:c r="A31" s="9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3"/>
    </x:row>
    <x:row r="32" ht="18" customHeight="1">
      <x:c r="A32" s="164" t="s">
        <x:v>372</x:v>
      </x:c>
      <x:c r="B32" s="148"/>
      <x:c r="C32" s="148"/>
      <x:c r="D32" s="148"/>
      <x:c r="E32" s="148"/>
      <x:c r="F32" s="148"/>
      <x:c r="G32" s="148"/>
      <x:c r="H32" s="148"/>
      <x:c r="I32" s="148"/>
      <x:c r="J32" s="148"/>
      <x:c r="K32" s="148"/>
      <x:c r="L32" s="148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3"/>
    </x:row>
    <x:row r="33" ht="18" customHeight="1">
      <x:c r="A33" s="12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3"/>
    </x:row>
    <x:row r="34" ht="18" customHeight="1">
      <x:c r="A34" s="12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3"/>
    </x:row>
    <x:row r="35" ht="18" customHeight="1">
      <x:c r="A35" s="12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3"/>
    </x:row>
    <x:row r="36" ht="18" customHeight="1">
      <x:c r="A36" s="12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3"/>
    </x:row>
    <x:row r="37" ht="18" customHeight="1">
      <x:c r="A37" s="12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3"/>
    </x:row>
    <x:row r="38" ht="18" customHeight="1">
      <x:c r="A38" s="12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3"/>
    </x:row>
    <x:row r="39" ht="18" customHeight="1">
      <x:c r="A39" s="12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3"/>
    </x:row>
    <x:row r="40" ht="18" customHeight="1">
      <x:c r="A40" s="12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3"/>
    </x:row>
    <x:row r="41" ht="18" customHeight="1">
      <x:c r="A41" s="12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3"/>
    </x:row>
    <x:row r="42" ht="18" customHeight="1">
      <x:c r="A42" s="12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3"/>
    </x:row>
    <x:row r="43" ht="18" customHeight="1">
      <x:c r="A43" s="12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3"/>
    </x:row>
    <x:row r="44" ht="18" customHeight="1">
      <x:c r="A44" s="12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3"/>
    </x:row>
    <x:row r="45" ht="18" customHeight="1">
      <x:c r="A45" s="12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3"/>
    </x:row>
    <x:row r="46" ht="18" customHeight="1">
      <x:c r="A46" s="12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3"/>
    </x:row>
    <x:row r="47" ht="18" customHeight="1">
      <x:c r="A47" s="12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3"/>
    </x:row>
    <x:row r="48" ht="18" customHeight="1">
      <x:c r="A48" s="12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3"/>
    </x:row>
    <x:row r="49" ht="18" customHeight="1">
      <x:c r="A49" s="12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3"/>
    </x:row>
    <x:row r="50" ht="18" customHeight="1">
      <x:c r="A50" s="12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3"/>
    </x:row>
    <x:row r="51" ht="18" customHeight="1">
      <x:c r="A51" s="12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3"/>
    </x:row>
    <x:row r="52" ht="18" customHeight="1">
      <x:c r="A52" s="12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3"/>
    </x:row>
    <x:row r="53" ht="18" customHeight="1">
      <x:c r="A53" s="12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3"/>
    </x:row>
    <x:row r="54" ht="18" customHeight="1">
      <x:c r="A54" s="12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3"/>
    </x:row>
    <x:row r="55" ht="18" customHeight="1">
      <x:c r="A55" s="12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3"/>
    </x:row>
    <x:row r="56" ht="18" customHeight="1">
      <x:c r="A56" s="12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3"/>
    </x:row>
    <x:row r="57" ht="18" customHeight="1">
      <x:c r="A57" s="12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3"/>
    </x:row>
    <x:row r="58" ht="18" customHeight="1">
      <x:c r="A58" s="12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3"/>
    </x:row>
    <x:row r="59" ht="18" customHeight="1">
      <x:c r="A59" s="12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3"/>
    </x:row>
    <x:row r="60" ht="18" customHeight="1">
      <x:c r="A60" s="9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</x:sheetData>
  <x:mergeCells>
    <x:mergeCell ref="A2:M2"/>
    <x:mergeCell ref="A32:L3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1F6E6A"/>
  </x:sheetPr>
  <x:sheetViews>
    <x:sheetView showGridLines="0" workbookViewId="0"/>
  </x:sheetViews>
  <x:sheetFormatPr defaultColWidth="8.69921875" defaultRowHeight="17.399999618530273"/>
  <x:cols>
    <x:col min="1" max="1" width="24" customWidth="1"/>
    <x:col min="2" max="12" width="10" customWidth="1"/>
    <x:col min="13" max="13" width="8" customWidth="1"/>
    <x:col min="14" max="26" width="10" customWidth="1"/>
  </x:cols>
  <x:sheetData>
    <x:row r="1" ht="22.049999237060547" customHeight="1">
      <x:c r="A1" s="111" t="s">
        <x:v>373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6"/>
    </x:row>
    <x:row r="2" ht="18" customHeight="1">
      <x:c r="A2" s="165" t="s">
        <x:v>359</x:v>
      </x:c>
      <x:c r="B2" s="148"/>
      <x:c r="C2" s="148"/>
      <x:c r="D2" s="148"/>
      <x:c r="E2" s="148"/>
      <x:c r="F2" s="148"/>
      <x:c r="G2" s="148"/>
      <x:c r="H2" s="148"/>
      <x:c r="I2" s="148"/>
      <x:c r="J2" s="148"/>
      <x:c r="K2" s="148"/>
      <x:c r="L2" s="148"/>
      <x:c r="M2" s="148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28"/>
    </x:row>
    <x:row r="3" ht="18" customHeight="1">
      <x:c r="A3" s="12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3"/>
    </x:row>
    <x:row r="4" ht="19.950000762939453" customHeight="1">
      <x:c r="A4" s="53" t="s">
        <x:v>3</x:v>
      </x:c>
      <x:c r="B4" s="53" t="s">
        <x:v>114</x:v>
      </x:c>
      <x:c r="C4" s="53" t="s">
        <x:v>115</x:v>
      </x:c>
      <x:c r="D4" s="53" t="s">
        <x:v>116</x:v>
      </x:c>
      <x:c r="E4" s="53" t="s">
        <x:v>374</x:v>
      </x:c>
      <x:c r="F4" s="53" t="s">
        <x:v>118</x:v>
      </x:c>
      <x:c r="G4" s="53" t="s">
        <x:v>119</x:v>
      </x:c>
      <x:c r="H4" s="53" t="s">
        <x:v>120</x:v>
      </x:c>
      <x:c r="I4" s="53" t="s">
        <x:v>121</x:v>
      </x:c>
      <x:c r="J4" s="53" t="s">
        <x:v>143</x:v>
      </x:c>
      <x:c r="K4" s="53" t="s">
        <x:v>144</x:v>
      </x:c>
      <x:c r="L4" s="53" t="s">
        <x:v>123</x:v>
      </x:c>
      <x:c r="M4" s="53" t="s">
        <x:v>108</x:v>
      </x:c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3"/>
    </x:row>
    <x:row r="5" ht="18" customHeight="1">
      <x:c r="A5" s="54" t="s">
        <x:v>145</x:v>
      </x:c>
      <x:c r="B5" s="126">
        <x:v>215.4</x:v>
      </x:c>
      <x:c r="C5" s="126">
        <x:v>245.9</x:v>
      </x:c>
      <x:c r="D5" s="126">
        <x:v>286.2</x:v>
      </x:c>
      <x:c r="E5" s="126">
        <x:v>307.39999999999998</x:v>
      </x:c>
      <x:c r="F5" s="126">
        <x:v>314.2</x:v>
      </x:c>
      <x:c r="G5" s="126">
        <x:v>332.7</x:v>
      </x:c>
      <x:c r="H5" s="126">
        <x:v>348.5</x:v>
      </x:c>
      <x:c r="I5" s="126">
        <x:v>348.8</x:v>
      </x:c>
      <x:c r="J5" s="126">
        <x:v>892.1</x:v>
      </x:c>
      <x:c r="K5" s="126">
        <x:v>1054.8</x:v>
      </x:c>
      <x:c r="L5" s="126">
        <x:v>1344.2</x:v>
      </x:c>
      <x:c r="M5" s="54" t="s">
        <x:v>146</x:v>
      </x:c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3"/>
    </x:row>
    <x:row r="6" ht="18" customHeight="1">
      <x:c r="A6" s="54" t="s">
        <x:v>131</x:v>
      </x:c>
      <x:c r="B6" s="127">
        <x:v>3.0000000000000001E-3</x:v>
      </x:c>
      <x:c r="C6" s="127">
        <x:v>3.2000000000000001E-2</x:v>
      </x:c>
      <x:c r="D6" s="127">
        <x:v>0.23</x:v>
      </x:c>
      <x:c r="E6" s="127">
        <x:v>0.48899999999999999</x:v>
      </x:c>
      <x:c r="F6" s="127">
        <x:v>0.45900000000000002</x:v>
      </x:c>
      <x:c r="G6" s="127">
        <x:v>0.35299999999999998</x:v>
      </x:c>
      <x:c r="H6" s="127">
        <x:v>0.218</x:v>
      </x:c>
      <x:c r="I6" s="127">
        <x:v>0.13500000000000001</x:v>
      </x:c>
      <x:c r="J6" s="127">
        <x:v>-1.9E-2</x:v>
      </x:c>
      <x:c r="K6" s="127">
        <x:v>0.182</x:v>
      </x:c>
      <x:c r="L6" s="127">
        <x:v>0.27400000000000002</x:v>
      </x:c>
      <x:c r="M6" s="54" t="s">
        <x:v>132</x:v>
      </x:c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3"/>
    </x:row>
    <x:row r="7" ht="18" customHeight="1">
      <x:c r="A7" s="54" t="s">
        <x:v>133</x:v>
      </x:c>
      <x:c r="B7" s="127">
        <x:v>4.2999999999999997E-2</x:v>
      </x:c>
      <x:c r="C7" s="127">
        <x:v>0.14199999999999999</x:v>
      </x:c>
      <x:c r="D7" s="127">
        <x:v>0.16400000000000001</x:v>
      </x:c>
      <x:c r="E7" s="127">
        <x:v>7.3999999999999996E-2</x:v>
      </x:c>
      <x:c r="F7" s="127">
        <x:v>2.1999999999999999E-2</x:v>
      </x:c>
      <x:c r="G7" s="127">
        <x:v>5.8999999999999997E-2</x:v>
      </x:c>
      <x:c r="H7" s="127">
        <x:v>4.7E-2</x:v>
      </x:c>
      <x:c r="I7" s="127">
        <x:v>1E-3</x:v>
      </x:c>
      <x:c r="J7" s="127"/>
      <x:c r="K7" s="127"/>
      <x:c r="L7" s="127"/>
      <x:c r="M7" s="54" t="s">
        <x:v>132</x:v>
      </x:c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3"/>
    </x:row>
    <x:row r="8" ht="18" customHeight="1">
      <x:c r="A8" s="54" t="s">
        <x:v>125</x:v>
      </x:c>
      <x:c r="B8" s="126">
        <x:v>176.6</x:v>
      </x:c>
      <x:c r="C8" s="126">
        <x:v>207.8</x:v>
      </x:c>
      <x:c r="D8" s="126">
        <x:v>243.8</x:v>
      </x:c>
      <x:c r="E8" s="126">
        <x:v>263.2</x:v>
      </x:c>
      <x:c r="F8" s="126">
        <x:v>269.60000000000002</x:v>
      </x:c>
      <x:c r="G8" s="126">
        <x:v>283.60000000000002</x:v>
      </x:c>
      <x:c r="H8" s="126">
        <x:v>289.8</x:v>
      </x:c>
      <x:c r="I8" s="126">
        <x:v>283</x:v>
      </x:c>
      <x:c r="J8" s="126">
        <x:v>768.8</x:v>
      </x:c>
      <x:c r="K8" s="126">
        <x:v>891.5</x:v>
      </x:c>
      <x:c r="L8" s="126">
        <x:v>1126</x:v>
      </x:c>
      <x:c r="M8" s="54" t="s">
        <x:v>146</x:v>
      </x:c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3"/>
    </x:row>
    <x:row r="9" ht="18" customHeight="1">
      <x:c r="A9" s="54" t="s">
        <x:v>360</x:v>
      </x:c>
      <x:c r="B9" s="126">
        <x:v>101.3</x:v>
      </x:c>
      <x:c r="C9" s="126">
        <x:v>127.1</x:v>
      </x:c>
      <x:c r="D9" s="126">
        <x:v>158</x:v>
      </x:c>
      <x:c r="E9" s="126">
        <x:v>166.7</x:v>
      </x:c>
      <x:c r="F9" s="126">
        <x:v>170</x:v>
      </x:c>
      <x:c r="G9" s="126">
        <x:v>179.2</x:v>
      </x:c>
      <x:c r="H9" s="126">
        <x:v>182.4</x:v>
      </x:c>
      <x:c r="I9" s="126">
        <x:v>175.5</x:v>
      </x:c>
      <x:c r="J9" s="126">
        <x:v>476.5</x:v>
      </x:c>
      <x:c r="K9" s="126">
        <x:v>553.1</x:v>
      </x:c>
      <x:c r="L9" s="126">
        <x:v>707.1</x:v>
      </x:c>
      <x:c r="M9" s="54" t="s">
        <x:v>146</x:v>
      </x:c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3"/>
    </x:row>
    <x:row r="10" ht="18" customHeight="1">
      <x:c r="A10" s="54" t="s">
        <x:v>361</x:v>
      </x:c>
      <x:c r="B10" s="126">
        <x:v>75.3</x:v>
      </x:c>
      <x:c r="C10" s="126">
        <x:v>80.7</x:v>
      </x:c>
      <x:c r="D10" s="126">
        <x:v>85.8</x:v>
      </x:c>
      <x:c r="E10" s="126">
        <x:v>96.5</x:v>
      </x:c>
      <x:c r="F10" s="126">
        <x:v>99.7</x:v>
      </x:c>
      <x:c r="G10" s="126">
        <x:v>104.4</x:v>
      </x:c>
      <x:c r="H10" s="126">
        <x:v>107.4</x:v>
      </x:c>
      <x:c r="I10" s="126">
        <x:v>107.4</x:v>
      </x:c>
      <x:c r="J10" s="126">
        <x:v>292.39999999999998</x:v>
      </x:c>
      <x:c r="K10" s="126">
        <x:v>338.3</x:v>
      </x:c>
      <x:c r="L10" s="126">
        <x:v>418.9</x:v>
      </x:c>
      <x:c r="M10" s="54" t="s">
        <x:v>146</x:v>
      </x:c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3"/>
    </x:row>
    <x:row r="11" ht="18" customHeight="1">
      <x:c r="A11" s="54" t="s">
        <x:v>128</x:v>
      </x:c>
      <x:c r="B11" s="126">
        <x:v>38.799999999999997</x:v>
      </x:c>
      <x:c r="C11" s="126">
        <x:v>37.700000000000003</x:v>
      </x:c>
      <x:c r="D11" s="126">
        <x:v>42.4</x:v>
      </x:c>
      <x:c r="E11" s="126">
        <x:v>44.2</x:v>
      </x:c>
      <x:c r="F11" s="126">
        <x:v>44.6</x:v>
      </x:c>
      <x:c r="G11" s="126">
        <x:v>49.1</x:v>
      </x:c>
      <x:c r="H11" s="126">
        <x:v>58.7</x:v>
      </x:c>
      <x:c r="I11" s="126">
        <x:v>65.8</x:v>
      </x:c>
      <x:c r="J11" s="126">
        <x:v>122.6</x:v>
      </x:c>
      <x:c r="K11" s="126">
        <x:v>163.1</x:v>
      </x:c>
      <x:c r="L11" s="126">
        <x:v>218.2</x:v>
      </x:c>
      <x:c r="M11" s="54" t="s">
        <x:v>146</x:v>
      </x:c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3"/>
    </x:row>
    <x:row r="12" ht="18" customHeight="1">
      <x:c r="A12" s="54" t="s">
        <x:v>129</x:v>
      </x:c>
      <x:c r="B12" s="126">
        <x:v>0</x:v>
      </x:c>
      <x:c r="C12" s="126">
        <x:v>0.3</x:v>
      </x:c>
      <x:c r="D12" s="126">
        <x:v>0</x:v>
      </x:c>
      <x:c r="E12" s="126">
        <x:v>0</x:v>
      </x:c>
      <x:c r="F12" s="126">
        <x:v>0</x:v>
      </x:c>
      <x:c r="G12" s="126">
        <x:v>0</x:v>
      </x:c>
      <x:c r="H12" s="126">
        <x:v>0</x:v>
      </x:c>
      <x:c r="I12" s="126">
        <x:v>0</x:v>
      </x:c>
      <x:c r="J12" s="126">
        <x:v>0.8</x:v>
      </x:c>
      <x:c r="K12" s="126">
        <x:v>0.3</x:v>
      </x:c>
      <x:c r="L12" s="126">
        <x:v>0</x:v>
      </x:c>
      <x:c r="M12" s="54" t="s">
        <x:v>146</x:v>
      </x:c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3"/>
    </x:row>
    <x:row r="13" ht="18" customHeight="1">
      <x:c r="A13" s="54" t="s">
        <x:v>362</x:v>
      </x:c>
      <x:c r="B13" s="126"/>
      <x:c r="C13" s="126"/>
      <x:c r="D13" s="126"/>
      <x:c r="E13" s="126"/>
      <x:c r="F13" s="126"/>
      <x:c r="G13" s="126"/>
      <x:c r="H13" s="126"/>
      <x:c r="I13" s="126"/>
      <x:c r="J13" s="126"/>
      <x:c r="K13" s="126"/>
      <x:c r="L13" s="126"/>
      <x:c r="M13" s="56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3"/>
    </x:row>
    <x:row r="14" ht="18" customHeight="1">
      <x:c r="A14" s="54" t="s">
        <x:v>363</x:v>
      </x:c>
      <x:c r="B14" s="127">
        <x:v>0.82</x:v>
      </x:c>
      <x:c r="C14" s="127">
        <x:v>0.84499999999999997</x:v>
      </x:c>
      <x:c r="D14" s="127">
        <x:v>0.85199999999999998</x:v>
      </x:c>
      <x:c r="E14" s="127">
        <x:v>0.85599999999999998</x:v>
      </x:c>
      <x:c r="F14" s="127">
        <x:v>0.85799999999999998</x:v>
      </x:c>
      <x:c r="G14" s="127">
        <x:v>0.85199999999999998</x:v>
      </x:c>
      <x:c r="H14" s="127">
        <x:v>0.83199999999999996</x:v>
      </x:c>
      <x:c r="I14" s="127">
        <x:v>0.81100000000000005</x:v>
      </x:c>
      <x:c r="J14" s="127">
        <x:v>0.86199999999999999</x:v>
      </x:c>
      <x:c r="K14" s="127">
        <x:v>0.84399999999999997</x:v>
      </x:c>
      <x:c r="L14" s="127">
        <x:v>0.83799999999999997</x:v>
      </x:c>
      <x:c r="M14" s="54" t="s">
        <x:v>132</x:v>
      </x:c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3"/>
    </x:row>
    <x:row r="15" ht="18" customHeight="1">
      <x:c r="A15" s="54" t="s">
        <x:v>364</x:v>
      </x:c>
      <x:c r="B15" s="127">
        <x:v>0.47</x:v>
      </x:c>
      <x:c r="C15" s="127">
        <x:v>0.51700000000000002</x:v>
      </x:c>
      <x:c r="D15" s="127">
        <x:v>0.55200000000000005</x:v>
      </x:c>
      <x:c r="E15" s="127">
        <x:v>0.54200000000000004</x:v>
      </x:c>
      <x:c r="F15" s="127">
        <x:v>0.54100000000000004</x:v>
      </x:c>
      <x:c r="G15" s="127">
        <x:v>0.53900000000000003</x:v>
      </x:c>
      <x:c r="H15" s="127">
        <x:v>0.52300000000000002</x:v>
      </x:c>
      <x:c r="I15" s="127">
        <x:v>0.503</x:v>
      </x:c>
      <x:c r="J15" s="127">
        <x:v>0.53400000000000003</x:v>
      </x:c>
      <x:c r="K15" s="127">
        <x:v>0.52400000000000002</x:v>
      </x:c>
      <x:c r="L15" s="127">
        <x:v>0.52600000000000002</x:v>
      </x:c>
      <x:c r="M15" s="54" t="s">
        <x:v>132</x:v>
      </x:c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3"/>
    </x:row>
    <x:row r="16" ht="18" customHeight="1">
      <x:c r="A16" s="54" t="s">
        <x:v>365</x:v>
      </x:c>
      <x:c r="B16" s="127">
        <x:v>0.35</x:v>
      </x:c>
      <x:c r="C16" s="127">
        <x:v>0.32800000000000001</x:v>
      </x:c>
      <x:c r="D16" s="127">
        <x:v>0.3</x:v>
      </x:c>
      <x:c r="E16" s="127">
        <x:v>0.314</x:v>
      </x:c>
      <x:c r="F16" s="127">
        <x:v>0.317</x:v>
      </x:c>
      <x:c r="G16" s="127">
        <x:v>0.314</x:v>
      </x:c>
      <x:c r="H16" s="127">
        <x:v>0.308</x:v>
      </x:c>
      <x:c r="I16" s="127">
        <x:v>0.308</x:v>
      </x:c>
      <x:c r="J16" s="127">
        <x:v>0.32800000000000001</x:v>
      </x:c>
      <x:c r="K16" s="127">
        <x:v>0.32100000000000001</x:v>
      </x:c>
      <x:c r="L16" s="127">
        <x:v>0.312</x:v>
      </x:c>
      <x:c r="M16" s="54" t="s">
        <x:v>132</x:v>
      </x:c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3"/>
    </x:row>
    <x:row r="17" ht="18" customHeight="1">
      <x:c r="A17" s="54" t="s">
        <x:v>366</x:v>
      </x:c>
      <x:c r="B17" s="127">
        <x:v>0.18</x:v>
      </x:c>
      <x:c r="C17" s="127">
        <x:v>0.153</x:v>
      </x:c>
      <x:c r="D17" s="127">
        <x:v>0.14799999999999999</x:v>
      </x:c>
      <x:c r="E17" s="127">
        <x:v>0.14399999999999999</x:v>
      </x:c>
      <x:c r="F17" s="127">
        <x:v>0.14199999999999999</x:v>
      </x:c>
      <x:c r="G17" s="127">
        <x:v>0.14799999999999999</x:v>
      </x:c>
      <x:c r="H17" s="127">
        <x:v>0.16800000000000001</x:v>
      </x:c>
      <x:c r="I17" s="127">
        <x:v>0.189</x:v>
      </x:c>
      <x:c r="J17" s="127">
        <x:v>0.13700000000000001</x:v>
      </x:c>
      <x:c r="K17" s="127">
        <x:v>0.155</x:v>
      </x:c>
      <x:c r="L17" s="127">
        <x:v>0.16200000000000001</x:v>
      </x:c>
      <x:c r="M17" s="54" t="s">
        <x:v>132</x:v>
      </x:c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3"/>
    </x:row>
    <x:row r="18" ht="18" customHeight="1">
      <x:c r="A18" s="54" t="s">
        <x:v>367</x:v>
      </x:c>
      <x:c r="B18" s="127">
        <x:v>0</x:v>
      </x:c>
      <x:c r="C18" s="127">
        <x:v>1E-3</x:v>
      </x:c>
      <x:c r="D18" s="127">
        <x:v>0</x:v>
      </x:c>
      <x:c r="E18" s="127">
        <x:v>0</x:v>
      </x:c>
      <x:c r="F18" s="127">
        <x:v>0</x:v>
      </x:c>
      <x:c r="G18" s="127">
        <x:v>0</x:v>
      </x:c>
      <x:c r="H18" s="127">
        <x:v>0</x:v>
      </x:c>
      <x:c r="I18" s="127">
        <x:v>0</x:v>
      </x:c>
      <x:c r="J18" s="127">
        <x:v>1E-3</x:v>
      </x:c>
      <x:c r="K18" s="127">
        <x:v>0</x:v>
      </x:c>
      <x:c r="L18" s="127">
        <x:v>0</x:v>
      </x:c>
      <x:c r="M18" s="54" t="s">
        <x:v>132</x:v>
      </x:c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3"/>
    </x:row>
    <x:row r="19" ht="18" customHeight="1">
      <x:c r="A19" s="54" t="s">
        <x:v>368</x:v>
      </x:c>
      <x:c r="B19" s="126">
        <x:v>-6.2</x:v>
      </x:c>
      <x:c r="C19" s="126">
        <x:v>1.9</x:v>
      </x:c>
      <x:c r="D19" s="126">
        <x:v>24.4</x:v>
      </x:c>
      <x:c r="E19" s="126">
        <x:v>25.8</x:v>
      </x:c>
      <x:c r="F19" s="126">
        <x:v>31.1</x:v>
      </x:c>
      <x:c r="G19" s="126">
        <x:v>36.9</x:v>
      </x:c>
      <x:c r="H19" s="126">
        <x:v>40.5</x:v>
      </x:c>
      <x:c r="I19" s="126">
        <x:v>39.4</x:v>
      </x:c>
      <x:c r="J19" s="126">
        <x:v>11.3</x:v>
      </x:c>
      <x:c r="K19" s="126">
        <x:v>45.9</x:v>
      </x:c>
      <x:c r="L19" s="126">
        <x:v>148</x:v>
      </x:c>
      <x:c r="M19" s="54" t="s">
        <x:v>146</x:v>
      </x:c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3"/>
    </x:row>
    <x:row r="20" ht="18" customHeight="1">
      <x:c r="A20" s="54" t="s">
        <x:v>131</x:v>
      </x:c>
      <x:c r="B20" s="127">
        <x:v>1.1499999999999999</x:v>
      </x:c>
      <x:c r="C20" s="127">
        <x:v>-0.82199999999999995</x:v>
      </x:c>
      <x:c r="D20" s="127">
        <x:v>1.655</x:v>
      </x:c>
      <x:c r="E20" s="127">
        <x:v>-5.3179999999999996</x:v>
      </x:c>
      <x:c r="F20" s="127">
        <x:v>-6.0209999999999999</x:v>
      </x:c>
      <x:c r="G20" s="127">
        <x:v>18.745999999999999</x:v>
      </x:c>
      <x:c r="H20" s="127">
        <x:v>0.65800000000000003</x:v>
      </x:c>
      <x:c r="I20" s="127">
        <x:v>0.52800000000000002</x:v>
      </x:c>
      <x:c r="J20" s="127">
        <x:v>-0.52600000000000002</x:v>
      </x:c>
      <x:c r="K20" s="127">
        <x:v>3.0760000000000001</x:v>
      </x:c>
      <x:c r="L20" s="127">
        <x:v>2.2240000000000002</x:v>
      </x:c>
      <x:c r="M20" s="54" t="s">
        <x:v>132</x:v>
      </x:c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3"/>
    </x:row>
    <x:row r="21" ht="18" customHeight="1">
      <x:c r="A21" s="54" t="s">
        <x:v>133</x:v>
      </x:c>
      <x:c r="B21" s="127">
        <x:v>4.1000000000000002E-2</x:v>
      </x:c>
      <x:c r="C21" s="127">
        <x:v>-1.3140000000000001</x:v>
      </x:c>
      <x:c r="D21" s="127">
        <x:v>12.074</x:v>
      </x:c>
      <x:c r="E21" s="127">
        <x:v>5.3999999999999999E-2</x:v>
      </x:c>
      <x:c r="F21" s="127">
        <x:v>0.20799999999999999</x:v>
      </x:c>
      <x:c r="G21" s="127">
        <x:v>0.186</x:v>
      </x:c>
      <x:c r="H21" s="127">
        <x:v>9.8000000000000004E-2</x:v>
      </x:c>
      <x:c r="I21" s="127">
        <x:v>-2.8000000000000001E-2</x:v>
      </x:c>
      <x:c r="J21" s="127"/>
      <x:c r="K21" s="127"/>
      <x:c r="L21" s="127"/>
      <x:c r="M21" s="54" t="s">
        <x:v>132</x:v>
      </x:c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3"/>
    </x:row>
    <x:row r="22" ht="18" customHeight="1">
      <x:c r="A22" s="54" t="s">
        <x:v>354</x:v>
      </x:c>
      <x:c r="B22" s="127">
        <x:v>-2.9000000000000001E-2</x:v>
      </x:c>
      <x:c r="C22" s="127">
        <x:v>8.0000000000000002E-3</x:v>
      </x:c>
      <x:c r="D22" s="127">
        <x:v>8.5000000000000006E-2</x:v>
      </x:c>
      <x:c r="E22" s="127">
        <x:v>8.4000000000000005E-2</x:v>
      </x:c>
      <x:c r="F22" s="127">
        <x:v>9.9000000000000005E-2</x:v>
      </x:c>
      <x:c r="G22" s="127">
        <x:v>0.111</x:v>
      </x:c>
      <x:c r="H22" s="127">
        <x:v>0.11600000000000001</x:v>
      </x:c>
      <x:c r="I22" s="127">
        <x:v>0.113</x:v>
      </x:c>
      <x:c r="J22" s="127">
        <x:v>1.2999999999999999E-2</x:v>
      </x:c>
      <x:c r="K22" s="127">
        <x:v>4.3999999999999997E-2</x:v>
      </x:c>
      <x:c r="L22" s="127">
        <x:v>0.11</x:v>
      </x:c>
      <x:c r="M22" s="54" t="s">
        <x:v>132</x:v>
      </x:c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3"/>
    </x:row>
    <x:row r="23" ht="18" customHeight="1">
      <x:c r="A23" s="12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3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3"/>
    </x:row>
    <x:row r="24" ht="18" customHeight="1">
      <x:c r="A24" s="116" t="s">
        <x:v>209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3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3"/>
    </x:row>
    <x:row r="25" ht="18" customHeight="1">
      <x:c r="A25" s="12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3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3"/>
    </x:row>
    <x:row r="26" ht="19.950000762939453" customHeight="1">
      <x:c r="A26" s="80" t="s">
        <x:v>297</x:v>
      </x:c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2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3"/>
    </x:row>
    <x:row r="27" ht="19.950000762939453" customHeight="1">
      <x:c r="A27" s="53" t="s">
        <x:v>152</x:v>
      </x:c>
      <x:c r="B27" s="53" t="s">
        <x:v>114</x:v>
      </x:c>
      <x:c r="C27" s="53" t="s">
        <x:v>115</x:v>
      </x:c>
      <x:c r="D27" s="53" t="s">
        <x:v>116</x:v>
      </x:c>
      <x:c r="E27" s="53" t="s">
        <x:v>374</x:v>
      </x:c>
      <x:c r="F27" s="53" t="s">
        <x:v>118</x:v>
      </x:c>
      <x:c r="G27" s="53" t="s">
        <x:v>119</x:v>
      </x:c>
      <x:c r="H27" s="53" t="s">
        <x:v>120</x:v>
      </x:c>
      <x:c r="I27" s="53" t="s">
        <x:v>121</x:v>
      </x:c>
      <x:c r="J27" s="53" t="s">
        <x:v>143</x:v>
      </x:c>
      <x:c r="K27" s="53" t="s">
        <x:v>144</x:v>
      </x:c>
      <x:c r="L27" s="53" t="s">
        <x:v>123</x:v>
      </x:c>
      <x:c r="M27" s="53" t="s">
        <x:v>108</x:v>
      </x:c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3"/>
    </x:row>
    <x:row r="28" ht="18" customHeight="1">
      <x:c r="A28" s="54" t="s">
        <x:v>369</x:v>
      </x:c>
      <x:c r="B28" s="54" t="n">
        <x:f t="shared" ref="B28:L28" si="0">B8+B11+B12</x:f>
        <x:v>215.39999999999998</x:v>
      </x:c>
      <x:c r="C28" s="54">
        <x:f t="shared" si="0"/>
        <x:v>245.8</x:v>
      </x:c>
      <x:c r="D28" s="54">
        <x:f t="shared" si="0"/>
        <x:v>286.2</x:v>
      </x:c>
      <x:c r="E28" s="54">
        <x:f t="shared" si="0"/>
        <x:v>307.39999999999998</x:v>
      </x:c>
      <x:c r="F28" s="54">
        <x:f t="shared" si="0"/>
        <x:v>314.20000000000005</x:v>
      </x:c>
      <x:c r="G28" s="54">
        <x:f t="shared" si="0"/>
        <x:v>332.70000000000005</x:v>
      </x:c>
      <x:c r="H28" s="54">
        <x:f t="shared" si="0"/>
        <x:v>348.5</x:v>
      </x:c>
      <x:c r="I28" s="54">
        <x:f t="shared" si="0"/>
        <x:v>348.8</x:v>
      </x:c>
      <x:c r="J28" s="54">
        <x:f t="shared" si="0"/>
        <x:v>892.19999999999993</x:v>
      </x:c>
      <x:c r="K28" s="54">
        <x:f t="shared" si="0"/>
        <x:v>1054.8999999999999</x:v>
      </x:c>
      <x:c r="L28" s="54">
        <x:f t="shared" si="0"/>
        <x:v>1344.2</x:v>
      </x:c>
      <x:c r="M28" s="56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3"/>
    </x:row>
    <x:row r="29" ht="18" customHeight="1">
      <x:c r="A29" s="54" t="s">
        <x:v>370</x:v>
      </x:c>
      <x:c r="B29" s="54" t="n">
        <x:f t="shared" ref="B29:L29" si="1">B28-B5</x:f>
        <x:v>-2.842170943040401e-14</x:v>
      </x:c>
      <x:c r="C29" s="54">
        <x:f t="shared" si="1"/>
        <x:v>-9.9999999999994316E-2</x:v>
      </x:c>
      <x:c r="D29" s="54">
        <x:f t="shared" si="1"/>
        <x:v>0</x:v>
      </x:c>
      <x:c r="E29" s="54">
        <x:f t="shared" si="1"/>
        <x:v>0</x:v>
      </x:c>
      <x:c r="F29" s="54">
        <x:f t="shared" si="1"/>
        <x:v>0</x:v>
      </x:c>
      <x:c r="G29" s="54">
        <x:f t="shared" si="1"/>
        <x:v>0</x:v>
      </x:c>
      <x:c r="H29" s="54">
        <x:f t="shared" si="1"/>
        <x:v>0</x:v>
      </x:c>
      <x:c r="I29" s="54">
        <x:f t="shared" si="1"/>
        <x:v>0</x:v>
      </x:c>
      <x:c r="J29" s="54">
        <x:f t="shared" si="1"/>
        <x:v>9.9999999999909051E-2</x:v>
      </x:c>
      <x:c r="K29" s="54">
        <x:f t="shared" si="1"/>
        <x:v>9.9999999999909051E-2</x:v>
      </x:c>
      <x:c r="L29" s="54">
        <x:f t="shared" si="1"/>
        <x:v>0</x:v>
      </x:c>
      <x:c r="M29" s="56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3"/>
    </x:row>
    <x:row r="30" ht="18" customHeight="1">
      <x:c r="A30" s="54" t="s">
        <x:v>371</x:v>
      </x:c>
      <x:c r="B30" s="124" t="n">
        <x:f t="shared" ref="B30:L30" si="2">IFERROR(B19/B5,"")</x:f>
        <x:v>-0.028783658310120707</x:v>
      </x:c>
      <x:c r="C30" s="124">
        <x:f t="shared" si="2"/>
        <x:v>7.7267181781211867E-3</x:v>
      </x:c>
      <x:c r="D30" s="124">
        <x:f t="shared" si="2"/>
        <x:v>8.5255066387141851E-2</x:v>
      </x:c>
      <x:c r="E30" s="124">
        <x:f t="shared" si="2"/>
        <x:v>8.3929733246584259E-2</x:v>
      </x:c>
      <x:c r="F30" s="124">
        <x:f t="shared" si="2"/>
        <x:v>9.8981540420114589E-2</x:v>
      </x:c>
      <x:c r="G30" s="124">
        <x:f t="shared" si="2"/>
        <x:v>0.1109107303877367</x:v>
      </x:c>
      <x:c r="H30" s="124">
        <x:f t="shared" si="2"/>
        <x:v>0.11621233859397417</x:v>
      </x:c>
      <x:c r="I30" s="124">
        <x:f t="shared" si="2"/>
        <x:v>0.11295871559633026</x:v>
      </x:c>
      <x:c r="J30" s="124">
        <x:f t="shared" si="2"/>
        <x:v>1.2666741396704406E-2</x:v>
      </x:c>
      <x:c r="K30" s="124">
        <x:f t="shared" si="2"/>
        <x:v>4.3515358361774746E-2</x:v>
      </x:c>
      <x:c r="L30" s="124">
        <x:f t="shared" si="2"/>
        <x:v>0.11010266329415265</x:v>
      </x:c>
      <x:c r="M30" s="56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3"/>
    </x:row>
    <x:row r="31" ht="18" customHeight="1">
      <x:c r="A31" s="9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3"/>
    </x:row>
    <x:row r="32" ht="18" customHeight="1">
      <x:c r="A32" s="164" t="s">
        <x:v>372</x:v>
      </x:c>
      <x:c r="B32" s="148"/>
      <x:c r="C32" s="148"/>
      <x:c r="D32" s="148"/>
      <x:c r="E32" s="148"/>
      <x:c r="F32" s="148"/>
      <x:c r="G32" s="148"/>
      <x:c r="H32" s="148"/>
      <x:c r="I32" s="148"/>
      <x:c r="J32" s="148"/>
      <x:c r="K32" s="148"/>
      <x:c r="L32" s="148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3"/>
    </x:row>
    <x:row r="33" ht="18" customHeight="1">
      <x:c r="A33" s="12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3"/>
    </x:row>
    <x:row r="34" ht="18" customHeight="1">
      <x:c r="A34" s="12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3"/>
    </x:row>
    <x:row r="35" ht="18" customHeight="1">
      <x:c r="A35" s="12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3"/>
    </x:row>
    <x:row r="36" ht="18" customHeight="1">
      <x:c r="A36" s="12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3"/>
    </x:row>
    <x:row r="37" ht="18" customHeight="1">
      <x:c r="A37" s="12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3"/>
    </x:row>
    <x:row r="38" ht="18" customHeight="1">
      <x:c r="A38" s="12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3"/>
    </x:row>
    <x:row r="39" ht="18" customHeight="1">
      <x:c r="A39" s="12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3"/>
    </x:row>
    <x:row r="40" ht="18" customHeight="1">
      <x:c r="A40" s="12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3"/>
    </x:row>
    <x:row r="41" ht="18" customHeight="1">
      <x:c r="A41" s="12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3"/>
    </x:row>
    <x:row r="42" ht="18" customHeight="1">
      <x:c r="A42" s="12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3"/>
    </x:row>
    <x:row r="43" ht="18" customHeight="1">
      <x:c r="A43" s="12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3"/>
    </x:row>
    <x:row r="44" ht="18" customHeight="1">
      <x:c r="A44" s="12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3"/>
    </x:row>
    <x:row r="45" ht="18" customHeight="1">
      <x:c r="A45" s="12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3"/>
    </x:row>
    <x:row r="46" ht="18" customHeight="1">
      <x:c r="A46" s="12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3"/>
    </x:row>
    <x:row r="47" ht="18" customHeight="1">
      <x:c r="A47" s="12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3"/>
    </x:row>
    <x:row r="48" ht="18" customHeight="1">
      <x:c r="A48" s="12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3"/>
    </x:row>
    <x:row r="49" ht="18" customHeight="1">
      <x:c r="A49" s="12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3"/>
    </x:row>
    <x:row r="50" ht="18" customHeight="1">
      <x:c r="A50" s="12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3"/>
    </x:row>
    <x:row r="51" ht="18" customHeight="1">
      <x:c r="A51" s="12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3"/>
    </x:row>
    <x:row r="52" ht="18" customHeight="1">
      <x:c r="A52" s="12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3"/>
    </x:row>
    <x:row r="53" ht="18" customHeight="1">
      <x:c r="A53" s="12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3"/>
    </x:row>
    <x:row r="54" ht="18" customHeight="1">
      <x:c r="A54" s="12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3"/>
    </x:row>
    <x:row r="55" ht="18" customHeight="1">
      <x:c r="A55" s="12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3"/>
    </x:row>
    <x:row r="56" ht="18" customHeight="1">
      <x:c r="A56" s="12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3"/>
    </x:row>
    <x:row r="57" ht="18" customHeight="1">
      <x:c r="A57" s="12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3"/>
    </x:row>
    <x:row r="58" ht="18" customHeight="1">
      <x:c r="A58" s="12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3"/>
    </x:row>
    <x:row r="59" ht="18" customHeight="1">
      <x:c r="A59" s="12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3"/>
    </x:row>
    <x:row r="60" ht="18" customHeight="1">
      <x:c r="A60" s="9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</x:sheetData>
  <x:mergeCells>
    <x:mergeCell ref="A2:M2"/>
    <x:mergeCell ref="A32:L3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1F6E6A"/>
  </x:sheetPr>
  <x:sheetViews>
    <x:sheetView showGridLines="0" workbookViewId="0"/>
  </x:sheetViews>
  <x:sheetFormatPr defaultColWidth="8.69921875" defaultRowHeight="17.399999618530273"/>
  <x:cols>
    <x:col min="1" max="1" width="24" customWidth="1"/>
    <x:col min="2" max="6" width="12" customWidth="1"/>
    <x:col min="7" max="7" width="28" customWidth="1"/>
    <x:col min="8" max="26" width="10" customWidth="1"/>
  </x:cols>
  <x:sheetData>
    <x:row r="1" ht="22.049999237060547" customHeight="1">
      <x:c r="A1" s="111" t="s">
        <x:v>375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6"/>
    </x:row>
    <x:row r="2" ht="18" customHeight="1">
      <x:c r="A2" s="165" t="s">
        <x:v>376</x:v>
      </x:c>
      <x:c r="B2" s="148"/>
      <x:c r="C2" s="148"/>
      <x:c r="D2" s="148"/>
      <x:c r="E2" s="148"/>
      <x:c r="F2" s="148"/>
      <x:c r="G2" s="148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28"/>
    </x:row>
    <x:row r="3" ht="18" customHeight="1">
      <x:c r="A3" s="12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3"/>
    </x:row>
    <x:row r="4" ht="19.950000762939453" customHeight="1">
      <x:c r="A4" s="53" t="s">
        <x:v>3</x:v>
      </x:c>
      <x:c r="B4" s="53" t="s">
        <x:v>142</x:v>
      </x:c>
      <x:c r="C4" s="53" t="s">
        <x:v>143</x:v>
      </x:c>
      <x:c r="D4" s="53" t="s">
        <x:v>144</x:v>
      </x:c>
      <x:c r="E4" s="53" t="s">
        <x:v>123</x:v>
      </x:c>
      <x:c r="F4" s="53" t="s">
        <x:v>124</x:v>
      </x:c>
      <x:c r="G4" s="53" t="s">
        <x:v>109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3"/>
    </x:row>
    <x:row r="5" ht="18" customHeight="1">
      <x:c r="A5" s="54" t="s">
        <x:v>145</x:v>
      </x:c>
      <x:c r="B5" s="210" t="n">
        <x:f>'_REFLO_BRIDGE'!$AJ$24</x:f>
        <x:v>909.7</x:v>
      </x:c>
      <x:c r="C5" s="210" t="n">
        <x:f>'_REFLO_BRIDGE'!$AK$24</x:f>
        <x:v>892.1</x:v>
      </x:c>
      <x:c r="D5" s="128" t="n">
        <x:f>'M1_실적추정_모델'!J16</x:f>
        <x:v>1065.3</x:v>
      </x:c>
      <x:c r="E5" s="128" t="n">
        <x:f>'M1_실적추정_모델'!K16</x:f>
        <x:v>1485.5</x:v>
      </x:c>
      <x:c r="F5" s="128" t="n">
        <x:f>'M1_실적추정_모델'!L16</x:f>
        <x:v>1633.3000000000002</x:v>
      </x:c>
      <x:c r="G5" s="56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3"/>
    </x:row>
    <x:row r="6" ht="18" customHeight="1">
      <x:c r="A6" s="54" t="s">
        <x:v>377</x:v>
      </x:c>
      <x:c r="B6" s="210" t="n">
        <x:f>'_REFLO_BRIDGE'!$AJ$25</x:f>
        <x:v>834.5</x:v>
      </x:c>
      <x:c r="C6" s="210" t="n">
        <x:f>'_REFLO_BRIDGE'!$AK$25</x:f>
        <x:v>830.6</x:v>
      </x:c>
      <x:c r="D6" s="211" t="n">
        <x:f>'_REFLO_BRIDGE'!$AL$25</x:f>
        <x:v>957.2</x:v>
      </x:c>
      <x:c r="E6" s="211" t="n">
        <x:f>'_REFLO_BRIDGE'!$AM$25</x:f>
        <x:v>1242.2</x:v>
      </x:c>
      <x:c r="F6" s="211" t="n">
        <x:f>'_REFLO_BRIDGE'!$AN$25</x:f>
        <x:v>1355.4</x:v>
      </x:c>
      <x:c r="G6" s="56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3"/>
    </x:row>
    <x:row r="7" ht="18" customHeight="1">
      <x:c r="A7" s="54" t="s">
        <x:v>378</x:v>
      </x:c>
      <x:c r="B7" s="78" t="n">
        <x:f>B5-B6</x:f>
        <x:v>75.20000000000005</x:v>
      </x:c>
      <x:c r="C7" s="78" t="n">
        <x:f>C5-C6</x:f>
        <x:v>61.5</x:v>
      </x:c>
      <x:c r="D7" s="64" t="n">
        <x:f>D5-D6</x:f>
        <x:v>108.09999999999991</x:v>
      </x:c>
      <x:c r="E7" s="64" t="n">
        <x:f>E5-E6</x:f>
        <x:v>243.29999999999995</x:v>
      </x:c>
      <x:c r="F7" s="64" t="n">
        <x:f>F5-F6</x:f>
        <x:v>277.9000000000001</x:v>
      </x:c>
      <x:c r="G7" s="56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3"/>
    </x:row>
    <x:row r="8" ht="18" customHeight="1">
      <x:c r="A8" s="54" t="s">
        <x:v>379</x:v>
      </x:c>
      <x:c r="B8" s="210" t="n">
        <x:f>'_REFLO_BRIDGE'!$AJ$27</x:f>
        <x:v>51.4</x:v>
      </x:c>
      <x:c r="C8" s="210" t="n">
        <x:f>'_REFLO_BRIDGE'!$AK$27</x:f>
        <x:v>50.3</x:v>
      </x:c>
      <x:c r="D8" s="211" t="n">
        <x:f>'_REFLO_BRIDGE'!$AL$27</x:f>
        <x:v>59</x:v>
      </x:c>
      <x:c r="E8" s="211" t="n">
        <x:f>'_REFLO_BRIDGE'!$AM$27</x:f>
        <x:v>63.3</x:v>
      </x:c>
      <x:c r="F8" s="211" t="n">
        <x:f>'_REFLO_BRIDGE'!$AN$27</x:f>
        <x:v>59.5</x:v>
      </x:c>
      <x:c r="G8" s="56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3"/>
    </x:row>
    <x:row r="9" ht="18" customHeight="1">
      <x:c r="A9" s="54" t="s">
        <x:v>135</x:v>
      </x:c>
      <x:c r="B9" s="210" t="n">
        <x:f>'_REFLO_BRIDGE'!$AJ$28</x:f>
        <x:v>23.7</x:v>
      </x:c>
      <x:c r="C9" s="210" t="n">
        <x:f>'_REFLO_BRIDGE'!$AK$28</x:f>
        <x:v>11.3</x:v>
      </x:c>
      <x:c r="D9" s="128" t="n">
        <x:f>'M1_실적추정_모델'!J21</x:f>
        <x:v>49.099999999999994</x:v>
      </x:c>
      <x:c r="E9" s="128" t="n">
        <x:f>'M1_실적추정_모델'!K21</x:f>
        <x:v>180</x:v>
      </x:c>
      <x:c r="F9" s="128" t="n">
        <x:f>'M1_실적추정_모델'!L21</x:f>
        <x:v>218.3</x:v>
      </x:c>
      <x:c r="G9" s="56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3"/>
    </x:row>
    <x:row r="10" ht="18" customHeight="1">
      <x:c r="A10" s="54" t="s">
        <x:v>380</x:v>
      </x:c>
      <x:c r="B10" s="210" t="n">
        <x:f>'_REFLO_BRIDGE'!$AJ$29</x:f>
        <x:v>9.1</x:v>
      </x:c>
      <x:c r="C10" s="210" t="n">
        <x:f>'_REFLO_BRIDGE'!$AK$29</x:f>
        <x:v>17.1</x:v>
      </x:c>
      <x:c r="D10" s="211" t="n">
        <x:f>'_REFLO_BRIDGE'!$AL$29</x:f>
        <x:v>0.7</x:v>
      </x:c>
      <x:c r="E10" s="211" t="n">
        <x:f>'_REFLO_BRIDGE'!$AM$29</x:f>
        <x:v>9.4</x:v>
      </x:c>
      <x:c r="F10" s="211" t="n">
        <x:f>'_REFLO_BRIDGE'!$AN$29</x:f>
        <x:v>9.1</x:v>
      </x:c>
      <x:c r="G10" s="56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3"/>
    </x:row>
    <x:row r="11" ht="18" customHeight="1">
      <x:c r="A11" s="54" t="s">
        <x:v>381</x:v>
      </x:c>
      <x:c r="B11" s="210" t="n">
        <x:f>'_REFLO_BRIDGE'!$AJ$30</x:f>
        <x:v>0</x:v>
      </x:c>
      <x:c r="C11" s="210" t="n">
        <x:f>'_REFLO_BRIDGE'!$AK$30</x:f>
        <x:v>0</x:v>
      </x:c>
      <x:c r="D11" s="211" t="n">
        <x:f>'_REFLO_BRIDGE'!$AL$30</x:f>
        <x:v>-1.8</x:v>
      </x:c>
      <x:c r="E11" s="211" t="n">
        <x:f>'_REFLO_BRIDGE'!$AM$30</x:f>
        <x:v>-2.1</x:v>
      </x:c>
      <x:c r="F11" s="211" t="n">
        <x:f>'_REFLO_BRIDGE'!$AN$30</x:f>
        <x:v>5.5</x:v>
      </x:c>
      <x:c r="G11" s="56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3"/>
    </x:row>
    <x:row r="12" ht="18" customHeight="1">
      <x:c r="A12" s="54" t="s">
        <x:v>382</x:v>
      </x:c>
      <x:c r="B12" s="210" t="n">
        <x:f>'_REFLO_BRIDGE'!$AJ$31</x:f>
        <x:v>-4.5</x:v>
      </x:c>
      <x:c r="C12" s="210" t="n">
        <x:f>'_REFLO_BRIDGE'!$AK$31</x:f>
        <x:v>1.8</x:v>
      </x:c>
      <x:c r="D12" s="211" t="n">
        <x:f>'_REFLO_BRIDGE'!$AL$31</x:f>
        <x:v>5.5</x:v>
      </x:c>
      <x:c r="E12" s="211" t="n">
        <x:f>'_REFLO_BRIDGE'!$AM$31</x:f>
        <x:v>0</x:v>
      </x:c>
      <x:c r="F12" s="211" t="n">
        <x:f>'_REFLO_BRIDGE'!$AN$31</x:f>
        <x:v>-4.5</x:v>
      </x:c>
      <x:c r="G12" s="56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3"/>
    </x:row>
    <x:row r="13" ht="18" customHeight="1">
      <x:c r="A13" s="54" t="s">
        <x:v>147</x:v>
      </x:c>
      <x:c r="B13" s="210" t="n">
        <x:f>'_REFLO_BRIDGE'!$AJ$32</x:f>
        <x:v>28.4</x:v>
      </x:c>
      <x:c r="C13" s="210" t="n">
        <x:f>'_REFLO_BRIDGE'!$AK$32</x:f>
        <x:v>30.2</x:v>
      </x:c>
      <x:c r="D13" s="128" t="n">
        <x:f>'M1_실적추정_모델'!J25</x:f>
        <x:v>53.5</x:v>
      </x:c>
      <x:c r="E13" s="128" t="n">
        <x:f>'M1_실적추정_모델'!K25</x:f>
        <x:v>187.3</x:v>
      </x:c>
      <x:c r="F13" s="128" t="n">
        <x:f>'M1_실적추정_모델'!L25</x:f>
        <x:v>228.5</x:v>
      </x:c>
      <x:c r="G13" s="56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3"/>
    </x:row>
    <x:row r="14" ht="18" customHeight="1">
      <x:c r="A14" s="54" t="s">
        <x:v>383</x:v>
      </x:c>
      <x:c r="B14" s="210" t="n">
        <x:f>'_REFLO_BRIDGE'!$AJ$33</x:f>
        <x:v>3</x:v>
      </x:c>
      <x:c r="C14" s="210" t="n">
        <x:f>'_REFLO_BRIDGE'!$AK$33</x:f>
        <x:v>6.4</x:v>
      </x:c>
      <x:c r="D14" s="211" t="n">
        <x:f>'_REFLO_BRIDGE'!$AL$33</x:f>
        <x:v>4.7</x:v>
      </x:c>
      <x:c r="E14" s="211" t="n">
        <x:f>'_REFLO_BRIDGE'!$AM$33</x:f>
        <x:v>37.5</x:v>
      </x:c>
      <x:c r="F14" s="211" t="n">
        <x:f>'_REFLO_BRIDGE'!$AN$33</x:f>
        <x:v>45.7</x:v>
      </x:c>
      <x:c r="G14" s="56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3"/>
    </x:row>
    <x:row r="15" ht="18" customHeight="1">
      <x:c r="A15" s="54" t="s">
        <x:v>384</x:v>
      </x:c>
      <x:c r="B15" s="78" t="n">
        <x:f>B13-B14</x:f>
        <x:v>25.4</x:v>
      </x:c>
      <x:c r="C15" s="78" t="n">
        <x:f>C13-C14</x:f>
        <x:v>23.799999999999997</x:v>
      </x:c>
      <x:c r="D15" s="64" t="n">
        <x:f>D19</x:f>
        <x:v>48.8</x:v>
      </x:c>
      <x:c r="E15" s="64" t="n">
        <x:f>E19</x:f>
        <x:v>149.9</x:v>
      </x:c>
      <x:c r="F15" s="64" t="n">
        <x:f>F19</x:f>
        <x:v>182.8</x:v>
      </x:c>
      <x:c r="G15" s="56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3"/>
    </x:row>
    <x:row r="16" ht="18" customHeight="1">
      <x:c r="A16" s="54" t="s">
        <x:v>385</x:v>
      </x:c>
      <x:c r="B16" s="210" t="n">
        <x:f>'_REFLO_BRIDGE'!$AJ$35</x:f>
        <x:v>0</x:v>
      </x:c>
      <x:c r="C16" s="210" t="n">
        <x:f>'_REFLO_BRIDGE'!$AK$35</x:f>
        <x:v>0</x:v>
      </x:c>
      <x:c r="D16" s="211" t="n">
        <x:f>'_REFLO_BRIDGE'!$AL$35</x:f>
        <x:v>0</x:v>
      </x:c>
      <x:c r="E16" s="211" t="n">
        <x:f>'_REFLO_BRIDGE'!$AM$35</x:f>
        <x:v>0</x:v>
      </x:c>
      <x:c r="F16" s="211" t="n">
        <x:f>'_REFLO_BRIDGE'!$AN$35</x:f>
        <x:v>0</x:v>
      </x:c>
      <x:c r="G16" s="56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3"/>
    </x:row>
    <x:row r="17" ht="18" customHeight="1">
      <x:c r="A17" s="54" t="s">
        <x:v>386</x:v>
      </x:c>
      <x:c r="B17" s="78" t="n">
        <x:f>B15+B16</x:f>
        <x:v>25.4</x:v>
      </x:c>
      <x:c r="C17" s="78" t="n">
        <x:f>C15+C16</x:f>
        <x:v>23.799999999999997</x:v>
      </x:c>
      <x:c r="D17" s="64" t="n">
        <x:f>D15+D16</x:f>
        <x:v>48.8</x:v>
      </x:c>
      <x:c r="E17" s="64" t="n">
        <x:f>E15+E16</x:f>
        <x:v>149.9</x:v>
      </x:c>
      <x:c r="F17" s="64" t="n">
        <x:f>F15+F16</x:f>
        <x:v>182.8</x:v>
      </x:c>
      <x:c r="G17" s="56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3"/>
    </x:row>
    <x:row r="18" ht="18" customHeight="1">
      <x:c r="A18" s="54" t="s">
        <x:v>387</x:v>
      </x:c>
      <x:c r="B18" s="210" t="n">
        <x:f>'_REFLO_BRIDGE'!$AJ$37</x:f>
        <x:v>0</x:v>
      </x:c>
      <x:c r="C18" s="210" t="n">
        <x:f>'_REFLO_BRIDGE'!$AK$37</x:f>
        <x:v>0</x:v>
      </x:c>
      <x:c r="D18" s="211" t="n">
        <x:f>'_REFLO_BRIDGE'!$AL$37</x:f>
        <x:v>0</x:v>
      </x:c>
      <x:c r="E18" s="211" t="n">
        <x:f>'_REFLO_BRIDGE'!$AM$37</x:f>
        <x:v>0</x:v>
      </x:c>
      <x:c r="F18" s="211" t="n">
        <x:f>'_REFLO_BRIDGE'!$AN$37</x:f>
        <x:v>0</x:v>
      </x:c>
      <x:c r="G18" s="56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3"/>
    </x:row>
    <x:row r="19" ht="18" customHeight="1">
      <x:c r="A19" s="54" t="s">
        <x:v>148</x:v>
      </x:c>
      <x:c r="B19" s="210" t="n">
        <x:f>'_REFLO_BRIDGE'!$AJ$38</x:f>
        <x:v>25.4</x:v>
      </x:c>
      <x:c r="C19" s="210" t="n">
        <x:f>'_REFLO_BRIDGE'!$AK$38</x:f>
        <x:v>23.8</x:v>
      </x:c>
      <x:c r="D19" s="128" t="n">
        <x:f>'M1_실적추정_모델'!J26</x:f>
        <x:v>48.8</x:v>
      </x:c>
      <x:c r="E19" s="128" t="n">
        <x:f>'M1_실적추정_모델'!K26</x:f>
        <x:v>149.9</x:v>
      </x:c>
      <x:c r="F19" s="128" t="n">
        <x:f>'M1_실적추정_모델'!L26</x:f>
        <x:v>182.8</x:v>
      </x:c>
      <x:c r="G19" s="56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3"/>
    </x:row>
    <x:row r="20" ht="18" customHeight="1">
      <x:c r="A20" s="54" t="s">
        <x:v>388</x:v>
      </x:c>
      <x:c r="B20" s="210" t="n">
        <x:f>'_REFLO_BRIDGE'!$AJ$39</x:f>
        <x:v>34</x:v>
      </x:c>
      <x:c r="C20" s="210" t="n">
        <x:f>'_REFLO_BRIDGE'!$AK$39</x:f>
        <x:v>22.6</x:v>
      </x:c>
      <x:c r="D20" s="211" t="n">
        <x:f>'_REFLO_BRIDGE'!$AL$39</x:f>
        <x:v>46.8</x:v>
      </x:c>
      <x:c r="E20" s="211" t="n">
        <x:f>'_REFLO_BRIDGE'!$AM$39</x:f>
        <x:v>149.9</x:v>
      </x:c>
      <x:c r="F20" s="211" t="n">
        <x:f>'_REFLO_BRIDGE'!$AN$39</x:f>
        <x:v>182.8</x:v>
      </x:c>
      <x:c r="G20" s="56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3"/>
    </x:row>
    <x:row r="21" ht="18" customHeight="1">
      <x:c r="A21" s="54" t="s">
        <x:v>389</x:v>
      </x:c>
      <x:c r="B21" s="210" t="n">
        <x:f>'_REFLO_BRIDGE'!$AJ$40</x:f>
        <x:v>21.2</x:v>
      </x:c>
      <x:c r="C21" s="210" t="n">
        <x:f>'_REFLO_BRIDGE'!$AK$40</x:f>
        <x:v>8.9</x:v>
      </x:c>
      <x:c r="D21" s="211" t="n">
        <x:f>'_REFLO_BRIDGE'!$AL$40</x:f>
        <x:v>44.8</x:v>
      </x:c>
      <x:c r="E21" s="211" t="n">
        <x:f>'_REFLO_BRIDGE'!$AM$40</x:f>
        <x:v>144</x:v>
      </x:c>
      <x:c r="F21" s="211" t="n">
        <x:f>'_REFLO_BRIDGE'!$AN$40</x:f>
        <x:v>174.7</x:v>
      </x:c>
      <x:c r="G21" s="56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3"/>
    </x:row>
    <x:row r="22" ht="18" customHeight="1">
      <x:c r="A22" s="54" t="s">
        <x:v>390</x:v>
      </x:c>
      <x:c r="B22" s="210" t="n">
        <x:f>'_REFLO_BRIDGE'!$AJ$41</x:f>
        <x:v>138.8</x:v>
      </x:c>
      <x:c r="C22" s="210" t="n">
        <x:f>'_REFLO_BRIDGE'!$AK$41</x:f>
        <x:v>128.7</x:v>
      </x:c>
      <x:c r="D22" s="211" t="n">
        <x:f>'_REFLO_BRIDGE'!$AL$41</x:f>
        <x:v>150.1</x:v>
      </x:c>
      <x:c r="E22" s="211" t="n">
        <x:f>'_REFLO_BRIDGE'!$AM$41</x:f>
        <x:v>274.3</x:v>
      </x:c>
      <x:c r="F22" s="211" t="n">
        <x:f>'_REFLO_BRIDGE'!$AN$41</x:f>
        <x:v>308.8</x:v>
      </x:c>
      <x:c r="G22" s="56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3"/>
    </x:row>
    <x:row r="23" ht="19.950000762939453" customHeight="1">
      <x:c r="A23" s="74"/>
      <x:c r="B23" s="129"/>
      <x:c r="C23" s="129"/>
      <x:c r="D23" s="129"/>
      <x:c r="E23" s="129"/>
      <x:c r="F23" s="129"/>
      <x:c r="G23" s="74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3"/>
    </x:row>
    <x:row r="24" ht="18" customHeight="1">
      <x:c r="A24" s="54" t="s">
        <x:v>391</x:v>
      </x:c>
      <x:c r="B24" s="72"/>
      <x:c r="C24" s="72"/>
      <x:c r="D24" s="72"/>
      <x:c r="E24" s="72"/>
      <x:c r="F24" s="72"/>
      <x:c r="G24" s="56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3"/>
    </x:row>
    <x:row r="25" ht="18" customHeight="1">
      <x:c r="A25" s="54" t="s">
        <x:v>392</x:v>
      </x:c>
      <x:c r="B25" s="210" t="n">
        <x:f>'_REFLO_BRIDGE'!$AJ$44</x:f>
        <x:v>-0.3088</x:v>
      </x:c>
      <x:c r="C25" s="210" t="n">
        <x:f>'_REFLO_BRIDGE'!$AK$44</x:f>
        <x:v>-0.0193</x:v>
      </x:c>
      <x:c r="D25" s="211" t="n">
        <x:f>'_REFLO_BRIDGE'!$AL$44</x:f>
        <x:v>0.1941</x:v>
      </x:c>
      <x:c r="E25" s="211" t="n">
        <x:f>'_REFLO_BRIDGE'!$AM$44</x:f>
        <x:v>0.3945</x:v>
      </x:c>
      <x:c r="F25" s="211" t="n">
        <x:f>'_REFLO_BRIDGE'!$AN$44</x:f>
        <x:v>0.0994</x:v>
      </x:c>
      <x:c r="G25" s="56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3"/>
    </x:row>
    <x:row r="26" ht="18" customHeight="1">
      <x:c r="A26" s="54" t="s">
        <x:v>393</x:v>
      </x:c>
      <x:c r="B26" s="210" t="n">
        <x:f>'_REFLO_BRIDGE'!$AJ$45</x:f>
        <x:v>-0.8788</x:v>
      </x:c>
      <x:c r="C26" s="210" t="n">
        <x:f>'_REFLO_BRIDGE'!$AK$45</x:f>
        <x:v>-0.5802</x:v>
      </x:c>
      <x:c r="D26" s="211" t="n">
        <x:f>'_REFLO_BRIDGE'!$AL$45</x:f>
        <x:v>4.0337</x:v>
      </x:c>
      <x:c r="E26" s="211" t="n">
        <x:f>'_REFLO_BRIDGE'!$AM$45</x:f>
        <x:v>2.2143</x:v>
      </x:c>
      <x:c r="F26" s="211" t="n">
        <x:f>'_REFLO_BRIDGE'!$AN$45</x:f>
        <x:v>0.2132</x:v>
      </x:c>
      <x:c r="G26" s="56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3"/>
    </x:row>
    <x:row r="27" ht="18" customHeight="1">
      <x:c r="A27" s="54" t="s">
        <x:v>394</x:v>
      </x:c>
      <x:c r="B27" s="210" t="n">
        <x:f>'_REFLO_BRIDGE'!$AJ$46</x:f>
        <x:v>-0.5885</x:v>
      </x:c>
      <x:c r="C27" s="210" t="n">
        <x:f>'_REFLO_BRIDGE'!$AK$46</x:f>
        <x:v>-0.0728</x:v>
      </x:c>
      <x:c r="D27" s="211" t="n">
        <x:f>'_REFLO_BRIDGE'!$AL$46</x:f>
        <x:v>0.1663</x:v>
      </x:c>
      <x:c r="E27" s="211" t="n">
        <x:f>'_REFLO_BRIDGE'!$AM$46</x:f>
        <x:v>0.8274</x:v>
      </x:c>
      <x:c r="F27" s="211" t="n">
        <x:f>'_REFLO_BRIDGE'!$AN$46</x:f>
        <x:v>0.1258</x:v>
      </x:c>
      <x:c r="G27" s="56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3"/>
    </x:row>
    <x:row r="28" ht="18" customHeight="1">
      <x:c r="A28" s="54" t="s">
        <x:v>395</x:v>
      </x:c>
      <x:c r="B28" s="210" t="n">
        <x:f>'_REFLO_BRIDGE'!$AJ$47</x:f>
        <x:v>-0.8981</x:v>
      </x:c>
      <x:c r="C28" s="210" t="n">
        <x:f>'_REFLO_BRIDGE'!$AK$47</x:f>
        <x:v>-0.5232</x:v>
      </x:c>
      <x:c r="D28" s="211" t="n">
        <x:f>'_REFLO_BRIDGE'!$AL$47</x:f>
        <x:v>3.354</x:v>
      </x:c>
      <x:c r="E28" s="211" t="n">
        <x:f>'_REFLO_BRIDGE'!$AM$47</x:f>
        <x:v>2.6585</x:v>
      </x:c>
      <x:c r="F28" s="211" t="n">
        <x:f>'_REFLO_BRIDGE'!$AN$47</x:f>
        <x:v>0.2128</x:v>
      </x:c>
      <x:c r="G28" s="56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3"/>
    </x:row>
    <x:row r="29" ht="18" customHeight="1">
      <x:c r="A29" s="54" t="s">
        <x:v>396</x:v>
      </x:c>
      <x:c r="B29" s="210" t="n">
        <x:f>'_REFLO_BRIDGE'!$AJ$48</x:f>
        <x:v>-0.8619</x:v>
      </x:c>
      <x:c r="C29" s="210" t="n">
        <x:f>'_REFLO_BRIDGE'!$AK$48</x:f>
        <x:v>-0.063</x:v>
      </x:c>
      <x:c r="D29" s="211" t="n">
        <x:f>'_REFLO_BRIDGE'!$AL$48</x:f>
        <x:v>1.0504</x:v>
      </x:c>
      <x:c r="E29" s="211" t="n">
        <x:f>'_REFLO_BRIDGE'!$AM$48</x:f>
        <x:v>2.0717</x:v>
      </x:c>
      <x:c r="F29" s="211" t="n">
        <x:f>'_REFLO_BRIDGE'!$AN$48</x:f>
        <x:v>0.2195</x:v>
      </x:c>
      <x:c r="G29" s="56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3"/>
    </x:row>
    <x:row r="30" ht="18" customHeight="1">
      <x:c r="A30" s="54" t="s">
        <x:v>397</x:v>
      </x:c>
      <x:c r="B30" s="210" t="n">
        <x:f>'_REFLO_BRIDGE'!$AJ$49</x:f>
        <x:v>-0.8619</x:v>
      </x:c>
      <x:c r="C30" s="210" t="n">
        <x:f>'_REFLO_BRIDGE'!$AK$49</x:f>
        <x:v>-0.0649</x:v>
      </x:c>
      <x:c r="D30" s="211" t="n">
        <x:f>'_REFLO_BRIDGE'!$AL$49</x:f>
        <x:v>1.0542</x:v>
      </x:c>
      <x:c r="E30" s="211" t="n">
        <x:f>'_REFLO_BRIDGE'!$AM$49</x:f>
        <x:v>2.2027</x:v>
      </x:c>
      <x:c r="F30" s="211" t="n">
        <x:f>'_REFLO_BRIDGE'!$AN$49</x:f>
        <x:v>0.2196</x:v>
      </x:c>
      <x:c r="G30" s="56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3"/>
    </x:row>
    <x:row r="31" ht="19.950000762939453" customHeight="1">
      <x:c r="A31" s="73" t="s">
        <x:v>398</x:v>
      </x:c>
      <x:c r="B31" s="129"/>
      <x:c r="C31" s="129"/>
      <x:c r="D31" s="129"/>
      <x:c r="E31" s="129"/>
      <x:c r="F31" s="129"/>
      <x:c r="G31" s="74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3"/>
    </x:row>
    <x:row r="32" ht="18" customHeight="1">
      <x:c r="A32" s="54" t="s">
        <x:v>399</x:v>
      </x:c>
      <x:c r="B32" s="210" t="n">
        <x:f>'_REFLO_BRIDGE'!$AJ$51</x:f>
        <x:v>0.0827</x:v>
      </x:c>
      <x:c r="C32" s="210" t="n">
        <x:f>'_REFLO_BRIDGE'!$AK$51</x:f>
        <x:v>0.0689</x:v>
      </x:c>
      <x:c r="D32" s="211" t="n">
        <x:f>'_REFLO_BRIDGE'!$AL$51</x:f>
        <x:v>0.1015</x:v>
      </x:c>
      <x:c r="E32" s="211" t="n">
        <x:f>'_REFLO_BRIDGE'!$AM$51</x:f>
        <x:v>0.1638</x:v>
      </x:c>
      <x:c r="F32" s="211" t="n">
        <x:f>'_REFLO_BRIDGE'!$AN$51</x:f>
        <x:v>0.1701</x:v>
      </x:c>
      <x:c r="G32" s="56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3"/>
    </x:row>
    <x:row r="33" ht="18" customHeight="1">
      <x:c r="A33" s="54" t="s">
        <x:v>400</x:v>
      </x:c>
      <x:c r="B33" s="210" t="n">
        <x:f>'_REFLO_BRIDGE'!$AJ$52</x:f>
        <x:v>0.1526</x:v>
      </x:c>
      <x:c r="C33" s="210" t="n">
        <x:f>'_REFLO_BRIDGE'!$AK$52</x:f>
        <x:v>0.1443</x:v>
      </x:c>
      <x:c r="D33" s="211" t="n">
        <x:f>'_REFLO_BRIDGE'!$AL$52</x:f>
        <x:v>0.1409</x:v>
      </x:c>
      <x:c r="E33" s="211" t="n">
        <x:f>'_REFLO_BRIDGE'!$AM$52</x:f>
        <x:v>0.1846</x:v>
      </x:c>
      <x:c r="F33" s="211" t="n">
        <x:f>'_REFLO_BRIDGE'!$AN$52</x:f>
        <x:v>0.1891</x:v>
      </x:c>
      <x:c r="G33" s="56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3"/>
    </x:row>
    <x:row r="34" ht="18" customHeight="1">
      <x:c r="A34" s="54" t="s">
        <x:v>401</x:v>
      </x:c>
      <x:c r="B34" s="210" t="n">
        <x:f>'_REFLO_BRIDGE'!$AJ$53</x:f>
        <x:v>0.0261</x:v>
      </x:c>
      <x:c r="C34" s="210" t="n">
        <x:f>'_REFLO_BRIDGE'!$AK$53</x:f>
        <x:v>0.0127</x:v>
      </x:c>
      <x:c r="D34" s="211" t="n">
        <x:f>'_REFLO_BRIDGE'!$AL$53</x:f>
        <x:v>0.0462</x:v>
      </x:c>
      <x:c r="E34" s="211" t="n">
        <x:f>'_REFLO_BRIDGE'!$AM$53</x:f>
        <x:v>0.1212</x:v>
      </x:c>
      <x:c r="F34" s="211" t="n">
        <x:f>'_REFLO_BRIDGE'!$AN$53</x:f>
        <x:v>0.1337</x:v>
      </x:c>
      <x:c r="G34" s="56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3"/>
    </x:row>
    <x:row r="35" ht="18" customHeight="1">
      <x:c r="A35" s="54" t="s">
        <x:v>402</x:v>
      </x:c>
      <x:c r="B35" s="210" t="n">
        <x:f>'_REFLO_BRIDGE'!$AJ$54</x:f>
        <x:v>0.0279</x:v>
      </x:c>
      <x:c r="C35" s="210" t="n">
        <x:f>'_REFLO_BRIDGE'!$AK$54</x:f>
        <x:v>0.0267</x:v>
      </x:c>
      <x:c r="D35" s="211" t="n">
        <x:f>'_REFLO_BRIDGE'!$AL$54</x:f>
        <x:v>0.0458</x:v>
      </x:c>
      <x:c r="E35" s="211" t="n">
        <x:f>'_REFLO_BRIDGE'!$AM$54</x:f>
        <x:v>0.1009</x:v>
      </x:c>
      <x:c r="F35" s="211" t="n">
        <x:f>'_REFLO_BRIDGE'!$AN$54</x:f>
        <x:v>0.1119</x:v>
      </x:c>
      <x:c r="G35" s="56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3"/>
    </x:row>
    <x:row r="36" ht="18" customHeight="1">
      <x:c r="A36" s="12"/>
      <x:c r="B36" s="16"/>
      <x:c r="C36" s="16"/>
      <x:c r="D36" s="16"/>
      <x:c r="E36" s="16"/>
      <x:c r="F36" s="16"/>
      <x:c r="G36" s="13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3"/>
    </x:row>
    <x:row r="37" ht="18" customHeight="1">
      <x:c r="A37" s="153" t="s">
        <x:v>302</x:v>
      </x:c>
      <x:c r="B37" s="148"/>
      <x:c r="C37" s="148"/>
      <x:c r="D37" s="148"/>
      <x:c r="E37" s="148"/>
      <x:c r="F37" s="148"/>
      <x:c r="G37" s="154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3"/>
    </x:row>
    <x:row r="38" ht="18" customHeight="1">
      <x:c r="A38" s="12"/>
      <x:c r="B38" s="16"/>
      <x:c r="C38" s="16"/>
      <x:c r="D38" s="16"/>
      <x:c r="E38" s="16"/>
      <x:c r="F38" s="16"/>
      <x:c r="G38" s="13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3"/>
    </x:row>
    <x:row r="39" ht="19.950000762939453" customHeight="1">
      <x:c r="A39" s="80" t="s">
        <x:v>297</x:v>
      </x:c>
      <x:c r="B39" s="30"/>
      <x:c r="C39" s="30"/>
      <x:c r="D39" s="30"/>
      <x:c r="E39" s="30"/>
      <x:c r="F39" s="30"/>
      <x:c r="G39" s="2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3"/>
    </x:row>
    <x:row r="40" ht="19.950000762939453" customHeight="1">
      <x:c r="A40" s="53" t="s">
        <x:v>152</x:v>
      </x:c>
      <x:c r="B40" s="75" t="s">
        <x:v>142</x:v>
      </x:c>
      <x:c r="C40" s="75" t="s">
        <x:v>143</x:v>
      </x:c>
      <x:c r="D40" s="75" t="s">
        <x:v>144</x:v>
      </x:c>
      <x:c r="E40" s="75" t="s">
        <x:v>123</x:v>
      </x:c>
      <x:c r="F40" s="75" t="s">
        <x:v>124</x:v>
      </x:c>
      <x:c r="G40" s="53" t="s">
        <x:v>109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3"/>
    </x:row>
    <x:row r="41" ht="18" customHeight="1">
      <x:c r="A41" s="54" t="s">
        <x:v>403</x:v>
      </x:c>
      <x:c r="B41" s="78" t="n">
        <x:f>B5-B6</x:f>
        <x:v>75.20000000000005</x:v>
      </x:c>
      <x:c r="C41" s="78" t="n">
        <x:f>C5-C6</x:f>
        <x:v>61.5</x:v>
      </x:c>
      <x:c r="D41" s="78" t="n">
        <x:f>D5-D6</x:f>
        <x:v>108.09999999999991</x:v>
      </x:c>
      <x:c r="E41" s="78" t="n">
        <x:f>E5-E6</x:f>
        <x:v>243.29999999999995</x:v>
      </x:c>
      <x:c r="F41" s="78" t="n">
        <x:f>F5-F6</x:f>
        <x:v>277.9000000000001</x:v>
      </x:c>
      <x:c r="G41" s="54" t="s">
        <x:v>404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3"/>
    </x:row>
    <x:row r="42" ht="18" customHeight="1">
      <x:c r="A42" s="54" t="s">
        <x:v>405</x:v>
      </x:c>
      <x:c r="B42" s="78" t="n">
        <x:f>B7-B8</x:f>
        <x:v>23.800000000000047</x:v>
      </x:c>
      <x:c r="C42" s="78" t="n">
        <x:f>C7-C8</x:f>
        <x:v>11.200000000000003</x:v>
      </x:c>
      <x:c r="D42" s="78" t="n">
        <x:f>D7-D8</x:f>
        <x:v>49.09999999999991</x:v>
      </x:c>
      <x:c r="E42" s="78" t="n">
        <x:f>E7-E8</x:f>
        <x:v>179.99999999999994</x:v>
      </x:c>
      <x:c r="F42" s="78" t="n">
        <x:f>F7-F8</x:f>
        <x:v>218.4000000000001</x:v>
      </x:c>
      <x:c r="G42" s="54" t="s">
        <x:v>406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3"/>
    </x:row>
    <x:row r="43" ht="18" customHeight="1">
      <x:c r="A43" s="54" t="s">
        <x:v>407</x:v>
      </x:c>
      <x:c r="B43" s="78" t="n">
        <x:f>B9/B5</x:f>
        <x:v>0.026052544794987358</x:v>
      </x:c>
      <x:c r="C43" s="78" t="n">
        <x:f>C9/C5</x:f>
        <x:v>0.012666741396704406</x:v>
      </x:c>
      <x:c r="D43" s="78" t="n">
        <x:f>D9/D5</x:f>
        <x:v>0.04609030320097625</x:v>
      </x:c>
      <x:c r="E43" s="78" t="n">
        <x:f>E9/E5</x:f>
        <x:v>0.12117132278694043</x:v>
      </x:c>
      <x:c r="F43" s="78" t="n">
        <x:f>F9/F5</x:f>
        <x:v>0.13365578889365087</x:v>
      </x:c>
      <x:c r="G43" s="56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3"/>
    </x:row>
    <x:row r="44" ht="18" customHeight="1">
      <x:c r="A44" s="54" t="s">
        <x:v>408</x:v>
      </x:c>
      <x:c r="B44" s="78" t="n">
        <x:f>B14/B13</x:f>
        <x:v>0.10563380281690142</x:v>
      </x:c>
      <x:c r="C44" s="78" t="n">
        <x:f>C14/C13</x:f>
        <x:v>0.21192052980132453</x:v>
      </x:c>
      <x:c r="D44" s="78" t="n">
        <x:f>D14/D13</x:f>
        <x:v>0.08785046728971962</x:v>
      </x:c>
      <x:c r="E44" s="78" t="n">
        <x:f>E14/E13</x:f>
        <x:v>0.200213561131874</x:v>
      </x:c>
      <x:c r="F44" s="78" t="n">
        <x:f>F14/F13</x:f>
        <x:v>0.2</x:v>
      </x:c>
      <x:c r="G44" s="56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3"/>
    </x:row>
    <x:row r="45" ht="18" customHeight="1">
      <x:c r="A45" s="54" t="s">
        <x:v>409</x:v>
      </x:c>
      <x:c r="B45" s="78" t="n">
        <x:f>B13-B14-B15</x:f>
        <x:v>0</x:v>
      </x:c>
      <x:c r="C45" s="78" t="n">
        <x:f>C13-C14-C15</x:f>
        <x:v>0</x:v>
      </x:c>
      <x:c r="D45" s="78" t="n">
        <x:f>D13-D14-D15</x:f>
        <x:v>0</x:v>
      </x:c>
      <x:c r="E45" s="78" t="n">
        <x:f>E13-E14-E15</x:f>
        <x:v>-0.09999999999999432</x:v>
      </x:c>
      <x:c r="F45" s="78" t="n">
        <x:f>F13-F14-F15</x:f>
        <x:v>0</x:v>
      </x:c>
      <x:c r="G45" s="54" t="s">
        <x:v>410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3"/>
    </x:row>
    <x:row r="46" ht="18" customHeight="1">
      <x:c r="A46" s="150" t="s">
        <x:v>411</x:v>
      </x:c>
      <x:c r="B46" s="151"/>
      <x:c r="C46" s="151"/>
      <x:c r="D46" s="151"/>
      <x:c r="E46" s="151"/>
      <x:c r="F46" s="151"/>
      <x:c r="G46" s="152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3"/>
    </x:row>
    <x:row r="47" ht="18" customHeight="1">
      <x:c r="A47" s="12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3"/>
    </x:row>
    <x:row r="48" ht="18" customHeight="1">
      <x:c r="A48" s="12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3"/>
    </x:row>
    <x:row r="49" ht="18" customHeight="1">
      <x:c r="A49" s="12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3"/>
    </x:row>
    <x:row r="50" ht="18" customHeight="1">
      <x:c r="A50" s="12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3"/>
    </x:row>
    <x:row r="51" ht="18" customHeight="1">
      <x:c r="A51" s="12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3"/>
    </x:row>
    <x:row r="52" ht="18" customHeight="1">
      <x:c r="A52" s="12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3"/>
    </x:row>
    <x:row r="53" ht="18" customHeight="1">
      <x:c r="A53" s="12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3"/>
    </x:row>
    <x:row r="54" ht="18" customHeight="1">
      <x:c r="A54" s="12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3"/>
    </x:row>
    <x:row r="55" ht="18" customHeight="1">
      <x:c r="A55" s="12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3"/>
    </x:row>
    <x:row r="56" ht="18" customHeight="1">
      <x:c r="A56" s="12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3"/>
    </x:row>
    <x:row r="57" ht="18" customHeight="1">
      <x:c r="A57" s="12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3"/>
    </x:row>
    <x:row r="58" ht="18" customHeight="1">
      <x:c r="A58" s="12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3"/>
    </x:row>
    <x:row r="59" ht="18" customHeight="1">
      <x:c r="A59" s="12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3"/>
    </x:row>
    <x:row r="60" ht="18" customHeight="1">
      <x:c r="A60" s="9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</x:sheetData>
  <x:mergeCells>
    <x:mergeCell ref="A2:G2"/>
    <x:mergeCell ref="A37:G37"/>
    <x:mergeCell ref="A46:G46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1F6E6A"/>
  </x:sheetPr>
  <x:sheetViews>
    <x:sheetView showGridLines="0" workbookViewId="0"/>
  </x:sheetViews>
  <x:sheetFormatPr defaultColWidth="8.69921875" defaultRowHeight="17.399999618530273"/>
  <x:cols>
    <x:col min="1" max="1" width="24" customWidth="1"/>
    <x:col min="2" max="6" width="12" customWidth="1"/>
    <x:col min="7" max="7" width="28" customWidth="1"/>
    <x:col min="8" max="26" width="10" customWidth="1"/>
  </x:cols>
  <x:sheetData>
    <x:row r="1" ht="22.049999237060547" customHeight="1">
      <x:c r="A1" s="111" t="s">
        <x:v>412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6"/>
    </x:row>
    <x:row r="2" ht="18" customHeight="1">
      <x:c r="A2" s="165" t="s">
        <x:v>413</x:v>
      </x:c>
      <x:c r="B2" s="148"/>
      <x:c r="C2" s="148"/>
      <x:c r="D2" s="148"/>
      <x:c r="E2" s="148"/>
      <x:c r="F2" s="148"/>
      <x:c r="G2" s="148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28"/>
    </x:row>
    <x:row r="3" ht="18" customHeight="1">
      <x:c r="A3" s="12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3"/>
    </x:row>
    <x:row r="4" ht="19.950000762939453" customHeight="1">
      <x:c r="A4" s="53" t="s">
        <x:v>3</x:v>
      </x:c>
      <x:c r="B4" s="53" t="s">
        <x:v>142</x:v>
      </x:c>
      <x:c r="C4" s="53" t="s">
        <x:v>143</x:v>
      </x:c>
      <x:c r="D4" s="53" t="s">
        <x:v>144</x:v>
      </x:c>
      <x:c r="E4" s="53" t="s">
        <x:v>123</x:v>
      </x:c>
      <x:c r="F4" s="53" t="s">
        <x:v>124</x:v>
      </x:c>
      <x:c r="G4" s="53" t="s">
        <x:v>109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3"/>
    </x:row>
    <x:row r="5" ht="18" customHeight="1">
      <x:c r="A5" s="54" t="s">
        <x:v>414</x:v>
      </x:c>
      <x:c r="B5" s="210" t="n">
        <x:f>'_REFLO_BRIDGE'!$AR$24</x:f>
        <x:v>433.1</x:v>
      </x:c>
      <x:c r="C5" s="210" t="n">
        <x:f>'_REFLO_BRIDGE'!$AS$24</x:f>
        <x:v>465.9</x:v>
      </x:c>
      <x:c r="D5" s="211" t="n">
        <x:f>'_REFLO_BRIDGE'!$AT$24</x:f>
        <x:v>667.7</x:v>
      </x:c>
      <x:c r="E5" s="211" t="n">
        <x:f>'_REFLO_BRIDGE'!$AU$24</x:f>
        <x:v>893.2</x:v>
      </x:c>
      <x:c r="F5" s="211" t="n">
        <x:f>'_REFLO_BRIDGE'!$AV$24</x:f>
        <x:v>1107.9</x:v>
      </x:c>
      <x:c r="G5" s="56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3"/>
    </x:row>
    <x:row r="6" ht="18" customHeight="1">
      <x:c r="A6" s="54" t="s">
        <x:v>415</x:v>
      </x:c>
      <x:c r="B6" s="210" t="n">
        <x:f>'_REFLO_BRIDGE'!$AR$25</x:f>
        <x:v>203.2</x:v>
      </x:c>
      <x:c r="C6" s="210" t="n">
        <x:f>'_REFLO_BRIDGE'!$AS$25</x:f>
        <x:v>221.2</x:v>
      </x:c>
      <x:c r="D6" s="211" t="n">
        <x:f>'_REFLO_BRIDGE'!$AT$25</x:f>
        <x:v>305.3</x:v>
      </x:c>
      <x:c r="E6" s="211" t="n">
        <x:f>'_REFLO_BRIDGE'!$AU$25</x:f>
        <x:v>432.8</x:v>
      </x:c>
      <x:c r="F6" s="211" t="n">
        <x:f>'_REFLO_BRIDGE'!$AV$25</x:f>
        <x:v>601.8</x:v>
      </x:c>
      <x:c r="G6" s="56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3"/>
    </x:row>
    <x:row r="7" ht="18" customHeight="1">
      <x:c r="A7" s="54" t="s">
        <x:v>416</x:v>
      </x:c>
      <x:c r="B7" s="210" t="n">
        <x:f>'_REFLO_BRIDGE'!$AR$26</x:f>
        <x:v>76.6</x:v>
      </x:c>
      <x:c r="C7" s="210" t="n">
        <x:f>'_REFLO_BRIDGE'!$AS$26</x:f>
        <x:v>38.2</x:v>
      </x:c>
      <x:c r="D7" s="211" t="n">
        <x:f>'_REFLO_BRIDGE'!$AT$26</x:f>
        <x:v>23.5</x:v>
      </x:c>
      <x:c r="E7" s="211" t="n">
        <x:f>'_REFLO_BRIDGE'!$AU$26</x:f>
        <x:v>74.8</x:v>
      </x:c>
      <x:c r="F7" s="211" t="n">
        <x:f>'_REFLO_BRIDGE'!$AV$26</x:f>
        <x:v>208.2</x:v>
      </x:c>
      <x:c r="G7" s="56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3"/>
    </x:row>
    <x:row r="8" ht="18" customHeight="1">
      <x:c r="A8" s="54" t="s">
        <x:v>417</x:v>
      </x:c>
      <x:c r="B8" s="210" t="n">
        <x:f>'_REFLO_BRIDGE'!$AR$27</x:f>
        <x:v>123.2</x:v>
      </x:c>
      <x:c r="C8" s="210" t="n">
        <x:f>'_REFLO_BRIDGE'!$AS$27</x:f>
        <x:v>128.4</x:v>
      </x:c>
      <x:c r="D8" s="211" t="n">
        <x:f>'_REFLO_BRIDGE'!$AT$27</x:f>
        <x:v>197.7</x:v>
      </x:c>
      <x:c r="E8" s="211" t="n">
        <x:f>'_REFLO_BRIDGE'!$AU$27</x:f>
        <x:v>251.1</x:v>
      </x:c>
      <x:c r="F8" s="211" t="n">
        <x:f>'_REFLO_BRIDGE'!$AV$27</x:f>
        <x:v>276.1</x:v>
      </x:c>
      <x:c r="G8" s="56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3"/>
    </x:row>
    <x:row r="9" ht="18" customHeight="1">
      <x:c r="A9" s="54" t="s">
        <x:v>418</x:v>
      </x:c>
      <x:c r="B9" s="210" t="n">
        <x:f>'_REFLO_BRIDGE'!$AR$28</x:f>
        <x:v>90.6</x:v>
      </x:c>
      <x:c r="C9" s="210" t="n">
        <x:f>'_REFLO_BRIDGE'!$AS$28</x:f>
        <x:v>100.5</x:v>
      </x:c>
      <x:c r="D9" s="211" t="n">
        <x:f>'_REFLO_BRIDGE'!$AT$28</x:f>
        <x:v>140.4</x:v>
      </x:c>
      <x:c r="E9" s="211" t="n">
        <x:f>'_REFLO_BRIDGE'!$AU$28</x:f>
        <x:v>178.4</x:v>
      </x:c>
      <x:c r="F9" s="211" t="n">
        <x:f>'_REFLO_BRIDGE'!$AV$28</x:f>
        <x:v>196.1</x:v>
      </x:c>
      <x:c r="G9" s="56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3"/>
    </x:row>
    <x:row r="10" ht="18" customHeight="1">
      <x:c r="A10" s="54" t="s">
        <x:v>419</x:v>
      </x:c>
      <x:c r="B10" s="210" t="n">
        <x:f>'_REFLO_BRIDGE'!$AR$29</x:f>
        <x:v>16.1</x:v>
      </x:c>
      <x:c r="C10" s="210" t="n">
        <x:f>'_REFLO_BRIDGE'!$AS$29</x:f>
        <x:v>15.8</x:v>
      </x:c>
      <x:c r="D10" s="211" t="n">
        <x:f>'_REFLO_BRIDGE'!$AT$29</x:f>
        <x:v>24.3</x:v>
      </x:c>
      <x:c r="E10" s="211" t="n">
        <x:f>'_REFLO_BRIDGE'!$AU$29</x:f>
        <x:v>30.9</x:v>
      </x:c>
      <x:c r="F10" s="211" t="n">
        <x:f>'_REFLO_BRIDGE'!$AV$29</x:f>
        <x:v>33.9</x:v>
      </x:c>
      <x:c r="G10" s="56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3"/>
    </x:row>
    <x:row r="11" ht="18" customHeight="1">
      <x:c r="A11" s="54" t="s">
        <x:v>420</x:v>
      </x:c>
      <x:c r="B11" s="210" t="n">
        <x:f>'_REFLO_BRIDGE'!$AR$30</x:f>
        <x:v>694.5</x:v>
      </x:c>
      <x:c r="C11" s="210" t="n">
        <x:f>'_REFLO_BRIDGE'!$AS$30</x:f>
        <x:v>622.9</x:v>
      </x:c>
      <x:c r="D11" s="211" t="n">
        <x:f>'_REFLO_BRIDGE'!$AT$30</x:f>
        <x:v>582.9</x:v>
      </x:c>
      <x:c r="E11" s="211" t="n">
        <x:f>'_REFLO_BRIDGE'!$AU$30</x:f>
        <x:v>567.7</x:v>
      </x:c>
      <x:c r="F11" s="211" t="n">
        <x:f>'_REFLO_BRIDGE'!$AV$30</x:f>
        <x:v>546.3</x:v>
      </x:c>
      <x:c r="G11" s="56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3"/>
    </x:row>
    <x:row r="12" ht="18" customHeight="1">
      <x:c r="A12" s="54" t="s">
        <x:v>421</x:v>
      </x:c>
      <x:c r="B12" s="210" t="n">
        <x:f>'_REFLO_BRIDGE'!$AR$31</x:f>
        <x:v>7</x:v>
      </x:c>
      <x:c r="C12" s="210" t="n">
        <x:f>'_REFLO_BRIDGE'!$AS$31</x:f>
        <x:v>7.3</x:v>
      </x:c>
      <x:c r="D12" s="211" t="n">
        <x:f>'_REFLO_BRIDGE'!$AT$31</x:f>
        <x:v>6.8</x:v>
      </x:c>
      <x:c r="E12" s="211" t="n">
        <x:f>'_REFLO_BRIDGE'!$AU$31</x:f>
        <x:v>6.9</x:v>
      </x:c>
      <x:c r="F12" s="211" t="n">
        <x:f>'_REFLO_BRIDGE'!$AV$31</x:f>
        <x:v>6.9</x:v>
      </x:c>
      <x:c r="G12" s="56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3"/>
    </x:row>
    <x:row r="13" ht="18" customHeight="1">
      <x:c r="A13" s="54" t="s">
        <x:v>422</x:v>
      </x:c>
      <x:c r="B13" s="210" t="n">
        <x:f>'_REFLO_BRIDGE'!$AR$32</x:f>
        <x:v>7</x:v>
      </x:c>
      <x:c r="C13" s="210" t="n">
        <x:f>'_REFLO_BRIDGE'!$AS$32</x:f>
        <x:v>7.3</x:v>
      </x:c>
      <x:c r="D13" s="211" t="n">
        <x:f>'_REFLO_BRIDGE'!$AT$32</x:f>
        <x:v>6.8</x:v>
      </x:c>
      <x:c r="E13" s="211" t="n">
        <x:f>'_REFLO_BRIDGE'!$AU$32</x:f>
        <x:v>6.9</x:v>
      </x:c>
      <x:c r="F13" s="211" t="n">
        <x:f>'_REFLO_BRIDGE'!$AV$32</x:f>
        <x:v>6.9</x:v>
      </x:c>
      <x:c r="G13" s="56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3"/>
    </x:row>
    <x:row r="14" ht="18" customHeight="1">
      <x:c r="A14" s="54" t="s">
        <x:v>423</x:v>
      </x:c>
      <x:c r="B14" s="210" t="n">
        <x:f>'_REFLO_BRIDGE'!$AR$33</x:f>
        <x:v>629.2</x:v>
      </x:c>
      <x:c r="C14" s="210" t="n">
        <x:f>'_REFLO_BRIDGE'!$AS$33</x:f>
        <x:v>567.7</x:v>
      </x:c>
      <x:c r="D14" s="211" t="n">
        <x:f>'_REFLO_BRIDGE'!$AT$33</x:f>
        <x:v>531.7</x:v>
      </x:c>
      <x:c r="E14" s="211" t="n">
        <x:f>'_REFLO_BRIDGE'!$AU$33</x:f>
        <x:v>516.3</x:v>
      </x:c>
      <x:c r="F14" s="211" t="n">
        <x:f>'_REFLO_BRIDGE'!$AV$33</x:f>
        <x:v>494.7</x:v>
      </x:c>
      <x:c r="G14" s="56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3"/>
    </x:row>
    <x:row r="15" ht="18" customHeight="1">
      <x:c r="A15" s="54" t="s">
        <x:v>424</x:v>
      </x:c>
      <x:c r="B15" s="210" t="n">
        <x:f>'_REFLO_BRIDGE'!$AR$34</x:f>
        <x:v>12.8</x:v>
      </x:c>
      <x:c r="C15" s="210" t="n">
        <x:f>'_REFLO_BRIDGE'!$AS$34</x:f>
        <x:v>11</x:v>
      </x:c>
      <x:c r="D15" s="211" t="n">
        <x:f>'_REFLO_BRIDGE'!$AT$34</x:f>
        <x:v>10.5</x:v>
      </x:c>
      <x:c r="E15" s="211" t="n">
        <x:f>'_REFLO_BRIDGE'!$AU$34</x:f>
        <x:v>10.6</x:v>
      </x:c>
      <x:c r="F15" s="211" t="n">
        <x:f>'_REFLO_BRIDGE'!$AV$34</x:f>
        <x:v>10.8</x:v>
      </x:c>
      <x:c r="G15" s="56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3"/>
    </x:row>
    <x:row r="16" ht="18" customHeight="1">
      <x:c r="A16" s="54" t="s">
        <x:v>425</x:v>
      </x:c>
      <x:c r="B16" s="210" t="n">
        <x:f>'_REFLO_BRIDGE'!$AR$35</x:f>
        <x:v>45.5</x:v>
      </x:c>
      <x:c r="C16" s="210" t="n">
        <x:f>'_REFLO_BRIDGE'!$AS$35</x:f>
        <x:v>36.9</x:v>
      </x:c>
      <x:c r="D16" s="211" t="n">
        <x:f>'_REFLO_BRIDGE'!$AT$35</x:f>
        <x:v>33.9</x:v>
      </x:c>
      <x:c r="E16" s="211" t="n">
        <x:f>'_REFLO_BRIDGE'!$AU$35</x:f>
        <x:v>33.9</x:v>
      </x:c>
      <x:c r="F16" s="211" t="n">
        <x:f>'_REFLO_BRIDGE'!$AV$35</x:f>
        <x:v>33.9</x:v>
      </x:c>
      <x:c r="G16" s="56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3"/>
    </x:row>
    <x:row r="17" ht="18" customHeight="1">
      <x:c r="A17" s="54" t="s">
        <x:v>426</x:v>
      </x:c>
      <x:c r="B17" s="210" t="n">
        <x:f>'_REFLO_BRIDGE'!$AR$36</x:f>
        <x:v>1127.5</x:v>
      </x:c>
      <x:c r="C17" s="210" t="n">
        <x:f>'_REFLO_BRIDGE'!$AS$36</x:f>
        <x:v>1088.7</x:v>
      </x:c>
      <x:c r="D17" s="211" t="n">
        <x:f>'_REFLO_BRIDGE'!$AT$36</x:f>
        <x:v>1250.6</x:v>
      </x:c>
      <x:c r="E17" s="211" t="n">
        <x:f>'_REFLO_BRIDGE'!$AU$36</x:f>
        <x:v>1460.9</x:v>
      </x:c>
      <x:c r="F17" s="211" t="n">
        <x:f>'_REFLO_BRIDGE'!$AV$36</x:f>
        <x:v>1654.2</x:v>
      </x:c>
      <x:c r="G17" s="56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3"/>
    </x:row>
    <x:row r="18" ht="18" customHeight="1">
      <x:c r="A18" s="54" t="s">
        <x:v>427</x:v>
      </x:c>
      <x:c r="B18" s="210" t="n">
        <x:f>'_REFLO_BRIDGE'!$AR$37</x:f>
        <x:v>176.7</x:v>
      </x:c>
      <x:c r="C18" s="210" t="n">
        <x:f>'_REFLO_BRIDGE'!$AS$37</x:f>
        <x:v>159.7</x:v>
      </x:c>
      <x:c r="D18" s="211" t="n">
        <x:f>'_REFLO_BRIDGE'!$AT$37</x:f>
        <x:v>275</x:v>
      </x:c>
      <x:c r="E18" s="211" t="n">
        <x:f>'_REFLO_BRIDGE'!$AU$37</x:f>
        <x:v>336.5</x:v>
      </x:c>
      <x:c r="F18" s="211" t="n">
        <x:f>'_REFLO_BRIDGE'!$AV$37</x:f>
        <x:v>358.5</x:v>
      </x:c>
      <x:c r="G18" s="56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3"/>
    </x:row>
    <x:row r="19" ht="18" customHeight="1">
      <x:c r="A19" s="54" t="s">
        <x:v>428</x:v>
      </x:c>
      <x:c r="B19" s="210" t="n">
        <x:f>'_REFLO_BRIDGE'!$AR$38</x:f>
        <x:v>7.1</x:v>
      </x:c>
      <x:c r="C19" s="210" t="n">
        <x:f>'_REFLO_BRIDGE'!$AS$38</x:f>
        <x:v>9.3</x:v>
      </x:c>
      <x:c r="D19" s="211" t="n">
        <x:f>'_REFLO_BRIDGE'!$AT$38</x:f>
        <x:v>41.2</x:v>
      </x:c>
      <x:c r="E19" s="211" t="n">
        <x:f>'_REFLO_BRIDGE'!$AU$38</x:f>
        <x:v>41.3</x:v>
      </x:c>
      <x:c r="F19" s="211" t="n">
        <x:f>'_REFLO_BRIDGE'!$AV$38</x:f>
        <x:v>34.5</x:v>
      </x:c>
      <x:c r="G19" s="56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3"/>
    </x:row>
    <x:row r="20" ht="18" customHeight="1">
      <x:c r="A20" s="54" t="s">
        <x:v>429</x:v>
      </x:c>
      <x:c r="B20" s="210" t="n">
        <x:f>'_REFLO_BRIDGE'!$AR$39</x:f>
        <x:v>46.2</x:v>
      </x:c>
      <x:c r="C20" s="210" t="n">
        <x:f>'_REFLO_BRIDGE'!$AS$39</x:f>
        <x:v>42.4</x:v>
      </x:c>
      <x:c r="D20" s="211" t="n">
        <x:f>'_REFLO_BRIDGE'!$AT$39</x:f>
        <x:v>65.3</x:v>
      </x:c>
      <x:c r="E20" s="211" t="n">
        <x:f>'_REFLO_BRIDGE'!$AU$39</x:f>
        <x:v>83</x:v>
      </x:c>
      <x:c r="F20" s="211" t="n">
        <x:f>'_REFLO_BRIDGE'!$AV$39</x:f>
        <x:v>91.2</x:v>
      </x:c>
      <x:c r="G20" s="56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3"/>
    </x:row>
    <x:row r="21" ht="18" customHeight="1">
      <x:c r="A21" s="54" t="s">
        <x:v>430</x:v>
      </x:c>
      <x:c r="B21" s="210" t="n">
        <x:f>'_REFLO_BRIDGE'!$AR$40</x:f>
        <x:v>123.4</x:v>
      </x:c>
      <x:c r="C21" s="210" t="n">
        <x:f>'_REFLO_BRIDGE'!$AS$40</x:f>
        <x:v>108</x:v>
      </x:c>
      <x:c r="D21" s="211" t="n">
        <x:f>'_REFLO_BRIDGE'!$AT$40</x:f>
        <x:v>168.5</x:v>
      </x:c>
      <x:c r="E21" s="211" t="n">
        <x:f>'_REFLO_BRIDGE'!$AU$40</x:f>
        <x:v>212.2</x:v>
      </x:c>
      <x:c r="F21" s="211" t="n">
        <x:f>'_REFLO_BRIDGE'!$AV$40</x:f>
        <x:v>232.8</x:v>
      </x:c>
      <x:c r="G21" s="56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3"/>
    </x:row>
    <x:row r="22" ht="18" customHeight="1">
      <x:c r="A22" s="54" t="s">
        <x:v>431</x:v>
      </x:c>
      <x:c r="B22" s="210" t="n">
        <x:f>'_REFLO_BRIDGE'!$AR$41</x:f>
        <x:v>82.5</x:v>
      </x:c>
      <x:c r="C22" s="210" t="n">
        <x:f>'_REFLO_BRIDGE'!$AS$41</x:f>
        <x:v>53.5</x:v>
      </x:c>
      <x:c r="D22" s="211" t="n">
        <x:f>'_REFLO_BRIDGE'!$AT$41</x:f>
        <x:v>73.9</x:v>
      </x:c>
      <x:c r="E22" s="211" t="n">
        <x:f>'_REFLO_BRIDGE'!$AU$41</x:f>
        <x:v>93.4</x:v>
      </x:c>
      <x:c r="F22" s="211" t="n">
        <x:f>'_REFLO_BRIDGE'!$AV$41</x:f>
        <x:v>102.5</x:v>
      </x:c>
      <x:c r="G22" s="56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3"/>
    </x:row>
    <x:row r="23" ht="19.950000762939453" customHeight="1">
      <x:c r="A23" s="73" t="s">
        <x:v>428</x:v>
      </x:c>
      <x:c r="B23" s="212" t="n">
        <x:f>'_REFLO_BRIDGE'!$AR$42</x:f>
        <x:v>13</x:v>
      </x:c>
      <x:c r="C23" s="212" t="n">
        <x:f>'_REFLO_BRIDGE'!$AS$42</x:f>
        <x:v>6.6</x:v>
      </x:c>
      <x:c r="D23" s="211" t="n">
        <x:f>'_REFLO_BRIDGE'!$AT$42</x:f>
        <x:v>1.7</x:v>
      </x:c>
      <x:c r="E23" s="211" t="n">
        <x:f>'_REFLO_BRIDGE'!$AU$42</x:f>
        <x:v>1.7</x:v>
      </x:c>
      <x:c r="F23" s="211" t="n">
        <x:f>'_REFLO_BRIDGE'!$AV$42</x:f>
        <x:v>1.7</x:v>
      </x:c>
      <x:c r="G23" s="74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3"/>
    </x:row>
    <x:row r="24" ht="18" customHeight="1">
      <x:c r="A24" s="54" t="s">
        <x:v>432</x:v>
      </x:c>
      <x:c r="B24" s="210" t="n">
        <x:f>'_REFLO_BRIDGE'!$AR$43</x:f>
        <x:v>69.5</x:v>
      </x:c>
      <x:c r="C24" s="210" t="n">
        <x:f>'_REFLO_BRIDGE'!$AS$43</x:f>
        <x:v>46.9</x:v>
      </x:c>
      <x:c r="D24" s="211" t="n">
        <x:f>'_REFLO_BRIDGE'!$AT$43</x:f>
        <x:v>72.2</x:v>
      </x:c>
      <x:c r="E24" s="211" t="n">
        <x:f>'_REFLO_BRIDGE'!$AU$43</x:f>
        <x:v>91.7</x:v>
      </x:c>
      <x:c r="F24" s="211" t="n">
        <x:f>'_REFLO_BRIDGE'!$AV$43</x:f>
        <x:v>100.8</x:v>
      </x:c>
      <x:c r="G24" s="56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3"/>
    </x:row>
    <x:row r="25" ht="18" customHeight="1">
      <x:c r="A25" s="54" t="s">
        <x:v>433</x:v>
      </x:c>
      <x:c r="B25" s="210" t="n">
        <x:f>'_REFLO_BRIDGE'!$AR$44</x:f>
        <x:v>259.2</x:v>
      </x:c>
      <x:c r="C25" s="210" t="n">
        <x:f>'_REFLO_BRIDGE'!$AS$44</x:f>
        <x:v>213.2</x:v>
      </x:c>
      <x:c r="D25" s="211" t="n">
        <x:f>'_REFLO_BRIDGE'!$AT$44</x:f>
        <x:v>348.8</x:v>
      </x:c>
      <x:c r="E25" s="211" t="n">
        <x:f>'_REFLO_BRIDGE'!$AU$44</x:f>
        <x:v>429.9</x:v>
      </x:c>
      <x:c r="F25" s="211" t="n">
        <x:f>'_REFLO_BRIDGE'!$AV$44</x:f>
        <x:v>461</x:v>
      </x:c>
      <x:c r="G25" s="56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3"/>
    </x:row>
    <x:row r="26" ht="18" customHeight="1">
      <x:c r="A26" s="54" t="s">
        <x:v>434</x:v>
      </x:c>
      <x:c r="B26" s="210" t="n">
        <x:f>'_REFLO_BRIDGE'!$AR$45</x:f>
        <x:v>868.3</x:v>
      </x:c>
      <x:c r="C26" s="210" t="n">
        <x:f>'_REFLO_BRIDGE'!$AS$45</x:f>
        <x:v>875.5</x:v>
      </x:c>
      <x:c r="D26" s="211" t="n">
        <x:f>'_REFLO_BRIDGE'!$AT$45</x:f>
        <x:v>901.7</x:v>
      </x:c>
      <x:c r="E26" s="211" t="n">
        <x:f>'_REFLO_BRIDGE'!$AU$45</x:f>
        <x:v>1031</x:v>
      </x:c>
      <x:c r="F26" s="211" t="n">
        <x:f>'_REFLO_BRIDGE'!$AV$45</x:f>
        <x:v>1193.2</x:v>
      </x:c>
      <x:c r="G26" s="56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3"/>
    </x:row>
    <x:row r="27" ht="18" customHeight="1">
      <x:c r="A27" s="54" t="s">
        <x:v>435</x:v>
      </x:c>
      <x:c r="B27" s="210" t="n">
        <x:f>'_REFLO_BRIDGE'!$AR$46</x:f>
        <x:v>25.8</x:v>
      </x:c>
      <x:c r="C27" s="210" t="n">
        <x:f>'_REFLO_BRIDGE'!$AS$46</x:f>
        <x:v>25.8</x:v>
      </x:c>
      <x:c r="D27" s="211" t="n">
        <x:f>'_REFLO_BRIDGE'!$AT$46</x:f>
        <x:v>25.8</x:v>
      </x:c>
      <x:c r="E27" s="211" t="n">
        <x:f>'_REFLO_BRIDGE'!$AU$46</x:f>
        <x:v>25.8</x:v>
      </x:c>
      <x:c r="F27" s="211" t="n">
        <x:f>'_REFLO_BRIDGE'!$AV$46</x:f>
        <x:v>25.8</x:v>
      </x:c>
      <x:c r="G27" s="56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3"/>
    </x:row>
    <x:row r="28" ht="18" customHeight="1">
      <x:c r="A28" s="54" t="s">
        <x:v>436</x:v>
      </x:c>
      <x:c r="B28" s="210" t="n">
        <x:f>'_REFLO_BRIDGE'!$AR$47</x:f>
        <x:v>545.1</x:v>
      </x:c>
      <x:c r="C28" s="210" t="n">
        <x:f>'_REFLO_BRIDGE'!$AS$47</x:f>
        <x:v>545.1</x:v>
      </x:c>
      <x:c r="D28" s="211" t="n">
        <x:f>'_REFLO_BRIDGE'!$AT$47</x:f>
        <x:v>545.1</x:v>
      </x:c>
      <x:c r="E28" s="211" t="n">
        <x:f>'_REFLO_BRIDGE'!$AU$47</x:f>
        <x:v>545.1</x:v>
      </x:c>
      <x:c r="F28" s="211" t="n">
        <x:f>'_REFLO_BRIDGE'!$AV$47</x:f>
        <x:v>545.1</x:v>
      </x:c>
      <x:c r="G28" s="56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3"/>
    </x:row>
    <x:row r="29" ht="18" customHeight="1">
      <x:c r="A29" s="54" t="s">
        <x:v>437</x:v>
      </x:c>
      <x:c r="B29" s="210" t="n">
        <x:f>'_REFLO_BRIDGE'!$AR$48</x:f>
        <x:v>0</x:v>
      </x:c>
      <x:c r="C29" s="210" t="n">
        <x:f>'_REFLO_BRIDGE'!$AS$48</x:f>
        <x:v>0</x:v>
      </x:c>
      <x:c r="D29" s="211" t="n">
        <x:f>'_REFLO_BRIDGE'!$AT$48</x:f>
        <x:v>0</x:v>
      </x:c>
      <x:c r="E29" s="211" t="n">
        <x:f>'_REFLO_BRIDGE'!$AU$48</x:f>
        <x:v>0</x:v>
      </x:c>
      <x:c r="F29" s="211" t="n">
        <x:f>'_REFLO_BRIDGE'!$AV$48</x:f>
        <x:v>0</x:v>
      </x:c>
      <x:c r="G29" s="56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3"/>
    </x:row>
    <x:row r="30" ht="18" customHeight="1">
      <x:c r="A30" s="54" t="s">
        <x:v>438</x:v>
      </x:c>
      <x:c r="B30" s="210" t="n">
        <x:f>'_REFLO_BRIDGE'!$AR$49</x:f>
        <x:v>0.8</x:v>
      </x:c>
      <x:c r="C30" s="210" t="n">
        <x:f>'_REFLO_BRIDGE'!$AS$49</x:f>
        <x:v>3.1</x:v>
      </x:c>
      <x:c r="D30" s="211" t="n">
        <x:f>'_REFLO_BRIDGE'!$AT$49</x:f>
        <x:v>0.7</x:v>
      </x:c>
      <x:c r="E30" s="211" t="n">
        <x:f>'_REFLO_BRIDGE'!$AU$49</x:f>
        <x:v>0.7</x:v>
      </x:c>
      <x:c r="F30" s="211" t="n">
        <x:f>'_REFLO_BRIDGE'!$AV$49</x:f>
        <x:v>0.7</x:v>
      </x:c>
      <x:c r="G30" s="56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3"/>
    </x:row>
    <x:row r="31" ht="19.950000762939453" customHeight="1">
      <x:c r="A31" s="73" t="s">
        <x:v>439</x:v>
      </x:c>
      <x:c r="B31" s="212" t="n">
        <x:f>'_REFLO_BRIDGE'!$AR$50</x:f>
        <x:v>296.7</x:v>
      </x:c>
      <x:c r="C31" s="212" t="n">
        <x:f>'_REFLO_BRIDGE'!$AS$50</x:f>
        <x:v>301.6</x:v>
      </x:c>
      <x:c r="D31" s="211" t="n">
        <x:f>'_REFLO_BRIDGE'!$AT$50</x:f>
        <x:v>330.2</x:v>
      </x:c>
      <x:c r="E31" s="211" t="n">
        <x:f>'_REFLO_BRIDGE'!$AU$50</x:f>
        <x:v>459.5</x:v>
      </x:c>
      <x:c r="F31" s="211" t="n">
        <x:f>'_REFLO_BRIDGE'!$AV$50</x:f>
        <x:v>621.7</x:v>
      </x:c>
      <x:c r="G31" s="74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3"/>
    </x:row>
    <x:row r="32" ht="18" customHeight="1">
      <x:c r="A32" s="54" t="s">
        <x:v>440</x:v>
      </x:c>
      <x:c r="B32" s="210" t="n">
        <x:f>'_REFLO_BRIDGE'!$AR$51</x:f>
        <x:v>0</x:v>
      </x:c>
      <x:c r="C32" s="210" t="n">
        <x:f>'_REFLO_BRIDGE'!$AS$51</x:f>
        <x:v>0</x:v>
      </x:c>
      <x:c r="D32" s="211" t="n">
        <x:f>'_REFLO_BRIDGE'!$AT$51</x:f>
        <x:v>0</x:v>
      </x:c>
      <x:c r="E32" s="211" t="n">
        <x:f>'_REFLO_BRIDGE'!$AU$51</x:f>
        <x:v>0</x:v>
      </x:c>
      <x:c r="F32" s="211" t="n">
        <x:f>'_REFLO_BRIDGE'!$AV$51</x:f>
        <x:v>0</x:v>
      </x:c>
      <x:c r="G32" s="56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3"/>
    </x:row>
    <x:row r="33" ht="18" customHeight="1">
      <x:c r="A33" s="54" t="s">
        <x:v>441</x:v>
      </x:c>
      <x:c r="B33" s="210" t="n">
        <x:f>'_REFLO_BRIDGE'!$AR$52</x:f>
        <x:v>868.3</x:v>
      </x:c>
      <x:c r="C33" s="210" t="n">
        <x:f>'_REFLO_BRIDGE'!$AS$52</x:f>
        <x:v>875.5</x:v>
      </x:c>
      <x:c r="D33" s="211" t="n">
        <x:f>'_REFLO_BRIDGE'!$AT$52</x:f>
        <x:v>901.7</x:v>
      </x:c>
      <x:c r="E33" s="211" t="n">
        <x:f>'_REFLO_BRIDGE'!$AU$52</x:f>
        <x:v>1031</x:v>
      </x:c>
      <x:c r="F33" s="211" t="n">
        <x:f>'_REFLO_BRIDGE'!$AV$52</x:f>
        <x:v>1193.2</x:v>
      </x:c>
      <x:c r="G33" s="56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3"/>
    </x:row>
    <x:row r="34" ht="18" customHeight="1">
      <x:c r="A34" s="54" t="s">
        <x:v>442</x:v>
      </x:c>
      <x:c r="B34" s="210" t="n">
        <x:f>'_REFLO_BRIDGE'!$AR$53</x:f>
        <x:v>-183</x:v>
      </x:c>
      <x:c r="C34" s="210" t="n">
        <x:f>'_REFLO_BRIDGE'!$AS$53</x:f>
        <x:v>-205.2</x:v>
      </x:c>
      <x:c r="D34" s="211" t="n">
        <x:f>'_REFLO_BRIDGE'!$AT$53</x:f>
        <x:v>-262.4</x:v>
      </x:c>
      <x:c r="E34" s="211" t="n">
        <x:f>'_REFLO_BRIDGE'!$AU$53</x:f>
        <x:v>-389.8</x:v>
      </x:c>
      <x:c r="F34" s="211" t="n">
        <x:f>'_REFLO_BRIDGE'!$AV$53</x:f>
        <x:v>-565.5</x:v>
      </x:c>
      <x:c r="G34" s="56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3"/>
    </x:row>
    <x:row r="35" ht="18" customHeight="1">
      <x:c r="A35" s="12"/>
      <x:c r="B35" s="16"/>
      <x:c r="C35" s="16"/>
      <x:c r="D35" s="16"/>
      <x:c r="E35" s="16"/>
      <x:c r="F35" s="16"/>
      <x:c r="G35" s="13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3"/>
    </x:row>
    <x:row r="36" ht="18" customHeight="1">
      <x:c r="A36" s="153" t="s">
        <x:v>302</x:v>
      </x:c>
      <x:c r="B36" s="148"/>
      <x:c r="C36" s="148"/>
      <x:c r="D36" s="148"/>
      <x:c r="E36" s="148"/>
      <x:c r="F36" s="148"/>
      <x:c r="G36" s="154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3"/>
    </x:row>
    <x:row r="37" ht="18" customHeight="1">
      <x:c r="A37" s="12"/>
      <x:c r="B37" s="16"/>
      <x:c r="C37" s="16"/>
      <x:c r="D37" s="16"/>
      <x:c r="E37" s="16"/>
      <x:c r="F37" s="16"/>
      <x:c r="G37" s="13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3"/>
    </x:row>
    <x:row r="38" ht="18" customHeight="1">
      <x:c r="A38" s="116" t="s">
        <x:v>297</x:v>
      </x:c>
      <x:c r="B38" s="16"/>
      <x:c r="C38" s="16"/>
      <x:c r="D38" s="16"/>
      <x:c r="E38" s="16"/>
      <x:c r="F38" s="16"/>
      <x:c r="G38" s="13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3"/>
    </x:row>
    <x:row r="39" ht="19.950000762939453" customHeight="1">
      <x:c r="A39" s="73" t="s">
        <x:v>152</x:v>
      </x:c>
      <x:c r="B39" s="130" t="s">
        <x:v>142</x:v>
      </x:c>
      <x:c r="C39" s="130" t="s">
        <x:v>143</x:v>
      </x:c>
      <x:c r="D39" s="130" t="s">
        <x:v>144</x:v>
      </x:c>
      <x:c r="E39" s="130" t="s">
        <x:v>123</x:v>
      </x:c>
      <x:c r="F39" s="130" t="s">
        <x:v>124</x:v>
      </x:c>
      <x:c r="G39" s="73" t="s">
        <x:v>109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3"/>
    </x:row>
    <x:row r="40" ht="19.950000762939453" customHeight="1">
      <x:c r="A40" s="53" t="s">
        <x:v>443</x:v>
      </x:c>
      <x:c r="B40" s="77" t="n">
        <x:f>B5+B11</x:f>
        <x:v>1127.6</x:v>
      </x:c>
      <x:c r="C40" s="77" t="n">
        <x:f>C5+C11</x:f>
        <x:v>1088.8</x:v>
      </x:c>
      <x:c r="D40" s="77" t="n">
        <x:f>D5+D11</x:f>
        <x:v>1250.6</x:v>
      </x:c>
      <x:c r="E40" s="77" t="n">
        <x:f>E5+E11</x:f>
        <x:v>1460.9</x:v>
      </x:c>
      <x:c r="F40" s="77" t="n">
        <x:f>F5+F11</x:f>
        <x:v>1654.2</x:v>
      </x:c>
      <x:c r="G40" s="114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3"/>
    </x:row>
    <x:row r="41" ht="18" customHeight="1">
      <x:c r="A41" s="54" t="s">
        <x:v>444</x:v>
      </x:c>
      <x:c r="B41" s="78" t="n">
        <x:f>B18+B22</x:f>
        <x:v>259.2</x:v>
      </x:c>
      <x:c r="C41" s="78" t="n">
        <x:f>C18+C22</x:f>
        <x:v>213.2</x:v>
      </x:c>
      <x:c r="D41" s="78" t="n">
        <x:f>D18+D22</x:f>
        <x:v>348.9</x:v>
      </x:c>
      <x:c r="E41" s="78" t="n">
        <x:f>E18+E22</x:f>
        <x:v>429.9</x:v>
      </x:c>
      <x:c r="F41" s="78" t="n">
        <x:f>F18+F22</x:f>
        <x:v>461</x:v>
      </x:c>
      <x:c r="G41" s="56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3"/>
    </x:row>
    <x:row r="42" ht="18" customHeight="1">
      <x:c r="A42" s="54" t="s">
        <x:v>445</x:v>
      </x:c>
      <x:c r="B42" s="78" t="n">
        <x:f>B17-B25</x:f>
        <x:v>868.3</x:v>
      </x:c>
      <x:c r="C42" s="78" t="n">
        <x:f>C17-C25</x:f>
        <x:v>875.5</x:v>
      </x:c>
      <x:c r="D42" s="78" t="n">
        <x:f>D17-D25</x:f>
        <x:v>901.8</x:v>
      </x:c>
      <x:c r="E42" s="78" t="n">
        <x:f>E17-E25</x:f>
        <x:v>1031</x:v>
      </x:c>
      <x:c r="F42" s="78" t="n">
        <x:f>F17-F25</x:f>
        <x:v>1193.2</x:v>
      </x:c>
      <x:c r="G42" s="56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3"/>
    </x:row>
    <x:row r="43" ht="18" customHeight="1">
      <x:c r="A43" s="54" t="s">
        <x:v>446</x:v>
      </x:c>
      <x:c r="B43" s="78" t="n">
        <x:f>B25/B33</x:f>
        <x:v>0.29851433836231717</x:v>
      </x:c>
      <x:c r="C43" s="78" t="n">
        <x:f>C25/C33</x:f>
        <x:v>0.2435179897201599</x:v>
      </x:c>
      <x:c r="D43" s="78" t="n">
        <x:f>D25/D33</x:f>
        <x:v>0.386824886325829</x:v>
      </x:c>
      <x:c r="E43" s="78" t="n">
        <x:f>E25/E33</x:f>
        <x:v>0.41697381183317167</x:v>
      </x:c>
      <x:c r="F43" s="78" t="n">
        <x:f>F25/F33</x:f>
        <x:v>0.3863560174321153</x:v>
      </x:c>
      <x:c r="G43" s="56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3"/>
    </x:row>
    <x:row r="44" ht="18" customHeight="1">
      <x:c r="A44" s="12"/>
      <x:c r="B44" s="16"/>
      <x:c r="C44" s="16"/>
      <x:c r="D44" s="16"/>
      <x:c r="E44" s="16"/>
      <x:c r="F44" s="16"/>
      <x:c r="G44" s="13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3"/>
    </x:row>
    <x:row r="45" ht="18" customHeight="1">
      <x:c r="A45" s="153" t="s">
        <x:v>411</x:v>
      </x:c>
      <x:c r="B45" s="148"/>
      <x:c r="C45" s="148"/>
      <x:c r="D45" s="148"/>
      <x:c r="E45" s="148"/>
      <x:c r="F45" s="148"/>
      <x:c r="G45" s="154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3"/>
    </x:row>
    <x:row r="46" ht="18" customHeight="1">
      <x:c r="A46" s="9"/>
      <x:c r="B46" s="17"/>
      <x:c r="C46" s="17"/>
      <x:c r="D46" s="17"/>
      <x:c r="E46" s="17"/>
      <x:c r="F46" s="17"/>
      <x:c r="G46" s="1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3"/>
    </x:row>
    <x:row r="47" ht="18" customHeight="1">
      <x:c r="A47" s="12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3"/>
    </x:row>
    <x:row r="48" ht="18" customHeight="1">
      <x:c r="A48" s="12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3"/>
    </x:row>
    <x:row r="49" ht="18" customHeight="1">
      <x:c r="A49" s="12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3"/>
    </x:row>
    <x:row r="50" ht="18" customHeight="1">
      <x:c r="A50" s="12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3"/>
    </x:row>
    <x:row r="51" ht="18" customHeight="1">
      <x:c r="A51" s="12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3"/>
    </x:row>
    <x:row r="52" ht="18" customHeight="1">
      <x:c r="A52" s="12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3"/>
    </x:row>
    <x:row r="53" ht="18" customHeight="1">
      <x:c r="A53" s="12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3"/>
    </x:row>
    <x:row r="54" ht="18" customHeight="1">
      <x:c r="A54" s="12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3"/>
    </x:row>
    <x:row r="55" ht="18" customHeight="1">
      <x:c r="A55" s="12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3"/>
    </x:row>
    <x:row r="56" ht="18" customHeight="1">
      <x:c r="A56" s="12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3"/>
    </x:row>
    <x:row r="57" ht="18" customHeight="1">
      <x:c r="A57" s="12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3"/>
    </x:row>
    <x:row r="58" ht="18" customHeight="1">
      <x:c r="A58" s="12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3"/>
    </x:row>
    <x:row r="59" ht="18" customHeight="1">
      <x:c r="A59" s="12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3"/>
    </x:row>
    <x:row r="60" ht="18" customHeight="1">
      <x:c r="A60" s="9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</x:sheetData>
  <x:mergeCells>
    <x:mergeCell ref="A36:G36"/>
    <x:mergeCell ref="A2:G2"/>
    <x:mergeCell ref="A45:G45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1F6E6A"/>
  </x:sheetPr>
  <x:sheetViews>
    <x:sheetView showGridLines="0" workbookViewId="0"/>
  </x:sheetViews>
  <x:sheetFormatPr defaultColWidth="8.69921875" defaultRowHeight="17.399999618530273"/>
  <x:cols>
    <x:col min="1" max="1" width="24" customWidth="1"/>
    <x:col min="2" max="6" width="12" customWidth="1"/>
    <x:col min="7" max="7" width="28" customWidth="1"/>
    <x:col min="8" max="26" width="10" customWidth="1"/>
  </x:cols>
  <x:sheetData>
    <x:row r="1" ht="22.049999237060547" customHeight="1">
      <x:c r="A1" s="111" t="s">
        <x:v>447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6"/>
    </x:row>
    <x:row r="2" ht="18" customHeight="1">
      <x:c r="A2" s="165" t="s">
        <x:v>448</x:v>
      </x:c>
      <x:c r="B2" s="148"/>
      <x:c r="C2" s="148"/>
      <x:c r="D2" s="148"/>
      <x:c r="E2" s="148"/>
      <x:c r="F2" s="148"/>
      <x:c r="G2" s="148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28"/>
    </x:row>
    <x:row r="3" ht="18" customHeight="1">
      <x:c r="A3" s="12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3"/>
    </x:row>
    <x:row r="4" ht="19.950000762939453" customHeight="1">
      <x:c r="A4" s="119" t="s">
        <x:v>449</x:v>
      </x:c>
      <x:c r="B4" s="7"/>
      <x:c r="C4" s="7"/>
      <x:c r="D4" s="7"/>
      <x:c r="E4" s="7"/>
      <x:c r="F4" s="7"/>
      <x:c r="G4" s="8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3"/>
    </x:row>
    <x:row r="5" ht="18" customHeight="1">
      <x:c r="A5" s="54" t="s">
        <x:v>3</x:v>
      </x:c>
      <x:c r="B5" s="78" t="s">
        <x:v>142</x:v>
      </x:c>
      <x:c r="C5" s="78" t="s">
        <x:v>143</x:v>
      </x:c>
      <x:c r="D5" s="78" t="s">
        <x:v>144</x:v>
      </x:c>
      <x:c r="E5" s="78" t="s">
        <x:v>123</x:v>
      </x:c>
      <x:c r="F5" s="78" t="s">
        <x:v>124</x:v>
      </x:c>
      <x:c r="G5" s="54" t="s">
        <x:v>109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3"/>
    </x:row>
    <x:row r="6" ht="18" customHeight="1">
      <x:c r="A6" s="54" t="s">
        <x:v>149</x:v>
      </x:c>
      <x:c r="B6" s="213" t="n">
        <x:f>'_REFLO_BRIDGE'!$AZ$25</x:f>
        <x:v>493</x:v>
      </x:c>
      <x:c r="C6" s="213" t="n">
        <x:f>'_REFLO_BRIDGE'!$BA$25</x:f>
        <x:v>461</x:v>
      </x:c>
      <x:c r="D6" s="214" t="n">
        <x:f>'_REFLO_BRIDGE'!$BB$25</x:f>
        <x:v>947</x:v>
      </x:c>
      <x:c r="E6" s="214" t="n">
        <x:f>'_REFLO_BRIDGE'!$BC$25</x:f>
        <x:v>3033</x:v>
      </x:c>
      <x:c r="F6" s="214" t="n">
        <x:f>'_REFLO_BRIDGE'!$BD$25</x:f>
        <x:v>3699</x:v>
      </x:c>
      <x:c r="G6" s="56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3"/>
    </x:row>
    <x:row r="7" ht="18" customHeight="1">
      <x:c r="A7" s="54" t="s">
        <x:v>295</x:v>
      </x:c>
      <x:c r="B7" s="213" t="n">
        <x:f>'_REFLO_BRIDGE'!$AZ$26</x:f>
        <x:v>16857</x:v>
      </x:c>
      <x:c r="C7" s="213" t="n">
        <x:f>'_REFLO_BRIDGE'!$BA$26</x:f>
        <x:v>16996</x:v>
      </x:c>
      <x:c r="D7" s="214" t="n">
        <x:f>'_REFLO_BRIDGE'!$BB$26</x:f>
        <x:v>17505</x:v>
      </x:c>
      <x:c r="E7" s="214" t="n">
        <x:f>'_REFLO_BRIDGE'!$BC$26</x:f>
        <x:v>20014</x:v>
      </x:c>
      <x:c r="F7" s="214" t="n">
        <x:f>'_REFLO_BRIDGE'!$BD$26</x:f>
        <x:v>23163</x:v>
      </x:c>
      <x:c r="G7" s="56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3"/>
    </x:row>
    <x:row r="8" ht="18" customHeight="1">
      <x:c r="A8" s="54" t="s">
        <x:v>450</x:v>
      </x:c>
      <x:c r="B8" s="213" t="n">
        <x:f>'_REFLO_BRIDGE'!$AZ$27</x:f>
        <x:v>3645</x:v>
      </x:c>
      <x:c r="C8" s="213" t="n">
        <x:f>'_REFLO_BRIDGE'!$BA$27</x:f>
        <x:v>3157</x:v>
      </x:c>
      <x:c r="D8" s="214" t="n">
        <x:f>'_REFLO_BRIDGE'!$BB$27</x:f>
        <x:v>3451</x:v>
      </x:c>
      <x:c r="E8" s="214" t="n">
        <x:f>'_REFLO_BRIDGE'!$BC$27</x:f>
        <x:v>5283</x:v>
      </x:c>
      <x:c r="F8" s="214" t="n">
        <x:f>'_REFLO_BRIDGE'!$BD$27</x:f>
        <x:v>6193</x:v>
      </x:c>
      <x:c r="G8" s="56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3"/>
    </x:row>
    <x:row r="9" ht="18" customHeight="1">
      <x:c r="A9" s="54" t="s">
        <x:v>451</x:v>
      </x:c>
      <x:c r="B9" s="213" t="n">
        <x:f>'_REFLO_BRIDGE'!$AZ$28</x:f>
        <x:v>2694</x:v>
      </x:c>
      <x:c r="C9" s="213" t="n">
        <x:f>'_REFLO_BRIDGE'!$BA$28</x:f>
        <x:v>2498</x:v>
      </x:c>
      <x:c r="D9" s="214" t="n">
        <x:f>'_REFLO_BRIDGE'!$BB$28</x:f>
        <x:v>2914</x:v>
      </x:c>
      <x:c r="E9" s="214" t="n">
        <x:f>'_REFLO_BRIDGE'!$BC$28</x:f>
        <x:v>5324</x:v>
      </x:c>
      <x:c r="F9" s="214" t="n">
        <x:f>'_REFLO_BRIDGE'!$BD$28</x:f>
        <x:v>5995</x:v>
      </x:c>
      <x:c r="G9" s="56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3"/>
    </x:row>
    <x:row r="10" ht="18" customHeight="1">
      <x:c r="A10" s="54" t="s">
        <x:v>452</x:v>
      </x:c>
      <x:c r="B10" s="213" t="n">
        <x:f>'_REFLO_BRIDGE'!$AZ$29</x:f>
        <x:v>17659</x:v>
      </x:c>
      <x:c r="C10" s="213" t="n">
        <x:f>'_REFLO_BRIDGE'!$BA$29</x:f>
        <x:v>17319</x:v>
      </x:c>
      <x:c r="D10" s="214" t="n">
        <x:f>'_REFLO_BRIDGE'!$BB$29</x:f>
        <x:v>20681</x:v>
      </x:c>
      <x:c r="E10" s="214" t="n">
        <x:f>'_REFLO_BRIDGE'!$BC$29</x:f>
        <x:v>28840</x:v>
      </x:c>
      <x:c r="F10" s="214" t="n">
        <x:f>'_REFLO_BRIDGE'!$BD$29</x:f>
        <x:v>31707</x:v>
      </x:c>
      <x:c r="G10" s="56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3"/>
    </x:row>
    <x:row r="11" ht="18" customHeight="1">
      <x:c r="A11" s="54" t="s">
        <x:v>296</x:v>
      </x:c>
      <x:c r="B11" s="213" t="n">
        <x:f>'_REFLO_BRIDGE'!$AZ$30</x:f>
        <x:v>300</x:v>
      </x:c>
      <x:c r="C11" s="213" t="n">
        <x:f>'_REFLO_BRIDGE'!$BA$30</x:f>
        <x:v>400</x:v>
      </x:c>
      <x:c r="D11" s="213" t="n">
        <x:f>'_REFLO_BRIDGE'!$BB$30</x:f>
        <x:v>400</x:v>
      </x:c>
      <x:c r="E11" s="213" t="n">
        <x:f>'_REFLO_BRIDGE'!$BC$30</x:f>
        <x:v>400</x:v>
      </x:c>
      <x:c r="F11" s="213" t="n">
        <x:f>'_REFLO_BRIDGE'!$BD$30</x:f>
        <x:v>400</x:v>
      </x:c>
      <x:c r="G11" s="56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3"/>
    </x:row>
    <x:row r="12" ht="18" customHeight="1">
      <x:c r="A12" s="54" t="s">
        <x:v>453</x:v>
      </x:c>
      <x:c r="B12" s="72"/>
      <x:c r="C12" s="72"/>
      <x:c r="D12" s="72"/>
      <x:c r="E12" s="72"/>
      <x:c r="F12" s="72"/>
      <x:c r="G12" s="56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3"/>
    </x:row>
    <x:row r="13" ht="18" customHeight="1">
      <x:c r="A13" s="54" t="s">
        <x:v>3</x:v>
      </x:c>
      <x:c r="B13" s="78" t="s">
        <x:v>142</x:v>
      </x:c>
      <x:c r="C13" s="78" t="s">
        <x:v>143</x:v>
      </x:c>
      <x:c r="D13" s="78" t="s">
        <x:v>144</x:v>
      </x:c>
      <x:c r="E13" s="78" t="s">
        <x:v>123</x:v>
      </x:c>
      <x:c r="F13" s="78" t="s">
        <x:v>124</x:v>
      </x:c>
      <x:c r="G13" s="54" t="s">
        <x:v>109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3"/>
    </x:row>
    <x:row r="14" ht="18" customHeight="1">
      <x:c r="A14" s="54" t="s">
        <x:v>291</x:v>
      </x:c>
      <x:c r="B14" s="215" t="n">
        <x:f>'_REFLO_BRIDGE'!$AZ$33</x:f>
        <x:v>54.87</x:v>
      </x:c>
      <x:c r="C14" s="215" t="n">
        <x:f>'_REFLO_BRIDGE'!$BA$33</x:f>
        <x:v>33.62</x:v>
      </x:c>
      <x:c r="D14" s="216" t="n">
        <x:f>'_REFLO_BRIDGE'!$BB$33</x:f>
        <x:v>49.74</x:v>
      </x:c>
      <x:c r="E14" s="216" t="n">
        <x:f>'_REFLO_BRIDGE'!$BC$33</x:f>
        <x:v>17.31</x:v>
      </x:c>
      <x:c r="F14" s="216" t="n">
        <x:f>'_REFLO_BRIDGE'!$BD$33</x:f>
        <x:v>14.19</x:v>
      </x:c>
      <x:c r="G14" s="56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3"/>
    </x:row>
    <x:row r="15" ht="18" customHeight="1">
      <x:c r="A15" s="54" t="s">
        <x:v>292</x:v>
      </x:c>
      <x:c r="B15" s="215" t="n">
        <x:f>'_REFLO_BRIDGE'!$AZ$34</x:f>
        <x:v>1.6</x:v>
      </x:c>
      <x:c r="C15" s="215" t="n">
        <x:f>'_REFLO_BRIDGE'!$BA$34</x:f>
        <x:v>0.91</x:v>
      </x:c>
      <x:c r="D15" s="216" t="n">
        <x:f>'_REFLO_BRIDGE'!$BB$34</x:f>
        <x:v>2.69</x:v>
      </x:c>
      <x:c r="E15" s="216" t="n">
        <x:f>'_REFLO_BRIDGE'!$BC$34</x:f>
        <x:v>2.62</x:v>
      </x:c>
      <x:c r="F15" s="216" t="n">
        <x:f>'_REFLO_BRIDGE'!$BD$34</x:f>
        <x:v>2.27</x:v>
      </x:c>
      <x:c r="G15" s="56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3"/>
    </x:row>
    <x:row r="16" ht="18" customHeight="1">
      <x:c r="A16" s="54" t="s">
        <x:v>454</x:v>
      </x:c>
      <x:c r="B16" s="215" t="n">
        <x:f>'_REFLO_BRIDGE'!$AZ$35</x:f>
        <x:v>7.42</x:v>
      </x:c>
      <x:c r="C16" s="215" t="n">
        <x:f>'_REFLO_BRIDGE'!$BA$35</x:f>
        <x:v>4.91</x:v>
      </x:c>
      <x:c r="D16" s="216" t="n">
        <x:f>'_REFLO_BRIDGE'!$BB$35</x:f>
        <x:v>13.65</x:v>
      </x:c>
      <x:c r="E16" s="216" t="n">
        <x:f>'_REFLO_BRIDGE'!$BC$35</x:f>
        <x:v>9.94</x:v>
      </x:c>
      <x:c r="F16" s="216" t="n">
        <x:f>'_REFLO_BRIDGE'!$BD$35</x:f>
        <x:v>8.48</x:v>
      </x:c>
      <x:c r="G16" s="56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3"/>
    </x:row>
    <x:row r="17" ht="18" customHeight="1">
      <x:c r="A17" s="54" t="s">
        <x:v>293</x:v>
      </x:c>
      <x:c r="B17" s="215" t="n">
        <x:f>'_REFLO_BRIDGE'!$AZ$36</x:f>
        <x:v>8.47</x:v>
      </x:c>
      <x:c r="C17" s="215" t="n">
        <x:f>'_REFLO_BRIDGE'!$BA$36</x:f>
        <x:v>4.49</x:v>
      </x:c>
      <x:c r="D17" s="216" t="n">
        <x:f>'_REFLO_BRIDGE'!$BB$36</x:f>
        <x:v>13.96</x:v>
      </x:c>
      <x:c r="E17" s="216" t="n">
        <x:f>'_REFLO_BRIDGE'!$BC$36</x:f>
        <x:v>8.16</x:v>
      </x:c>
      <x:c r="F17" s="216" t="n">
        <x:f>'_REFLO_BRIDGE'!$BD$36</x:f>
        <x:v>6.68</x:v>
      </x:c>
      <x:c r="G17" s="56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3"/>
    </x:row>
    <x:row r="18" ht="18" customHeight="1">
      <x:c r="A18" s="54" t="s">
        <x:v>455</x:v>
      </x:c>
      <x:c r="B18" s="215" t="n">
        <x:f>'_REFLO_BRIDGE'!$AZ$37</x:f>
        <x:v>1.53</x:v>
      </x:c>
      <x:c r="C18" s="215" t="n">
        <x:f>'_REFLO_BRIDGE'!$BA$37</x:f>
        <x:v>0.89</x:v>
      </x:c>
      <x:c r="D18" s="216" t="n">
        <x:f>'_REFLO_BRIDGE'!$BB$37</x:f>
        <x:v>2.28</x:v>
      </x:c>
      <x:c r="E18" s="216" t="n">
        <x:f>'_REFLO_BRIDGE'!$BC$37</x:f>
        <x:v>1.82</x:v>
      </x:c>
      <x:c r="F18" s="216" t="n">
        <x:f>'_REFLO_BRIDGE'!$BD$37</x:f>
        <x:v>1.66</x:v>
      </x:c>
      <x:c r="G18" s="56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3"/>
    </x:row>
    <x:row r="19" ht="18" customHeight="1">
      <x:c r="A19" s="54" t="s">
        <x:v>456</x:v>
      </x:c>
      <x:c r="B19" s="72"/>
      <x:c r="C19" s="72"/>
      <x:c r="D19" s="72"/>
      <x:c r="E19" s="72"/>
      <x:c r="F19" s="72"/>
      <x:c r="G19" s="56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3"/>
    </x:row>
    <x:row r="20" ht="18" customHeight="1">
      <x:c r="A20" s="54" t="s">
        <x:v>3</x:v>
      </x:c>
      <x:c r="B20" s="78" t="s">
        <x:v>142</x:v>
      </x:c>
      <x:c r="C20" s="78" t="s">
        <x:v>143</x:v>
      </x:c>
      <x:c r="D20" s="78" t="s">
        <x:v>144</x:v>
      </x:c>
      <x:c r="E20" s="78" t="s">
        <x:v>123</x:v>
      </x:c>
      <x:c r="F20" s="78" t="s">
        <x:v>124</x:v>
      </x:c>
      <x:c r="G20" s="54" t="s">
        <x:v>109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3"/>
    </x:row>
    <x:row r="21" ht="18" customHeight="1">
      <x:c r="A21" s="54" t="s">
        <x:v>294</x:v>
      </x:c>
      <x:c r="B21" s="217" t="n">
        <x:f>'_REFLO_BRIDGE'!$AZ$40</x:f>
        <x:v>0.0295</x:v>
      </x:c>
      <x:c r="C21" s="217" t="n">
        <x:f>'_REFLO_BRIDGE'!$BA$40</x:f>
        <x:v>0.0273</x:v>
      </x:c>
      <x:c r="D21" s="218" t="n">
        <x:f>'_REFLO_BRIDGE'!$BB$40</x:f>
        <x:v>0.0549</x:v>
      </x:c>
      <x:c r="E21" s="218" t="n">
        <x:f>'_REFLO_BRIDGE'!$BC$40</x:f>
        <x:v>0.1551</x:v>
      </x:c>
      <x:c r="F21" s="218" t="n">
        <x:f>'_REFLO_BRIDGE'!$BD$40</x:f>
        <x:v>0.1644</x:v>
      </x:c>
      <x:c r="G21" s="56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3"/>
    </x:row>
    <x:row r="22" ht="18" customHeight="1">
      <x:c r="A22" s="54" t="s">
        <x:v>457</x:v>
      </x:c>
      <x:c r="B22" s="217" t="n">
        <x:f>'_REFLO_BRIDGE'!$AZ$41</x:f>
        <x:v>0.0219</x:v>
      </x:c>
      <x:c r="C22" s="217" t="n">
        <x:f>'_REFLO_BRIDGE'!$BA$41</x:f>
        <x:v>0.0214</x:v>
      </x:c>
      <x:c r="D22" s="218" t="n">
        <x:f>'_REFLO_BRIDGE'!$BB$41</x:f>
        <x:v>0.0417</x:v>
      </x:c>
      <x:c r="E22" s="218" t="n">
        <x:f>'_REFLO_BRIDGE'!$BC$41</x:f>
        <x:v>0.1105</x:v>
      </x:c>
      <x:c r="F22" s="218" t="n">
        <x:f>'_REFLO_BRIDGE'!$BD$41</x:f>
        <x:v>0.1174</x:v>
      </x:c>
      <x:c r="G22" s="56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3"/>
    </x:row>
    <x:row r="23" ht="19.950000762939453" customHeight="1">
      <x:c r="A23" s="73" t="s">
        <x:v>458</x:v>
      </x:c>
      <x:c r="B23" s="219" t="n">
        <x:f>'_REFLO_BRIDGE'!$AZ$42</x:f>
        <x:v>0.0321</x:v>
      </x:c>
      <x:c r="C23" s="219" t="n">
        <x:f>'_REFLO_BRIDGE'!$BA$42</x:f>
        <x:v>0.0138</x:v>
      </x:c>
      <x:c r="D23" s="218" t="n">
        <x:f>'_REFLO_BRIDGE'!$BB$42</x:f>
        <x:v>0.0757</x:v>
      </x:c>
      <x:c r="E23" s="218" t="n">
        <x:f>'_REFLO_BRIDGE'!$BC$42</x:f>
        <x:v>0.256</x:v>
      </x:c>
      <x:c r="F23" s="218" t="n">
        <x:f>'_REFLO_BRIDGE'!$BD$42</x:f>
        <x:v>0.3194</x:v>
      </x:c>
      <x:c r="G23" s="74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3"/>
    </x:row>
    <x:row r="24" ht="18" customHeight="1">
      <x:c r="A24" s="54" t="s">
        <x:v>459</x:v>
      </x:c>
      <x:c r="B24" s="217" t="n">
        <x:f>'_REFLO_BRIDGE'!$AZ$43</x:f>
        <x:v>0.2985</x:v>
      </x:c>
      <x:c r="C24" s="217" t="n">
        <x:f>'_REFLO_BRIDGE'!$BA$43</x:f>
        <x:v>0.2435</x:v>
      </x:c>
      <x:c r="D24" s="218" t="n">
        <x:f>'_REFLO_BRIDGE'!$BB$43</x:f>
        <x:v>0.3869</x:v>
      </x:c>
      <x:c r="E24" s="218" t="n">
        <x:f>'_REFLO_BRIDGE'!$BC$43</x:f>
        <x:v>0.417</x:v>
      </x:c>
      <x:c r="F24" s="218" t="n">
        <x:f>'_REFLO_BRIDGE'!$BD$43</x:f>
        <x:v>0.3863</x:v>
      </x:c>
      <x:c r="G24" s="56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3"/>
    </x:row>
    <x:row r="25" ht="18" customHeight="1">
      <x:c r="A25" s="54" t="s">
        <x:v>460</x:v>
      </x:c>
      <x:c r="B25" s="217" t="n">
        <x:f>'_REFLO_BRIDGE'!$AZ$44</x:f>
        <x:v>-0.2108</x:v>
      </x:c>
      <x:c r="C25" s="217" t="n">
        <x:f>'_REFLO_BRIDGE'!$BA$44</x:f>
        <x:v>-0.2344</x:v>
      </x:c>
      <x:c r="D25" s="218" t="n">
        <x:f>'_REFLO_BRIDGE'!$BB$44</x:f>
        <x:v>-0.291</x:v>
      </x:c>
      <x:c r="E25" s="218" t="n">
        <x:f>'_REFLO_BRIDGE'!$BC$44</x:f>
        <x:v>-0.3781</x:v>
      </x:c>
      <x:c r="F25" s="218" t="n">
        <x:f>'_REFLO_BRIDGE'!$BD$44</x:f>
        <x:v>-0.474</x:v>
      </x:c>
      <x:c r="G25" s="56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3"/>
    </x:row>
    <x:row r="26" ht="18" customHeight="1">
      <x:c r="A26" s="54" t="s">
        <x:v>461</x:v>
      </x:c>
      <x:c r="B26" s="210" t="n">
        <x:f>'_REFLO_BRIDGE'!$AZ$45</x:f>
        <x:v>25.76</x:v>
      </x:c>
      <x:c r="C26" s="210" t="n">
        <x:f>'_REFLO_BRIDGE'!$BA$45</x:f>
        <x:v>16.49</x:v>
      </x:c>
      <x:c r="D26" s="211" t="n">
        <x:f>'_REFLO_BRIDGE'!$BB$45</x:f>
        <x:v>39.53</x:v>
      </x:c>
      <x:c r="E26" s="211" t="n">
        <x:f>'_REFLO_BRIDGE'!$BC$45</x:f>
        <x:v>134.63</x:v>
      </x:c>
      <x:c r="F26" s="211" t="n">
        <x:f>'_REFLO_BRIDGE'!$BD$45</x:f>
        <x:v>0</x:v>
      </x:c>
      <x:c r="G26" s="56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3"/>
    </x:row>
    <x:row r="27" ht="18" customHeight="1">
      <x:c r="A27" s="12"/>
      <x:c r="B27" s="16"/>
      <x:c r="C27" s="16"/>
      <x:c r="D27" s="16"/>
      <x:c r="E27" s="16"/>
      <x:c r="F27" s="16"/>
      <x:c r="G27" s="13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3"/>
    </x:row>
    <x:row r="28" ht="18" customHeight="1">
      <x:c r="A28" s="153" t="s">
        <x:v>302</x:v>
      </x:c>
      <x:c r="B28" s="148"/>
      <x:c r="C28" s="148"/>
      <x:c r="D28" s="148"/>
      <x:c r="E28" s="148"/>
      <x:c r="F28" s="148"/>
      <x:c r="G28" s="154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3"/>
    </x:row>
    <x:row r="29" ht="18" customHeight="1">
      <x:c r="A29" s="12"/>
      <x:c r="B29" s="16"/>
      <x:c r="C29" s="16"/>
      <x:c r="D29" s="16"/>
      <x:c r="E29" s="16"/>
      <x:c r="F29" s="16"/>
      <x:c r="G29" s="13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3"/>
    </x:row>
    <x:row r="30" ht="18" customHeight="1">
      <x:c r="A30" s="116" t="s">
        <x:v>297</x:v>
      </x:c>
      <x:c r="B30" s="16"/>
      <x:c r="C30" s="16"/>
      <x:c r="D30" s="16"/>
      <x:c r="E30" s="16"/>
      <x:c r="F30" s="16"/>
      <x:c r="G30" s="13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3"/>
    </x:row>
    <x:row r="31" ht="19.950000762939453" customHeight="1">
      <x:c r="A31" s="73" t="s">
        <x:v>152</x:v>
      </x:c>
      <x:c r="B31" s="130" t="s">
        <x:v>142</x:v>
      </x:c>
      <x:c r="C31" s="130" t="s">
        <x:v>143</x:v>
      </x:c>
      <x:c r="D31" s="130" t="s">
        <x:v>144</x:v>
      </x:c>
      <x:c r="E31" s="130" t="s">
        <x:v>123</x:v>
      </x:c>
      <x:c r="F31" s="130" t="s">
        <x:v>124</x:v>
      </x:c>
      <x:c r="G31" s="73" t="s">
        <x:v>109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3"/>
    </x:row>
    <x:row r="32" ht="18" customHeight="1">
      <x:c r="A32" s="54" t="s">
        <x:v>462</x:v>
      </x:c>
      <x:c r="B32" s="72"/>
      <x:c r="C32" s="72"/>
      <x:c r="D32" s="72"/>
      <x:c r="E32" s="71" t="n">
        <x:f>'05_도표1_Valuation'!$C$8/E6</x:f>
        <x:v>17.309594460929773</x:v>
      </x:c>
      <x:c r="F32" s="78" t="s">
        <x:v>463</x:v>
      </x:c>
      <x:c r="G32" s="56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3"/>
    </x:row>
    <x:row r="33" ht="18" customHeight="1">
      <x:c r="A33" s="54" t="s">
        <x:v>464</x:v>
      </x:c>
      <x:c r="B33" s="72"/>
      <x:c r="C33" s="72"/>
      <x:c r="D33" s="72"/>
      <x:c r="E33" s="71" t="n">
        <x:f>'05_도표1_Valuation'!$C$8/E7</x:f>
        <x:v>2.623163785350255</x:v>
      </x:c>
      <x:c r="F33" s="72"/>
      <x:c r="G33" s="56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3"/>
    </x:row>
    <x:row r="34" ht="18" customHeight="1">
      <x:c r="A34" s="54" t="s">
        <x:v>465</x:v>
      </x:c>
      <x:c r="B34" s="72"/>
      <x:c r="C34" s="78" t="n">
        <x:f>C6/B7</x:f>
        <x:v>0.027347689387198195</x:v>
      </x:c>
      <x:c r="D34" s="78" t="n">
        <x:f>D6/C7</x:f>
        <x:v>0.055718992704165686</x:v>
      </x:c>
      <x:c r="E34" s="78" t="n">
        <x:f>E6/D7</x:f>
        <x:v>0.17326478149100258</x:v>
      </x:c>
      <x:c r="F34" s="78" t="n">
        <x:f>F6/E7</x:f>
        <x:v>0.18482062556210652</x:v>
      </x:c>
      <x:c r="G34" s="56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3"/>
    </x:row>
    <x:row r="35" ht="18" customHeight="1">
      <x:c r="A35" s="12"/>
      <x:c r="B35" s="16"/>
      <x:c r="C35" s="16"/>
      <x:c r="D35" s="16"/>
      <x:c r="E35" s="16"/>
      <x:c r="F35" s="16"/>
      <x:c r="G35" s="13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3"/>
    </x:row>
    <x:row r="36" ht="18" customHeight="1">
      <x:c r="A36" s="153" t="s">
        <x:v>466</x:v>
      </x:c>
      <x:c r="B36" s="148"/>
      <x:c r="C36" s="148"/>
      <x:c r="D36" s="148"/>
      <x:c r="E36" s="148"/>
      <x:c r="F36" s="148"/>
      <x:c r="G36" s="154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3"/>
    </x:row>
    <x:row r="37" ht="18" customHeight="1">
      <x:c r="A37" s="12"/>
      <x:c r="B37" s="16"/>
      <x:c r="C37" s="16"/>
      <x:c r="D37" s="16"/>
      <x:c r="E37" s="16"/>
      <x:c r="F37" s="16"/>
      <x:c r="G37" s="13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3"/>
    </x:row>
    <x:row r="38" ht="18" customHeight="1">
      <x:c r="A38" s="12"/>
      <x:c r="B38" s="16"/>
      <x:c r="C38" s="16"/>
      <x:c r="D38" s="16"/>
      <x:c r="E38" s="16"/>
      <x:c r="F38" s="16"/>
      <x:c r="G38" s="13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3"/>
    </x:row>
    <x:row r="39" ht="19.950000762939453" customHeight="1">
      <x:c r="A39" s="20"/>
      <x:c r="B39" s="30"/>
      <x:c r="C39" s="30"/>
      <x:c r="D39" s="30"/>
      <x:c r="E39" s="30"/>
      <x:c r="F39" s="30"/>
      <x:c r="G39" s="2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3"/>
    </x:row>
    <x:row r="40" ht="19.950000762939453" customHeight="1">
      <x:c r="A40" s="6"/>
      <x:c r="B40" s="18"/>
      <x:c r="C40" s="18"/>
      <x:c r="D40" s="18"/>
      <x:c r="E40" s="18"/>
      <x:c r="F40" s="18"/>
      <x:c r="G40" s="8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3"/>
    </x:row>
    <x:row r="41" ht="18" customHeight="1">
      <x:c r="A41" s="12"/>
      <x:c r="B41" s="16"/>
      <x:c r="C41" s="16"/>
      <x:c r="D41" s="16"/>
      <x:c r="E41" s="16"/>
      <x:c r="F41" s="16"/>
      <x:c r="G41" s="13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3"/>
    </x:row>
    <x:row r="42" ht="18" customHeight="1">
      <x:c r="A42" s="12"/>
      <x:c r="B42" s="16"/>
      <x:c r="C42" s="16"/>
      <x:c r="D42" s="16"/>
      <x:c r="E42" s="16"/>
      <x:c r="F42" s="16"/>
      <x:c r="G42" s="13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3"/>
    </x:row>
    <x:row r="43" ht="18" customHeight="1">
      <x:c r="A43" s="12"/>
      <x:c r="B43" s="16"/>
      <x:c r="C43" s="16"/>
      <x:c r="D43" s="16"/>
      <x:c r="E43" s="16"/>
      <x:c r="F43" s="16"/>
      <x:c r="G43" s="13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3"/>
    </x:row>
    <x:row r="44" ht="18" customHeight="1">
      <x:c r="A44" s="12"/>
      <x:c r="B44" s="16"/>
      <x:c r="C44" s="16"/>
      <x:c r="D44" s="16"/>
      <x:c r="E44" s="16"/>
      <x:c r="F44" s="16"/>
      <x:c r="G44" s="13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3"/>
    </x:row>
    <x:row r="45" ht="18" customHeight="1">
      <x:c r="A45" s="12"/>
      <x:c r="B45" s="16"/>
      <x:c r="C45" s="16"/>
      <x:c r="D45" s="16"/>
      <x:c r="E45" s="16"/>
      <x:c r="F45" s="16"/>
      <x:c r="G45" s="13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3"/>
    </x:row>
    <x:row r="46" ht="18" customHeight="1">
      <x:c r="A46" s="9"/>
      <x:c r="B46" s="17"/>
      <x:c r="C46" s="17"/>
      <x:c r="D46" s="17"/>
      <x:c r="E46" s="17"/>
      <x:c r="F46" s="17"/>
      <x:c r="G46" s="1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3"/>
    </x:row>
    <x:row r="47" ht="18" customHeight="1">
      <x:c r="A47" s="12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3"/>
    </x:row>
    <x:row r="48" ht="18" customHeight="1">
      <x:c r="A48" s="12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3"/>
    </x:row>
    <x:row r="49" ht="18" customHeight="1">
      <x:c r="A49" s="12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3"/>
    </x:row>
    <x:row r="50" ht="18" customHeight="1">
      <x:c r="A50" s="12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3"/>
    </x:row>
    <x:row r="51" ht="18" customHeight="1">
      <x:c r="A51" s="12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3"/>
    </x:row>
    <x:row r="52" ht="18" customHeight="1">
      <x:c r="A52" s="12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3"/>
    </x:row>
    <x:row r="53" ht="18" customHeight="1">
      <x:c r="A53" s="12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3"/>
    </x:row>
    <x:row r="54" ht="18" customHeight="1">
      <x:c r="A54" s="12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3"/>
    </x:row>
    <x:row r="55" ht="18" customHeight="1">
      <x:c r="A55" s="12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3"/>
    </x:row>
    <x:row r="56" ht="18" customHeight="1">
      <x:c r="A56" s="12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3"/>
    </x:row>
    <x:row r="57" ht="18" customHeight="1">
      <x:c r="A57" s="12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3"/>
    </x:row>
    <x:row r="58" ht="18" customHeight="1">
      <x:c r="A58" s="12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3"/>
    </x:row>
    <x:row r="59" ht="18" customHeight="1">
      <x:c r="A59" s="12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3"/>
    </x:row>
    <x:row r="60" ht="18" customHeight="1">
      <x:c r="A60" s="9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</x:sheetData>
  <x:mergeCells>
    <x:mergeCell ref="A36:G36"/>
    <x:mergeCell ref="A2:G2"/>
    <x:mergeCell ref="A28:G28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1F6E6A"/>
  </x:sheetPr>
  <x:sheetViews>
    <x:sheetView showGridLines="0" workbookViewId="0"/>
  </x:sheetViews>
  <x:sheetFormatPr defaultColWidth="8.69921875" defaultRowHeight="17.399999618530273"/>
  <x:cols>
    <x:col min="1" max="1" width="24" customWidth="1"/>
    <x:col min="2" max="6" width="12" customWidth="1"/>
    <x:col min="7" max="7" width="28" customWidth="1"/>
    <x:col min="8" max="26" width="10" customWidth="1"/>
  </x:cols>
  <x:sheetData>
    <x:row r="1" ht="22.049999237060547" customHeight="1">
      <x:c r="A1" s="111" t="s">
        <x:v>467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6"/>
    </x:row>
    <x:row r="2" ht="18" customHeight="1">
      <x:c r="A2" s="165" t="s">
        <x:v>413</x:v>
      </x:c>
      <x:c r="B2" s="148"/>
      <x:c r="C2" s="148"/>
      <x:c r="D2" s="148"/>
      <x:c r="E2" s="148"/>
      <x:c r="F2" s="148"/>
      <x:c r="G2" s="148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28"/>
    </x:row>
    <x:row r="3" ht="18" customHeight="1">
      <x:c r="A3" s="12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3"/>
    </x:row>
    <x:row r="4" ht="19.950000762939453" customHeight="1">
      <x:c r="A4" s="53" t="s">
        <x:v>3</x:v>
      </x:c>
      <x:c r="B4" s="53" t="s">
        <x:v>142</x:v>
      </x:c>
      <x:c r="C4" s="53" t="s">
        <x:v>143</x:v>
      </x:c>
      <x:c r="D4" s="53" t="s">
        <x:v>144</x:v>
      </x:c>
      <x:c r="E4" s="53" t="s">
        <x:v>123</x:v>
      </x:c>
      <x:c r="F4" s="53" t="s">
        <x:v>124</x:v>
      </x:c>
      <x:c r="G4" s="53" t="s">
        <x:v>109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3"/>
    </x:row>
    <x:row r="5" ht="18" customHeight="1">
      <x:c r="A5" s="54" t="s">
        <x:v>468</x:v>
      </x:c>
      <x:c r="B5" s="210" t="n">
        <x:f>'_REFLO_BRIDGE'!$BH$24</x:f>
        <x:v>180.7</x:v>
      </x:c>
      <x:c r="C5" s="210" t="n">
        <x:f>'_REFLO_BRIDGE'!$BI$24</x:f>
        <x:v>97.8</x:v>
      </x:c>
      <x:c r="D5" s="211" t="n">
        <x:f>'_REFLO_BRIDGE'!$BJ$24</x:f>
        <x:v>182.9</x:v>
      </x:c>
      <x:c r="E5" s="211" t="n">
        <x:f>'_REFLO_BRIDGE'!$BK$24</x:f>
        <x:v>262.9</x:v>
      </x:c>
      <x:c r="F5" s="211" t="n">
        <x:f>'_REFLO_BRIDGE'!$BL$24</x:f>
        <x:v>282.1</x:v>
      </x:c>
      <x:c r="G5" s="56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3"/>
    </x:row>
    <x:row r="6" ht="18" customHeight="1">
      <x:c r="A6" s="54" t="s">
        <x:v>469</x:v>
      </x:c>
      <x:c r="B6" s="210" t="n">
        <x:f>'_REFLO_BRIDGE'!$BH$25</x:f>
        <x:v>25.4</x:v>
      </x:c>
      <x:c r="C6" s="210" t="n">
        <x:f>'_REFLO_BRIDGE'!$BI$25</x:f>
        <x:v>23.8</x:v>
      </x:c>
      <x:c r="D6" s="211" t="n">
        <x:f>'_REFLO_BRIDGE'!$BJ$25</x:f>
        <x:v>48.8</x:v>
      </x:c>
      <x:c r="E6" s="211" t="n">
        <x:f>'_REFLO_BRIDGE'!$BK$25</x:f>
        <x:v>149.9</x:v>
      </x:c>
      <x:c r="F6" s="211" t="n">
        <x:f>'_REFLO_BRIDGE'!$BL$25</x:f>
        <x:v>182.8</x:v>
      </x:c>
      <x:c r="G6" s="56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3"/>
    </x:row>
    <x:row r="7" ht="18" customHeight="1">
      <x:c r="A7" s="54" t="s">
        <x:v>470</x:v>
      </x:c>
      <x:c r="B7" s="210" t="n">
        <x:f>'_REFLO_BRIDGE'!$BH$26</x:f>
        <x:v>114.8</x:v>
      </x:c>
      <x:c r="C7" s="210" t="n">
        <x:f>'_REFLO_BRIDGE'!$BI$26</x:f>
        <x:v>138.3</x:v>
      </x:c>
      <x:c r="D7" s="211" t="n">
        <x:f>'_REFLO_BRIDGE'!$BJ$26</x:f>
        <x:v>131.1</x:v>
      </x:c>
      <x:c r="E7" s="211" t="n">
        <x:f>'_REFLO_BRIDGE'!$BK$26</x:f>
        <x:v>94.2</x:v>
      </x:c>
      <x:c r="F7" s="211" t="n">
        <x:f>'_REFLO_BRIDGE'!$BL$26</x:f>
        <x:v>90.5</x:v>
      </x:c>
      <x:c r="G7" s="56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3"/>
    </x:row>
    <x:row r="8" ht="18" customHeight="1">
      <x:c r="A8" s="54" t="s">
        <x:v>471</x:v>
      </x:c>
      <x:c r="B8" s="210" t="n">
        <x:f>'_REFLO_BRIDGE'!$BH$27</x:f>
        <x:v>115</x:v>
      </x:c>
      <x:c r="C8" s="210" t="n">
        <x:f>'_REFLO_BRIDGE'!$BI$27</x:f>
        <x:v>117.4</x:v>
      </x:c>
      <x:c r="D8" s="211" t="n">
        <x:f>'_REFLO_BRIDGE'!$BJ$27</x:f>
        <x:v>101</x:v>
      </x:c>
      <x:c r="E8" s="211" t="n">
        <x:f>'_REFLO_BRIDGE'!$BK$27</x:f>
        <x:v>94.2</x:v>
      </x:c>
      <x:c r="F8" s="211" t="n">
        <x:f>'_REFLO_BRIDGE'!$BL$27</x:f>
        <x:v>90.5</x:v>
      </x:c>
      <x:c r="G8" s="56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3"/>
    </x:row>
    <x:row r="9" ht="18" customHeight="1">
      <x:c r="A9" s="54" t="s">
        <x:v>472</x:v>
      </x:c>
      <x:c r="B9" s="210" t="n">
        <x:f>'_REFLO_BRIDGE'!$BH$28</x:f>
        <x:v>1.7</x:v>
      </x:c>
      <x:c r="C9" s="210" t="n">
        <x:f>'_REFLO_BRIDGE'!$BI$28</x:f>
        <x:v>-3.8</x:v>
      </x:c>
      <x:c r="D9" s="211" t="n">
        <x:f>'_REFLO_BRIDGE'!$BJ$28</x:f>
        <x:v>-1</x:v>
      </x:c>
      <x:c r="E9" s="211" t="n">
        <x:f>'_REFLO_BRIDGE'!$BK$28</x:f>
        <x:v>0</x:v>
      </x:c>
      <x:c r="F9" s="211" t="n">
        <x:f>'_REFLO_BRIDGE'!$BL$28</x:f>
        <x:v>0</x:v>
      </x:c>
      <x:c r="G9" s="56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3"/>
    </x:row>
    <x:row r="10" ht="18" customHeight="1">
      <x:c r="A10" s="54" t="s">
        <x:v>473</x:v>
      </x:c>
      <x:c r="B10" s="210" t="n">
        <x:f>'_REFLO_BRIDGE'!$BH$29</x:f>
        <x:v>0</x:v>
      </x:c>
      <x:c r="C10" s="210" t="n">
        <x:f>'_REFLO_BRIDGE'!$BI$29</x:f>
        <x:v>0</x:v>
      </x:c>
      <x:c r="D10" s="211" t="n">
        <x:f>'_REFLO_BRIDGE'!$BJ$29</x:f>
        <x:v>0</x:v>
      </x:c>
      <x:c r="E10" s="211" t="n">
        <x:f>'_REFLO_BRIDGE'!$BK$29</x:f>
        <x:v>0</x:v>
      </x:c>
      <x:c r="F10" s="211" t="n">
        <x:f>'_REFLO_BRIDGE'!$BL$29</x:f>
        <x:v>0</x:v>
      </x:c>
      <x:c r="G10" s="56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3"/>
    </x:row>
    <x:row r="11" ht="18" customHeight="1">
      <x:c r="A11" s="54" t="s">
        <x:v>474</x:v>
      </x:c>
      <x:c r="B11" s="210" t="n">
        <x:f>'_REFLO_BRIDGE'!$BH$30</x:f>
        <x:v>-1.9</x:v>
      </x:c>
      <x:c r="C11" s="210" t="n">
        <x:f>'_REFLO_BRIDGE'!$BI$30</x:f>
        <x:v>24.7</x:v>
      </x:c>
      <x:c r="D11" s="211" t="n">
        <x:f>'_REFLO_BRIDGE'!$BJ$30</x:f>
        <x:v>31.1</x:v>
      </x:c>
      <x:c r="E11" s="211" t="n">
        <x:f>'_REFLO_BRIDGE'!$BK$30</x:f>
        <x:v>0</x:v>
      </x:c>
      <x:c r="F11" s="211" t="n">
        <x:f>'_REFLO_BRIDGE'!$BL$30</x:f>
        <x:v>0</x:v>
      </x:c>
      <x:c r="G11" s="56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3"/>
    </x:row>
    <x:row r="12" ht="18" customHeight="1">
      <x:c r="A12" s="54" t="s">
        <x:v>475</x:v>
      </x:c>
      <x:c r="B12" s="210" t="n">
        <x:f>'_REFLO_BRIDGE'!$BH$31</x:f>
        <x:v>40.5</x:v>
      </x:c>
      <x:c r="C12" s="210" t="n">
        <x:f>'_REFLO_BRIDGE'!$BI$31</x:f>
        <x:v>-64.3</x:v>
      </x:c>
      <x:c r="D12" s="211" t="n">
        <x:f>'_REFLO_BRIDGE'!$BJ$31</x:f>
        <x:v>3</x:v>
      </x:c>
      <x:c r="E12" s="211" t="n">
        <x:f>'_REFLO_BRIDGE'!$BK$31</x:f>
        <x:v>18.8</x:v>
      </x:c>
      <x:c r="F12" s="211" t="n">
        <x:f>'_REFLO_BRIDGE'!$BL$31</x:f>
        <x:v>8.8</x:v>
      </x:c>
      <x:c r="G12" s="56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3"/>
    </x:row>
    <x:row r="13" ht="18" customHeight="1">
      <x:c r="A13" s="54" t="s">
        <x:v>476</x:v>
      </x:c>
      <x:c r="B13" s="210" t="n">
        <x:f>'_REFLO_BRIDGE'!$BH$32</x:f>
        <x:v>-197.5</x:v>
      </x:c>
      <x:c r="C13" s="210" t="n">
        <x:f>'_REFLO_BRIDGE'!$BI$32</x:f>
        <x:v>-116.1</x:v>
      </x:c>
      <x:c r="D13" s="211" t="n">
        <x:f>'_REFLO_BRIDGE'!$BJ$32</x:f>
        <x:v>-161.9</x:v>
      </x:c>
      <x:c r="E13" s="211" t="n">
        <x:f>'_REFLO_BRIDGE'!$BK$32</x:f>
        <x:v>-155.3</x:v>
      </x:c>
      <x:c r="F13" s="211" t="n">
        <x:f>'_REFLO_BRIDGE'!$BL$32</x:f>
        <x:v>-104.6</x:v>
      </x:c>
      <x:c r="G13" s="56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3"/>
    </x:row>
    <x:row r="14" ht="18" customHeight="1">
      <x:c r="A14" s="54" t="s">
        <x:v>477</x:v>
      </x:c>
      <x:c r="B14" s="210" t="n">
        <x:f>'_REFLO_BRIDGE'!$BH$33</x:f>
        <x:v>-1</x:v>
      </x:c>
      <x:c r="C14" s="210" t="n">
        <x:f>'_REFLO_BRIDGE'!$BI$33</x:f>
        <x:v>-0.2</x:v>
      </x:c>
      <x:c r="D14" s="211" t="n">
        <x:f>'_REFLO_BRIDGE'!$BJ$33</x:f>
        <x:v>0.5</x:v>
      </x:c>
      <x:c r="E14" s="211" t="n">
        <x:f>'_REFLO_BRIDGE'!$BK$33</x:f>
        <x:v>-0.1</x:v>
      </x:c>
      <x:c r="F14" s="211" t="n">
        <x:f>'_REFLO_BRIDGE'!$BL$33</x:f>
        <x:v>0</x:v>
      </x:c>
      <x:c r="G14" s="56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3"/>
    </x:row>
    <x:row r="15" ht="18" customHeight="1">
      <x:c r="A15" s="54" t="s">
        <x:v>478</x:v>
      </x:c>
      <x:c r="B15" s="210" t="n">
        <x:f>'_REFLO_BRIDGE'!$BH$34</x:f>
        <x:v>-117</x:v>
      </x:c>
      <x:c r="C15" s="210" t="n">
        <x:f>'_REFLO_BRIDGE'!$BI$34</x:f>
        <x:v>-59.6</x:v>
      </x:c>
      <x:c r="D15" s="211" t="n">
        <x:f>'_REFLO_BRIDGE'!$BJ$34</x:f>
        <x:v>-58.5</x:v>
      </x:c>
      <x:c r="E15" s="211" t="n">
        <x:f>'_REFLO_BRIDGE'!$BK$34</x:f>
        <x:v>-75</x:v>
      </x:c>
      <x:c r="F15" s="211" t="n">
        <x:f>'_REFLO_BRIDGE'!$BL$34</x:f>
        <x:v>-65</x:v>
      </x:c>
      <x:c r="G15" s="56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3"/>
    </x:row>
    <x:row r="16" ht="18" customHeight="1">
      <x:c r="A16" s="54" t="s">
        <x:v>479</x:v>
      </x:c>
      <x:c r="B16" s="210" t="n">
        <x:f>'_REFLO_BRIDGE'!$BH$35</x:f>
        <x:v>-79.5</x:v>
      </x:c>
      <x:c r="C16" s="210" t="n">
        <x:f>'_REFLO_BRIDGE'!$BI$35</x:f>
        <x:v>-56.3</x:v>
      </x:c>
      <x:c r="D16" s="211" t="n">
        <x:f>'_REFLO_BRIDGE'!$BJ$35</x:f>
        <x:v>-103.9</x:v>
      </x:c>
      <x:c r="E16" s="211" t="n">
        <x:f>'_REFLO_BRIDGE'!$BK$35</x:f>
        <x:v>-80.2</x:v>
      </x:c>
      <x:c r="F16" s="211" t="n">
        <x:f>'_REFLO_BRIDGE'!$BL$35</x:f>
        <x:v>-39.6</x:v>
      </x:c>
      <x:c r="G16" s="56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3"/>
    </x:row>
    <x:row r="17" ht="18" customHeight="1">
      <x:c r="A17" s="54" t="s">
        <x:v>480</x:v>
      </x:c>
      <x:c r="B17" s="210" t="n">
        <x:f>'_REFLO_BRIDGE'!$BH$36</x:f>
        <x:v>-27.8</x:v>
      </x:c>
      <x:c r="C17" s="210" t="n">
        <x:f>'_REFLO_BRIDGE'!$BI$36</x:f>
        <x:v>-19.6</x:v>
      </x:c>
      <x:c r="D17" s="211" t="n">
        <x:f>'_REFLO_BRIDGE'!$BJ$36</x:f>
        <x:v>6.1</x:v>
      </x:c>
      <x:c r="E17" s="211" t="n">
        <x:f>'_REFLO_BRIDGE'!$BK$36</x:f>
        <x:v>-20.5</x:v>
      </x:c>
      <x:c r="F17" s="211" t="n">
        <x:f>'_REFLO_BRIDGE'!$BL$36</x:f>
        <x:v>-27.4</x:v>
      </x:c>
      <x:c r="G17" s="56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3"/>
    </x:row>
    <x:row r="18" ht="18" customHeight="1">
      <x:c r="A18" s="54" t="s">
        <x:v>481</x:v>
      </x:c>
      <x:c r="B18" s="210" t="n">
        <x:f>'_REFLO_BRIDGE'!$BH$37</x:f>
        <x:v>-7.2</x:v>
      </x:c>
      <x:c r="C18" s="210" t="n">
        <x:f>'_REFLO_BRIDGE'!$BI$37</x:f>
        <x:v>-4.2</x:v>
      </x:c>
      <x:c r="D18" s="211" t="n">
        <x:f>'_REFLO_BRIDGE'!$BJ$37</x:f>
        <x:v>27</x:v>
      </x:c>
      <x:c r="E18" s="211" t="n">
        <x:f>'_REFLO_BRIDGE'!$BK$37</x:f>
        <x:v>0.1</x:v>
      </x:c>
      <x:c r="F18" s="211" t="n">
        <x:f>'_REFLO_BRIDGE'!$BL$37</x:f>
        <x:v>-6.8</x:v>
      </x:c>
      <x:c r="G18" s="56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3"/>
    </x:row>
    <x:row r="19" ht="18" customHeight="1">
      <x:c r="A19" s="54" t="s">
        <x:v>478</x:v>
      </x:c>
      <x:c r="B19" s="210" t="n">
        <x:f>'_REFLO_BRIDGE'!$BH$38</x:f>
        <x:v>0</x:v>
      </x:c>
      <x:c r="C19" s="210" t="n">
        <x:f>'_REFLO_BRIDGE'!$BI$38</x:f>
        <x:v>0</x:v>
      </x:c>
      <x:c r="D19" s="211" t="n">
        <x:f>'_REFLO_BRIDGE'!$BJ$38</x:f>
        <x:v>0</x:v>
      </x:c>
      <x:c r="E19" s="211" t="n">
        <x:f>'_REFLO_BRIDGE'!$BK$38</x:f>
        <x:v>0</x:v>
      </x:c>
      <x:c r="F19" s="211" t="n">
        <x:f>'_REFLO_BRIDGE'!$BL$38</x:f>
        <x:v>0</x:v>
      </x:c>
      <x:c r="G19" s="56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3"/>
    </x:row>
    <x:row r="20" ht="18" customHeight="1">
      <x:c r="A20" s="54" t="s">
        <x:v>482</x:v>
      </x:c>
      <x:c r="B20" s="210" t="n">
        <x:f>'_REFLO_BRIDGE'!$BH$39</x:f>
        <x:v>0</x:v>
      </x:c>
      <x:c r="C20" s="210" t="n">
        <x:f>'_REFLO_BRIDGE'!$BI$39</x:f>
        <x:v>0.1</x:v>
      </x:c>
      <x:c r="D20" s="211" t="n">
        <x:f>'_REFLO_BRIDGE'!$BJ$39</x:f>
        <x:v>-0.3</x:v>
      </x:c>
      <x:c r="E20" s="211" t="n">
        <x:f>'_REFLO_BRIDGE'!$BK$39</x:f>
        <x:v>0</x:v>
      </x:c>
      <x:c r="F20" s="211" t="n">
        <x:f>'_REFLO_BRIDGE'!$BL$39</x:f>
        <x:v>0</x:v>
      </x:c>
      <x:c r="G20" s="56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3"/>
    </x:row>
    <x:row r="21" ht="18" customHeight="1">
      <x:c r="A21" s="54" t="s">
        <x:v>483</x:v>
      </x:c>
      <x:c r="B21" s="210" t="n">
        <x:f>'_REFLO_BRIDGE'!$BH$40</x:f>
        <x:v>-20.6</x:v>
      </x:c>
      <x:c r="C21" s="210" t="n">
        <x:f>'_REFLO_BRIDGE'!$BI$40</x:f>
        <x:v>-15.5</x:v>
      </x:c>
      <x:c r="D21" s="211" t="n">
        <x:f>'_REFLO_BRIDGE'!$BJ$40</x:f>
        <x:v>-20.6</x:v>
      </x:c>
      <x:c r="E21" s="211" t="n">
        <x:f>'_REFLO_BRIDGE'!$BK$40</x:f>
        <x:v>-20.6</x:v>
      </x:c>
      <x:c r="F21" s="211" t="n">
        <x:f>'_REFLO_BRIDGE'!$BL$40</x:f>
        <x:v>-20.6</x:v>
      </x:c>
      <x:c r="G21" s="56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3"/>
    </x:row>
    <x:row r="22" ht="18" customHeight="1">
      <x:c r="A22" s="54" t="s">
        <x:v>484</x:v>
      </x:c>
      <x:c r="B22" s="210" t="n">
        <x:f>'_REFLO_BRIDGE'!$BH$41</x:f>
        <x:v>-44.5</x:v>
      </x:c>
      <x:c r="C22" s="210" t="n">
        <x:f>'_REFLO_BRIDGE'!$BI$41</x:f>
        <x:v>-37.9</x:v>
      </x:c>
      <x:c r="D22" s="211" t="n">
        <x:f>'_REFLO_BRIDGE'!$BJ$41</x:f>
        <x:v>14.2</x:v>
      </x:c>
      <x:c r="E22" s="211" t="n">
        <x:f>'_REFLO_BRIDGE'!$BK$41</x:f>
        <x:v>51.3</x:v>
      </x:c>
      <x:c r="F22" s="211" t="n">
        <x:f>'_REFLO_BRIDGE'!$BL$41</x:f>
        <x:v>133.3</x:v>
      </x:c>
      <x:c r="G22" s="56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3"/>
    </x:row>
    <x:row r="23" ht="19.950000762939453" customHeight="1">
      <x:c r="A23" s="73" t="s">
        <x:v>485</x:v>
      </x:c>
      <x:c r="B23" s="212" t="n">
        <x:f>'_REFLO_BRIDGE'!$BH$42</x:f>
        <x:v>187.8</x:v>
      </x:c>
      <x:c r="C23" s="212" t="n">
        <x:f>'_REFLO_BRIDGE'!$BI$42</x:f>
        <x:v>162.6</x:v>
      </x:c>
      <x:c r="D23" s="211" t="n">
        <x:f>'_REFLO_BRIDGE'!$BJ$42</x:f>
        <x:v>177.8</x:v>
      </x:c>
      <x:c r="E23" s="211" t="n">
        <x:f>'_REFLO_BRIDGE'!$BK$42</x:f>
        <x:v>272.1</x:v>
      </x:c>
      <x:c r="F23" s="211" t="n">
        <x:f>'_REFLO_BRIDGE'!$BL$42</x:f>
        <x:v>319</x:v>
      </x:c>
      <x:c r="G23" s="74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3"/>
    </x:row>
    <x:row r="24" ht="18" customHeight="1">
      <x:c r="A24" s="54" t="s">
        <x:v>486</x:v>
      </x:c>
      <x:c r="B24" s="210" t="n">
        <x:f>'_REFLO_BRIDGE'!$BH$43</x:f>
        <x:v>63.7</x:v>
      </x:c>
      <x:c r="C24" s="210" t="n">
        <x:f>'_REFLO_BRIDGE'!$BI$43</x:f>
        <x:v>38.2</x:v>
      </x:c>
      <x:c r="D24" s="211" t="n">
        <x:f>'_REFLO_BRIDGE'!$BJ$43</x:f>
        <x:v>124</x:v>
      </x:c>
      <x:c r="E24" s="211" t="n">
        <x:f>'_REFLO_BRIDGE'!$BK$43</x:f>
        <x:v>187.9</x:v>
      </x:c>
      <x:c r="F24" s="211" t="n">
        <x:f>'_REFLO_BRIDGE'!$BL$43</x:f>
        <x:v>217.1</x:v>
      </x:c>
      <x:c r="G24" s="56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3"/>
    </x:row>
    <x:row r="25" ht="18" customHeight="1">
      <x:c r="A25" s="12"/>
      <x:c r="B25" s="16"/>
      <x:c r="C25" s="16"/>
      <x:c r="D25" s="16"/>
      <x:c r="E25" s="16"/>
      <x:c r="F25" s="16"/>
      <x:c r="G25" s="13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3"/>
    </x:row>
    <x:row r="26" ht="18" customHeight="1">
      <x:c r="A26" s="153" t="s">
        <x:v>302</x:v>
      </x:c>
      <x:c r="B26" s="148"/>
      <x:c r="C26" s="148"/>
      <x:c r="D26" s="148"/>
      <x:c r="E26" s="148"/>
      <x:c r="F26" s="148"/>
      <x:c r="G26" s="154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3"/>
    </x:row>
    <x:row r="27" ht="18" customHeight="1">
      <x:c r="A27" s="12"/>
      <x:c r="B27" s="16"/>
      <x:c r="C27" s="16"/>
      <x:c r="D27" s="16"/>
      <x:c r="E27" s="16"/>
      <x:c r="F27" s="16"/>
      <x:c r="G27" s="13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3"/>
    </x:row>
    <x:row r="28" ht="18" customHeight="1">
      <x:c r="A28" s="116" t="s">
        <x:v>297</x:v>
      </x:c>
      <x:c r="B28" s="16"/>
      <x:c r="C28" s="16"/>
      <x:c r="D28" s="16"/>
      <x:c r="E28" s="16"/>
      <x:c r="F28" s="16"/>
      <x:c r="G28" s="13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3"/>
    </x:row>
    <x:row r="29" ht="18" customHeight="1">
      <x:c r="A29" s="54" t="s">
        <x:v>152</x:v>
      </x:c>
      <x:c r="B29" s="78" t="s">
        <x:v>142</x:v>
      </x:c>
      <x:c r="C29" s="78" t="s">
        <x:v>143</x:v>
      </x:c>
      <x:c r="D29" s="78" t="s">
        <x:v>144</x:v>
      </x:c>
      <x:c r="E29" s="78" t="s">
        <x:v>123</x:v>
      </x:c>
      <x:c r="F29" s="78" t="s">
        <x:v>124</x:v>
      </x:c>
      <x:c r="G29" s="54" t="s">
        <x:v>109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3"/>
    </x:row>
    <x:row r="30" ht="18" customHeight="1">
      <x:c r="A30" s="54" t="s">
        <x:v>487</x:v>
      </x:c>
      <x:c r="B30" s="78" t="n">
        <x:f>B5+B13+B17-B22</x:f>
        <x:v>-0.10000000000000853</x:v>
      </x:c>
      <x:c r="C30" s="78" t="n">
        <x:f>C5+C13+C17-C22</x:f>
        <x:v>0</x:v>
      </x:c>
      <x:c r="D30" s="78" t="n">
        <x:f>D5+D13+D17-D22</x:f>
        <x:v>12.900000000000002</x:v>
      </x:c>
      <x:c r="E30" s="78" t="n">
        <x:f>E5+E13+E17-E22</x:f>
        <x:v>35.79999999999997</x:v>
      </x:c>
      <x:c r="F30" s="78" t="n">
        <x:f>F5+F13+F17-F22</x:f>
        <x:v>16.80000000000001</x:v>
      </x:c>
      <x:c r="G30" s="54" t="s">
        <x:v>488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3"/>
    </x:row>
    <x:row r="31" ht="19.950000762939453" customHeight="1">
      <x:c r="A31" s="20"/>
      <x:c r="B31" s="30"/>
      <x:c r="C31" s="30"/>
      <x:c r="D31" s="30"/>
      <x:c r="E31" s="30"/>
      <x:c r="F31" s="30"/>
      <x:c r="G31" s="2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3"/>
    </x:row>
    <x:row r="32" ht="18" customHeight="1">
      <x:c r="A32" s="153" t="s">
        <x:v>489</x:v>
      </x:c>
      <x:c r="B32" s="148"/>
      <x:c r="C32" s="148"/>
      <x:c r="D32" s="148"/>
      <x:c r="E32" s="148"/>
      <x:c r="F32" s="148"/>
      <x:c r="G32" s="154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3"/>
    </x:row>
    <x:row r="33" ht="18" customHeight="1">
      <x:c r="A33" s="12"/>
      <x:c r="B33" s="16"/>
      <x:c r="C33" s="16"/>
      <x:c r="D33" s="16"/>
      <x:c r="E33" s="16"/>
      <x:c r="F33" s="16"/>
      <x:c r="G33" s="13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3"/>
    </x:row>
    <x:row r="34" ht="18" customHeight="1">
      <x:c r="A34" s="12"/>
      <x:c r="B34" s="16"/>
      <x:c r="C34" s="16"/>
      <x:c r="D34" s="16"/>
      <x:c r="E34" s="16"/>
      <x:c r="F34" s="16"/>
      <x:c r="G34" s="13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3"/>
    </x:row>
    <x:row r="35" ht="18" customHeight="1">
      <x:c r="A35" s="12"/>
      <x:c r="B35" s="16"/>
      <x:c r="C35" s="16"/>
      <x:c r="D35" s="16"/>
      <x:c r="E35" s="16"/>
      <x:c r="F35" s="16"/>
      <x:c r="G35" s="13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3"/>
    </x:row>
    <x:row r="36" ht="18" customHeight="1">
      <x:c r="A36" s="12"/>
      <x:c r="B36" s="16"/>
      <x:c r="C36" s="16"/>
      <x:c r="D36" s="16"/>
      <x:c r="E36" s="16"/>
      <x:c r="F36" s="16"/>
      <x:c r="G36" s="13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3"/>
    </x:row>
    <x:row r="37" ht="18" customHeight="1">
      <x:c r="A37" s="12"/>
      <x:c r="B37" s="16"/>
      <x:c r="C37" s="16"/>
      <x:c r="D37" s="16"/>
      <x:c r="E37" s="16"/>
      <x:c r="F37" s="16"/>
      <x:c r="G37" s="13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3"/>
    </x:row>
    <x:row r="38" ht="18" customHeight="1">
      <x:c r="A38" s="12"/>
      <x:c r="B38" s="16"/>
      <x:c r="C38" s="16"/>
      <x:c r="D38" s="16"/>
      <x:c r="E38" s="16"/>
      <x:c r="F38" s="16"/>
      <x:c r="G38" s="13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3"/>
    </x:row>
    <x:row r="39" ht="19.950000762939453" customHeight="1">
      <x:c r="A39" s="20"/>
      <x:c r="B39" s="30"/>
      <x:c r="C39" s="30"/>
      <x:c r="D39" s="30"/>
      <x:c r="E39" s="30"/>
      <x:c r="F39" s="30"/>
      <x:c r="G39" s="2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3"/>
    </x:row>
    <x:row r="40" ht="19.950000762939453" customHeight="1">
      <x:c r="A40" s="6"/>
      <x:c r="B40" s="18"/>
      <x:c r="C40" s="18"/>
      <x:c r="D40" s="18"/>
      <x:c r="E40" s="18"/>
      <x:c r="F40" s="18"/>
      <x:c r="G40" s="8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3"/>
    </x:row>
    <x:row r="41" ht="18" customHeight="1">
      <x:c r="A41" s="12"/>
      <x:c r="B41" s="16"/>
      <x:c r="C41" s="16"/>
      <x:c r="D41" s="16"/>
      <x:c r="E41" s="16"/>
      <x:c r="F41" s="16"/>
      <x:c r="G41" s="13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3"/>
    </x:row>
    <x:row r="42" ht="18" customHeight="1">
      <x:c r="A42" s="12"/>
      <x:c r="B42" s="16"/>
      <x:c r="C42" s="16"/>
      <x:c r="D42" s="16"/>
      <x:c r="E42" s="16"/>
      <x:c r="F42" s="16"/>
      <x:c r="G42" s="13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3"/>
    </x:row>
    <x:row r="43" ht="18" customHeight="1">
      <x:c r="A43" s="12"/>
      <x:c r="B43" s="16"/>
      <x:c r="C43" s="16"/>
      <x:c r="D43" s="16"/>
      <x:c r="E43" s="16"/>
      <x:c r="F43" s="16"/>
      <x:c r="G43" s="13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3"/>
    </x:row>
    <x:row r="44" ht="18" customHeight="1">
      <x:c r="A44" s="12"/>
      <x:c r="B44" s="16"/>
      <x:c r="C44" s="16"/>
      <x:c r="D44" s="16"/>
      <x:c r="E44" s="16"/>
      <x:c r="F44" s="16"/>
      <x:c r="G44" s="13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3"/>
    </x:row>
    <x:row r="45" ht="18" customHeight="1">
      <x:c r="A45" s="12"/>
      <x:c r="B45" s="16"/>
      <x:c r="C45" s="16"/>
      <x:c r="D45" s="16"/>
      <x:c r="E45" s="16"/>
      <x:c r="F45" s="16"/>
      <x:c r="G45" s="13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3"/>
    </x:row>
    <x:row r="46" ht="18" customHeight="1">
      <x:c r="A46" s="9"/>
      <x:c r="B46" s="17"/>
      <x:c r="C46" s="17"/>
      <x:c r="D46" s="17"/>
      <x:c r="E46" s="17"/>
      <x:c r="F46" s="17"/>
      <x:c r="G46" s="1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3"/>
    </x:row>
    <x:row r="47" ht="18" customHeight="1">
      <x:c r="A47" s="12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3"/>
    </x:row>
    <x:row r="48" ht="18" customHeight="1">
      <x:c r="A48" s="12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3"/>
    </x:row>
    <x:row r="49" ht="18" customHeight="1">
      <x:c r="A49" s="12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3"/>
    </x:row>
    <x:row r="50" ht="18" customHeight="1">
      <x:c r="A50" s="12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3"/>
    </x:row>
    <x:row r="51" ht="18" customHeight="1">
      <x:c r="A51" s="12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3"/>
    </x:row>
    <x:row r="52" ht="18" customHeight="1">
      <x:c r="A52" s="12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3"/>
    </x:row>
    <x:row r="53" ht="18" customHeight="1">
      <x:c r="A53" s="12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3"/>
    </x:row>
    <x:row r="54" ht="18" customHeight="1">
      <x:c r="A54" s="12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3"/>
    </x:row>
    <x:row r="55" ht="18" customHeight="1">
      <x:c r="A55" s="12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3"/>
    </x:row>
    <x:row r="56" ht="18" customHeight="1">
      <x:c r="A56" s="12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3"/>
    </x:row>
    <x:row r="57" ht="18" customHeight="1">
      <x:c r="A57" s="12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3"/>
    </x:row>
    <x:row r="58" ht="18" customHeight="1">
      <x:c r="A58" s="12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3"/>
    </x:row>
    <x:row r="59" ht="18" customHeight="1">
      <x:c r="A59" s="12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3"/>
    </x:row>
    <x:row r="60" ht="18" customHeight="1">
      <x:c r="A60" s="9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</x:sheetData>
  <x:mergeCells>
    <x:mergeCell ref="A32:G32"/>
    <x:mergeCell ref="A26:G26"/>
    <x:mergeCell ref="A2:G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1F6E6A"/>
  </x:sheetPr>
  <x:sheetViews>
    <x:sheetView showGridLines="0" workbookViewId="0"/>
  </x:sheetViews>
  <x:sheetFormatPr defaultColWidth="8.69921875" defaultRowHeight="17.399999618530273"/>
  <x:cols>
    <x:col min="1" max="1" width="24" customWidth="1"/>
    <x:col min="2" max="4" width="12" customWidth="1"/>
    <x:col min="5" max="5" width="35" customWidth="1"/>
    <x:col min="6" max="6" width="12" customWidth="1"/>
    <x:col min="7" max="26" width="1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2.049999237060547" customHeight="1">
      <x:c r="A1" s="111" t="s">
        <x:v>86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6"/>
    </x:row>
    <x:row r="2" ht="18" customHeight="1">
      <x:c r="A2" s="165" t="s">
        <x:v>490</x:v>
      </x:c>
      <x:c r="B2" s="148"/>
      <x:c r="C2" s="148"/>
      <x:c r="D2" s="148"/>
      <x:c r="E2" s="148"/>
      <x:c r="F2" s="148"/>
      <x:c r="G2" s="3"/>
      <x:c r="H2" s="286" t="str">
        <x:v>KRX 실제주가·목표주가 Chart-series</x:v>
      </x:c>
      <x:c r="I2" s="286"/>
      <x:c r="J2" s="286"/>
      <x:c r="K2" s="286"/>
      <x:c r="L2" s="286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28"/>
    </x:row>
    <x:row r="3" ht="18" customHeight="1">
      <x:c r="A3" s="12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3"/>
    </x:row>
    <x:row r="4" ht="18" customHeight="1">
      <x:c r="A4" s="54" t="s">
        <x:v>491</x:v>
      </x:c>
      <x:c r="B4" s="54" t="s">
        <x:v>244</x:v>
      </x:c>
      <x:c r="C4" s="54" t="s">
        <x:v>492</x:v>
      </x:c>
      <x:c r="D4" s="54" t="s">
        <x:v>493</x:v>
      </x:c>
      <x:c r="E4" s="54" t="s">
        <x:v>494</x:v>
      </x:c>
      <x:c r="F4" s="54" t="s">
        <x:v>109</x:v>
      </x:c>
      <x:c r="G4" s="1"/>
      <x:c r="H4" s="244" t="str">
        <x:v>Date</x:v>
      </x:c>
      <x:c r="I4" s="244" t="str">
        <x:v>Date Label</x:v>
      </x:c>
      <x:c r="J4" s="244" t="str">
        <x:v>Adjusted Price</x:v>
      </x:c>
      <x:c r="K4" s="244" t="str">
        <x:v>Target Price</x:v>
      </x:c>
      <x:c r="L4" s="244" t="str">
        <x:v>Source ID</x:v>
      </x:c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3"/>
    </x:row>
    <x:row r="5" ht="18" customHeight="1">
      <x:c r="A5" s="198" t="str">
        <x:f>'_REFLO_BRIDGE'!$BD$5</x:f>
        <x:v>26.1.30</x:v>
      </x:c>
      <x:c r="B5" s="198" t="str">
        <x:f>'_REFLO_BRIDGE'!$BE$5</x:f>
        <x:v>BUY</x:v>
      </x:c>
      <x:c r="C5" s="198" t="n">
        <x:f>'_REFLO_BRIDGE'!$BF$5</x:f>
        <x:v>81000</x:v>
      </x:c>
      <x:c r="D5" s="198" t="n">
        <x:f>'_REFLO_BRIDGE'!$BG$5</x:f>
        <x:v>0</x:v>
      </x:c>
      <x:c r="E5" s="198" t="n">
        <x:f>'_REFLO_BRIDGE'!$BH$5</x:f>
        <x:v>0</x:v>
      </x:c>
      <x:c r="F5" s="198" t="n">
        <x:f>'_REFLO_BRIDGE'!$BI$5</x:f>
        <x:v>0</x:v>
      </x:c>
      <x:c r="G5" s="1"/>
      <x:c r="H5" s="291" t="n">
        <x:f>IF('_REFLO_BRIDGE'!$A$33="","",'_REFLO_BRIDGE'!$A$33)</x:f>
        <x:v>46051</x:v>
      </x:c>
      <x:c r="I5" s="273" t="str">
        <x:f>IF('_REFLO_BRIDGE'!$B$33="","",'_REFLO_BRIDGE'!$B$33)</x:f>
        <x:v>2026-01</x:v>
      </x:c>
      <x:c r="J5" s="292" t="n">
        <x:f>IF('_REFLO_BRIDGE'!$D$33="","",'_REFLO_BRIDGE'!$D$33)</x:f>
        <x:v>52500</x:v>
      </x:c>
      <x:c r="K5" s="292" t="n">
        <x:f>IF('_REFLO_BRIDGE'!$H$33="","",'_REFLO_BRIDGE'!$H$33)</x:f>
        <x:v>81000</x:v>
      </x:c>
      <x:c r="L5" s="273" t="str">
        <x:f>IF('_REFLO_BRIDGE'!$I$33="","",'_REFLO_BRIDGE'!$I$33)</x:f>
        <x:v>LEGACY_REPORT_KRX</x:v>
      </x:c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3"/>
    </x:row>
    <x:row r="6" ht="18" customHeight="1">
      <x:c r="A6" s="198" t="str">
        <x:f>'_REFLO_BRIDGE'!$BD$6</x:f>
        <x:v>25.11.4</x:v>
      </x:c>
      <x:c r="B6" s="198" t="str">
        <x:f>'_REFLO_BRIDGE'!$BE$6</x:f>
        <x:v>BUY</x:v>
      </x:c>
      <x:c r="C6" s="198" t="n">
        <x:f>'_REFLO_BRIDGE'!$BF$6</x:f>
        <x:v>59000</x:v>
      </x:c>
      <x:c r="D6" s="198" t="n">
        <x:f>'_REFLO_BRIDGE'!$BG$6</x:f>
        <x:v>-0.1853</x:v>
      </x:c>
      <x:c r="E6" s="198" t="n">
        <x:f>'_REFLO_BRIDGE'!$BH$6</x:f>
        <x:v>-0.0763</x:v>
      </x:c>
      <x:c r="F6" s="198" t="n">
        <x:f>'_REFLO_BRIDGE'!$BI$6</x:f>
        <x:v>0</x:v>
      </x:c>
      <x:c r="G6" s="1"/>
      <x:c r="H6" s="293" t="str">
        <x:f>IF('_REFLO_BRIDGE'!$A$34="","",'_REFLO_BRIDGE'!$A$34)</x:f>
      </x:c>
      <x:c r="I6" s="284" t="str">
        <x:f>IF('_REFLO_BRIDGE'!$B$34="","",'_REFLO_BRIDGE'!$B$34)</x:f>
      </x:c>
      <x:c r="J6" s="294" t="str">
        <x:f>IF('_REFLO_BRIDGE'!$D$34="","",'_REFLO_BRIDGE'!$D$34)</x:f>
      </x:c>
      <x:c r="K6" s="294" t="str">
        <x:f>IF('_REFLO_BRIDGE'!$H$34="","",'_REFLO_BRIDGE'!$H$34)</x:f>
      </x:c>
      <x:c r="L6" s="284" t="str">
        <x:f>IF('_REFLO_BRIDGE'!$I$34="","",'_REFLO_BRIDGE'!$I$34)</x:f>
      </x:c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3"/>
    </x:row>
    <x:row r="7" ht="18" customHeight="1">
      <x:c r="A7" s="198" t="str">
        <x:f>'_REFLO_BRIDGE'!$BD$7</x:f>
        <x:v>25.9.29</x:v>
      </x:c>
      <x:c r="B7" s="198" t="str">
        <x:f>'_REFLO_BRIDGE'!$BE$7</x:f>
        <x:v>BUY</x:v>
      </x:c>
      <x:c r="C7" s="198" t="n">
        <x:f>'_REFLO_BRIDGE'!$BF$7</x:f>
        <x:v>35000</x:v>
      </x:c>
      <x:c r="D7" s="198" t="n">
        <x:f>'_REFLO_BRIDGE'!$BG$7</x:f>
        <x:v>-0.0302</x:v>
      </x:c>
      <x:c r="E7" s="198" t="n">
        <x:f>'_REFLO_BRIDGE'!$BH$7</x:f>
        <x:v>0.1386</x:v>
      </x:c>
      <x:c r="F7" s="198" t="n">
        <x:f>'_REFLO_BRIDGE'!$BI$7</x:f>
        <x:v>0</x:v>
      </x:c>
      <x:c r="G7" s="1"/>
      <x:c r="H7" s="293" t="str">
        <x:f>IF('_REFLO_BRIDGE'!$A$35="","",'_REFLO_BRIDGE'!$A$35)</x:f>
      </x:c>
      <x:c r="I7" s="284" t="str">
        <x:f>IF('_REFLO_BRIDGE'!$B$35="","",'_REFLO_BRIDGE'!$B$35)</x:f>
      </x:c>
      <x:c r="J7" s="294" t="str">
        <x:f>IF('_REFLO_BRIDGE'!$D$35="","",'_REFLO_BRIDGE'!$D$35)</x:f>
      </x:c>
      <x:c r="K7" s="294" t="str">
        <x:f>IF('_REFLO_BRIDGE'!$H$35="","",'_REFLO_BRIDGE'!$H$35)</x:f>
      </x:c>
      <x:c r="L7" s="284" t="str">
        <x:f>IF('_REFLO_BRIDGE'!$I$35="","",'_REFLO_BRIDGE'!$I$35)</x:f>
      </x:c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3"/>
    </x:row>
    <x:row r="8" ht="18" customHeight="1">
      <x:c r="A8" s="198" t="str">
        <x:f>'_REFLO_BRIDGE'!$BD$8</x:f>
        <x:v>25.7.29</x:v>
      </x:c>
      <x:c r="B8" s="198" t="str">
        <x:f>'_REFLO_BRIDGE'!$BE$8</x:f>
        <x:v>BUY</x:v>
      </x:c>
      <x:c r="C8" s="198" t="n">
        <x:f>'_REFLO_BRIDGE'!$BF$8</x:f>
        <x:v>32000</x:v>
      </x:c>
      <x:c r="D8" s="198" t="n">
        <x:f>'_REFLO_BRIDGE'!$BG$8</x:f>
        <x:v>-0.236</x:v>
      </x:c>
      <x:c r="E8" s="198" t="n">
        <x:f>'_REFLO_BRIDGE'!$BH$8</x:f>
        <x:v>-0.0906</x:v>
      </x:c>
      <x:c r="F8" s="198" t="n">
        <x:f>'_REFLO_BRIDGE'!$BI$8</x:f>
        <x:v>0</x:v>
      </x:c>
      <x:c r="G8" s="1"/>
      <x:c r="H8" s="293" t="str">
        <x:f>IF('_REFLO_BRIDGE'!$A$36="","",'_REFLO_BRIDGE'!$A$36)</x:f>
      </x:c>
      <x:c r="I8" s="284" t="str">
        <x:f>IF('_REFLO_BRIDGE'!$B$36="","",'_REFLO_BRIDGE'!$B$36)</x:f>
      </x:c>
      <x:c r="J8" s="294" t="str">
        <x:f>IF('_REFLO_BRIDGE'!$D$36="","",'_REFLO_BRIDGE'!$D$36)</x:f>
      </x:c>
      <x:c r="K8" s="294" t="str">
        <x:f>IF('_REFLO_BRIDGE'!$H$36="","",'_REFLO_BRIDGE'!$H$36)</x:f>
      </x:c>
      <x:c r="L8" s="284" t="str">
        <x:f>IF('_REFLO_BRIDGE'!$I$36="","",'_REFLO_BRIDGE'!$I$36)</x:f>
      </x:c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3"/>
    </x:row>
    <x:row r="9" ht="18" customHeight="1">
      <x:c r="A9" s="198" t="str">
        <x:f>'_REFLO_BRIDGE'!$BD$9</x:f>
        <x:v>25.5.21</x:v>
      </x:c>
      <x:c r="B9" s="198" t="str">
        <x:f>'_REFLO_BRIDGE'!$BE$9</x:f>
        <x:v>BUY</x:v>
      </x:c>
      <x:c r="C9" s="198" t="n">
        <x:f>'_REFLO_BRIDGE'!$BF$9</x:f>
        <x:v>20000</x:v>
      </x:c>
      <x:c r="D9" s="198" t="n">
        <x:f>'_REFLO_BRIDGE'!$BG$9</x:f>
        <x:v>-0.139</x:v>
      </x:c>
      <x:c r="E9" s="198" t="n">
        <x:f>'_REFLO_BRIDGE'!$BH$9</x:f>
        <x:v>0.0375</x:v>
      </x:c>
      <x:c r="F9" s="198" t="n">
        <x:f>'_REFLO_BRIDGE'!$BI$9</x:f>
        <x:v>0</x:v>
      </x:c>
      <x:c r="G9" s="1"/>
      <x:c r="H9" s="293" t="str">
        <x:f>IF('_REFLO_BRIDGE'!$A$37="","",'_REFLO_BRIDGE'!$A$37)</x:f>
      </x:c>
      <x:c r="I9" s="284" t="str">
        <x:f>IF('_REFLO_BRIDGE'!$B$37="","",'_REFLO_BRIDGE'!$B$37)</x:f>
      </x:c>
      <x:c r="J9" s="294" t="str">
        <x:f>IF('_REFLO_BRIDGE'!$D$37="","",'_REFLO_BRIDGE'!$D$37)</x:f>
      </x:c>
      <x:c r="K9" s="294" t="str">
        <x:f>IF('_REFLO_BRIDGE'!$H$37="","",'_REFLO_BRIDGE'!$H$37)</x:f>
      </x:c>
      <x:c r="L9" s="284" t="str">
        <x:f>IF('_REFLO_BRIDGE'!$I$37="","",'_REFLO_BRIDGE'!$I$37)</x:f>
      </x:c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3"/>
    </x:row>
    <x:row r="10" ht="18" customHeight="1">
      <x:c r="A10" s="198" t="str">
        <x:f>'_REFLO_BRIDGE'!$BD$10</x:f>
        <x:v>25.5.13</x:v>
      </x:c>
      <x:c r="B10" s="198" t="str">
        <x:f>'_REFLO_BRIDGE'!$BE$10</x:f>
        <x:v>BUY</x:v>
      </x:c>
      <x:c r="C10" s="198" t="n">
        <x:f>'_REFLO_BRIDGE'!$BF$10</x:f>
        <x:v>23000</x:v>
      </x:c>
      <x:c r="D10" s="198" t="n">
        <x:f>'_REFLO_BRIDGE'!$BG$10</x:f>
        <x:v>-0.3443</x:v>
      </x:c>
      <x:c r="E10" s="198" t="n">
        <x:f>'_REFLO_BRIDGE'!$BH$10</x:f>
        <x:v>-0.3152</x:v>
      </x:c>
      <x:c r="F10" s="198" t="n">
        <x:f>'_REFLO_BRIDGE'!$BI$10</x:f>
        <x:v>0</x:v>
      </x:c>
      <x:c r="G10" s="1"/>
      <x:c r="H10" s="293" t="str">
        <x:f>IF('_REFLO_BRIDGE'!$A$38="","",'_REFLO_BRIDGE'!$A$38)</x:f>
      </x:c>
      <x:c r="I10" s="284" t="str">
        <x:f>IF('_REFLO_BRIDGE'!$B$38="","",'_REFLO_BRIDGE'!$B$38)</x:f>
      </x:c>
      <x:c r="J10" s="294" t="str">
        <x:f>IF('_REFLO_BRIDGE'!$D$38="","",'_REFLO_BRIDGE'!$D$38)</x:f>
      </x:c>
      <x:c r="K10" s="294" t="str">
        <x:f>IF('_REFLO_BRIDGE'!$H$38="","",'_REFLO_BRIDGE'!$H$38)</x:f>
      </x:c>
      <x:c r="L10" s="284" t="str">
        <x:f>IF('_REFLO_BRIDGE'!$I$38="","",'_REFLO_BRIDGE'!$I$38)</x:f>
      </x:c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3"/>
    </x:row>
    <x:row r="11" ht="18" customHeight="1">
      <x:c r="A11" s="198" t="str">
        <x:f>'_REFLO_BRIDGE'!$BD$11</x:f>
        <x:v>25.5.13</x:v>
      </x:c>
      <x:c r="B11" s="198" t="str">
        <x:f>'_REFLO_BRIDGE'!$BE$11</x:f>
        <x:v>담당자 변경</x:v>
      </x:c>
      <x:c r="C11" s="198" t="n">
        <x:f>'_REFLO_BRIDGE'!$BF$11</x:f>
        <x:v>0</x:v>
      </x:c>
      <x:c r="D11" s="198" t="n">
        <x:f>'_REFLO_BRIDGE'!$BG$11</x:f>
        <x:v>0</x:v>
      </x:c>
      <x:c r="E11" s="198" t="n">
        <x:f>'_REFLO_BRIDGE'!$BH$11</x:f>
        <x:v>0</x:v>
      </x:c>
      <x:c r="F11" s="198" t="n">
        <x:f>'_REFLO_BRIDGE'!$BI$11</x:f>
        <x:v>0</x:v>
      </x:c>
      <x:c r="G11" s="1"/>
      <x:c r="H11" s="293" t="str">
        <x:f>IF('_REFLO_BRIDGE'!$A$39="","",'_REFLO_BRIDGE'!$A$39)</x:f>
      </x:c>
      <x:c r="I11" s="284" t="str">
        <x:f>IF('_REFLO_BRIDGE'!$B$39="","",'_REFLO_BRIDGE'!$B$39)</x:f>
      </x:c>
      <x:c r="J11" s="294" t="str">
        <x:f>IF('_REFLO_BRIDGE'!$D$39="","",'_REFLO_BRIDGE'!$D$39)</x:f>
      </x:c>
      <x:c r="K11" s="294" t="str">
        <x:f>IF('_REFLO_BRIDGE'!$H$39="","",'_REFLO_BRIDGE'!$H$39)</x:f>
      </x:c>
      <x:c r="L11" s="284" t="str">
        <x:f>IF('_REFLO_BRIDGE'!$I$39="","",'_REFLO_BRIDGE'!$I$39)</x:f>
      </x:c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3"/>
    </x:row>
    <x:row r="12" ht="18" customHeight="1">
      <x:c r="A12" s="198" t="str">
        <x:f>'_REFLO_BRIDGE'!$BD$12</x:f>
        <x:v>25.2.4</x:v>
      </x:c>
      <x:c r="B12" s="198" t="str">
        <x:f>'_REFLO_BRIDGE'!$BE$12</x:f>
        <x:v>BUY</x:v>
      </x:c>
      <x:c r="C12" s="198" t="n">
        <x:f>'_REFLO_BRIDGE'!$BF$12</x:f>
        <x:v>23000</x:v>
      </x:c>
      <x:c r="D12" s="198" t="n">
        <x:f>'_REFLO_BRIDGE'!$BG$12</x:f>
        <x:v>-0.2739</x:v>
      </x:c>
      <x:c r="E12" s="198" t="n">
        <x:f>'_REFLO_BRIDGE'!$BH$12</x:f>
        <x:v>-0.0935</x:v>
      </x:c>
      <x:c r="F12" s="198" t="n">
        <x:f>'_REFLO_BRIDGE'!$BI$12</x:f>
        <x:v>0</x:v>
      </x:c>
      <x:c r="G12" s="1"/>
      <x:c r="H12" s="293" t="str">
        <x:f>IF('_REFLO_BRIDGE'!$A$40="","",'_REFLO_BRIDGE'!$A$40)</x:f>
      </x:c>
      <x:c r="I12" s="284" t="str">
        <x:f>IF('_REFLO_BRIDGE'!$B$40="","",'_REFLO_BRIDGE'!$B$40)</x:f>
      </x:c>
      <x:c r="J12" s="294" t="str">
        <x:f>IF('_REFLO_BRIDGE'!$D$40="","",'_REFLO_BRIDGE'!$D$40)</x:f>
      </x:c>
      <x:c r="K12" s="294" t="str">
        <x:f>IF('_REFLO_BRIDGE'!$H$40="","",'_REFLO_BRIDGE'!$H$40)</x:f>
      </x:c>
      <x:c r="L12" s="284" t="str">
        <x:f>IF('_REFLO_BRIDGE'!$I$40="","",'_REFLO_BRIDGE'!$I$40)</x:f>
      </x:c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3"/>
    </x:row>
    <x:row r="13" ht="18" customHeight="1">
      <x:c r="A13" s="198" t="str">
        <x:f>'_REFLO_BRIDGE'!$BD$13</x:f>
        <x:v>24.11.1</x:v>
      </x:c>
      <x:c r="B13" s="198" t="str">
        <x:f>'_REFLO_BRIDGE'!$BE$13</x:f>
        <x:v>BUY</x:v>
      </x:c>
      <x:c r="C13" s="198" t="n">
        <x:f>'_REFLO_BRIDGE'!$BF$13</x:f>
        <x:v>25000</x:v>
      </x:c>
      <x:c r="D13" s="198" t="n">
        <x:f>'_REFLO_BRIDGE'!$BG$13</x:f>
        <x:v>-0.3599</x:v>
      </x:c>
      <x:c r="E13" s="198" t="n">
        <x:f>'_REFLO_BRIDGE'!$BH$13</x:f>
        <x:v>-0.2</x:v>
      </x:c>
      <x:c r="F13" s="198" t="n">
        <x:f>'_REFLO_BRIDGE'!$BI$13</x:f>
        <x:v>0</x:v>
      </x:c>
      <x:c r="G13" s="1"/>
      <x:c r="H13" s="293" t="str">
        <x:f>IF('_REFLO_BRIDGE'!$A$41="","",'_REFLO_BRIDGE'!$A$41)</x:f>
      </x:c>
      <x:c r="I13" s="284" t="str">
        <x:f>IF('_REFLO_BRIDGE'!$B$41="","",'_REFLO_BRIDGE'!$B$41)</x:f>
      </x:c>
      <x:c r="J13" s="294" t="str">
        <x:f>IF('_REFLO_BRIDGE'!$D$41="","",'_REFLO_BRIDGE'!$D$41)</x:f>
      </x:c>
      <x:c r="K13" s="294" t="str">
        <x:f>IF('_REFLO_BRIDGE'!$H$41="","",'_REFLO_BRIDGE'!$H$41)</x:f>
      </x:c>
      <x:c r="L13" s="284" t="str">
        <x:f>IF('_REFLO_BRIDGE'!$I$41="","",'_REFLO_BRIDGE'!$I$41)</x:f>
      </x:c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3"/>
    </x:row>
    <x:row r="14" ht="18" customHeight="1">
      <x:c r="A14" s="198" t="str">
        <x:f>'_REFLO_BRIDGE'!$BD$14</x:f>
        <x:v>24.2.7</x:v>
      </x:c>
      <x:c r="B14" s="198" t="str">
        <x:f>'_REFLO_BRIDGE'!$BE$14</x:f>
        <x:v>BUY</x:v>
      </x:c>
      <x:c r="C14" s="198" t="n">
        <x:f>'_REFLO_BRIDGE'!$BF$14</x:f>
        <x:v>30000</x:v>
      </x:c>
      <x:c r="D14" s="198" t="n">
        <x:f>'_REFLO_BRIDGE'!$BG$14</x:f>
        <x:v>-0.2719</x:v>
      </x:c>
      <x:c r="E14" s="198" t="n">
        <x:f>'_REFLO_BRIDGE'!$BH$14</x:f>
        <x:v>-0.1</x:v>
      </x:c>
      <x:c r="F14" s="198" t="n">
        <x:f>'_REFLO_BRIDGE'!$BI$14</x:f>
        <x:v>0</x:v>
      </x:c>
      <x:c r="G14" s="1"/>
      <x:c r="H14" s="293" t="str">
        <x:f>IF('_REFLO_BRIDGE'!$A$42="","",'_REFLO_BRIDGE'!$A$42)</x:f>
      </x:c>
      <x:c r="I14" s="284" t="str">
        <x:f>IF('_REFLO_BRIDGE'!$B$42="","",'_REFLO_BRIDGE'!$B$42)</x:f>
      </x:c>
      <x:c r="J14" s="294" t="str">
        <x:f>IF('_REFLO_BRIDGE'!$D$42="","",'_REFLO_BRIDGE'!$D$42)</x:f>
      </x:c>
      <x:c r="K14" s="294" t="str">
        <x:f>IF('_REFLO_BRIDGE'!$H$42="","",'_REFLO_BRIDGE'!$H$42)</x:f>
      </x:c>
      <x:c r="L14" s="284" t="str">
        <x:f>IF('_REFLO_BRIDGE'!$I$42="","",'_REFLO_BRIDGE'!$I$42)</x:f>
      </x:c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3"/>
    </x:row>
    <x:row r="15" ht="18" customHeight="1">
      <x:c r="A15" s="12"/>
      <x:c r="B15" s="1"/>
      <x:c r="C15" s="1"/>
      <x:c r="D15" s="1"/>
      <x:c r="E15" s="1"/>
      <x:c r="F15" s="1"/>
      <x:c r="G15" s="1"/>
      <x:c r="H15" s="293" t="str">
        <x:f>IF('_REFLO_BRIDGE'!$A$43="","",'_REFLO_BRIDGE'!$A$43)</x:f>
      </x:c>
      <x:c r="I15" s="284" t="str">
        <x:f>IF('_REFLO_BRIDGE'!$B$43="","",'_REFLO_BRIDGE'!$B$43)</x:f>
      </x:c>
      <x:c r="J15" s="294" t="str">
        <x:f>IF('_REFLO_BRIDGE'!$D$43="","",'_REFLO_BRIDGE'!$D$43)</x:f>
      </x:c>
      <x:c r="K15" s="294" t="str">
        <x:f>IF('_REFLO_BRIDGE'!$H$43="","",'_REFLO_BRIDGE'!$H$43)</x:f>
      </x:c>
      <x:c r="L15" s="284" t="str">
        <x:f>IF('_REFLO_BRIDGE'!$I$43="","",'_REFLO_BRIDGE'!$I$43)</x:f>
      </x:c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3"/>
    </x:row>
    <x:row r="16" ht="18" customHeight="1">
      <x:c r="A16" s="164" t="s">
        <x:v>302</x:v>
      </x:c>
      <x:c r="B16" s="148"/>
      <x:c r="C16" s="148"/>
      <x:c r="D16" s="148"/>
      <x:c r="E16" s="148"/>
      <x:c r="F16" s="148"/>
      <x:c r="G16" s="1"/>
      <x:c r="H16" s="293" t="str">
        <x:f>IF('_REFLO_BRIDGE'!$A$44="","",'_REFLO_BRIDGE'!$A$44)</x:f>
      </x:c>
      <x:c r="I16" s="284" t="str">
        <x:f>IF('_REFLO_BRIDGE'!$B$44="","",'_REFLO_BRIDGE'!$B$44)</x:f>
      </x:c>
      <x:c r="J16" s="294" t="str">
        <x:f>IF('_REFLO_BRIDGE'!$D$44="","",'_REFLO_BRIDGE'!$D$44)</x:f>
      </x:c>
      <x:c r="K16" s="294" t="str">
        <x:f>IF('_REFLO_BRIDGE'!$H$44="","",'_REFLO_BRIDGE'!$H$44)</x:f>
      </x:c>
      <x:c r="L16" s="284" t="str">
        <x:f>IF('_REFLO_BRIDGE'!$I$44="","",'_REFLO_BRIDGE'!$I$44)</x:f>
      </x:c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3"/>
    </x:row>
    <x:row r="17" ht="18" customHeight="1">
      <x:c r="A17" s="164" t="s">
        <x:v>495</x:v>
      </x:c>
      <x:c r="B17" s="148"/>
      <x:c r="C17" s="148"/>
      <x:c r="D17" s="148"/>
      <x:c r="E17" s="148"/>
      <x:c r="F17" s="148"/>
      <x:c r="G17" s="1"/>
      <x:c r="H17" s="293" t="str">
        <x:f>IF('_REFLO_BRIDGE'!$A$45="","",'_REFLO_BRIDGE'!$A$45)</x:f>
      </x:c>
      <x:c r="I17" s="284" t="str">
        <x:f>IF('_REFLO_BRIDGE'!$B$45="","",'_REFLO_BRIDGE'!$B$45)</x:f>
      </x:c>
      <x:c r="J17" s="294" t="str">
        <x:f>IF('_REFLO_BRIDGE'!$D$45="","",'_REFLO_BRIDGE'!$D$45)</x:f>
      </x:c>
      <x:c r="K17" s="294" t="str">
        <x:f>IF('_REFLO_BRIDGE'!$H$45="","",'_REFLO_BRIDGE'!$H$45)</x:f>
      </x:c>
      <x:c r="L17" s="284" t="str">
        <x:f>IF('_REFLO_BRIDGE'!$I$45="","",'_REFLO_BRIDGE'!$I$45)</x:f>
      </x:c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3"/>
    </x:row>
    <x:row r="18" ht="18" customHeight="1">
      <x:c r="A18" s="12"/>
      <x:c r="B18" s="1"/>
      <x:c r="C18" s="1"/>
      <x:c r="D18" s="1"/>
      <x:c r="E18" s="1"/>
      <x:c r="F18" s="1"/>
      <x:c r="G18" s="1"/>
      <x:c r="H18" s="293" t="str">
        <x:f>IF('_REFLO_BRIDGE'!$A$46="","",'_REFLO_BRIDGE'!$A$46)</x:f>
      </x:c>
      <x:c r="I18" s="284" t="str">
        <x:f>IF('_REFLO_BRIDGE'!$B$46="","",'_REFLO_BRIDGE'!$B$46)</x:f>
      </x:c>
      <x:c r="J18" s="294" t="str">
        <x:f>IF('_REFLO_BRIDGE'!$D$46="","",'_REFLO_BRIDGE'!$D$46)</x:f>
      </x:c>
      <x:c r="K18" s="294" t="str">
        <x:f>IF('_REFLO_BRIDGE'!$H$46="","",'_REFLO_BRIDGE'!$H$46)</x:f>
      </x:c>
      <x:c r="L18" s="284" t="str">
        <x:f>IF('_REFLO_BRIDGE'!$I$46="","",'_REFLO_BRIDGE'!$I$46)</x:f>
      </x:c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3"/>
    </x:row>
    <x:row r="19" ht="18" customHeight="1">
      <x:c r="A19" s="12"/>
      <x:c r="B19" s="1"/>
      <x:c r="C19" s="1"/>
      <x:c r="D19" s="1"/>
      <x:c r="E19" s="1"/>
      <x:c r="F19" s="1"/>
      <x:c r="G19" s="1"/>
      <x:c r="H19" s="293" t="str">
        <x:f>IF('_REFLO_BRIDGE'!$A$47="","",'_REFLO_BRIDGE'!$A$47)</x:f>
      </x:c>
      <x:c r="I19" s="284" t="str">
        <x:f>IF('_REFLO_BRIDGE'!$B$47="","",'_REFLO_BRIDGE'!$B$47)</x:f>
      </x:c>
      <x:c r="J19" s="294" t="str">
        <x:f>IF('_REFLO_BRIDGE'!$D$47="","",'_REFLO_BRIDGE'!$D$47)</x:f>
      </x:c>
      <x:c r="K19" s="294" t="str">
        <x:f>IF('_REFLO_BRIDGE'!$H$47="","",'_REFLO_BRIDGE'!$H$47)</x:f>
      </x:c>
      <x:c r="L19" s="284" t="str">
        <x:f>IF('_REFLO_BRIDGE'!$I$47="","",'_REFLO_BRIDGE'!$I$47)</x:f>
      </x:c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3"/>
    </x:row>
    <x:row r="20" ht="18" customHeight="1">
      <x:c r="A20" s="12"/>
      <x:c r="B20" s="1"/>
      <x:c r="C20" s="1"/>
      <x:c r="D20" s="1"/>
      <x:c r="E20" s="1"/>
      <x:c r="F20" s="1"/>
      <x:c r="G20" s="1"/>
      <x:c r="H20" s="293" t="str">
        <x:f>IF('_REFLO_BRIDGE'!$A$48="","",'_REFLO_BRIDGE'!$A$48)</x:f>
      </x:c>
      <x:c r="I20" s="284" t="str">
        <x:f>IF('_REFLO_BRIDGE'!$B$48="","",'_REFLO_BRIDGE'!$B$48)</x:f>
      </x:c>
      <x:c r="J20" s="294" t="str">
        <x:f>IF('_REFLO_BRIDGE'!$D$48="","",'_REFLO_BRIDGE'!$D$48)</x:f>
      </x:c>
      <x:c r="K20" s="294" t="str">
        <x:f>IF('_REFLO_BRIDGE'!$H$48="","",'_REFLO_BRIDGE'!$H$48)</x:f>
      </x:c>
      <x:c r="L20" s="284" t="str">
        <x:f>IF('_REFLO_BRIDGE'!$I$48="","",'_REFLO_BRIDGE'!$I$48)</x:f>
      </x:c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3"/>
    </x:row>
    <x:row r="21" ht="18" customHeight="1">
      <x:c r="A21" s="12"/>
      <x:c r="B21" s="1"/>
      <x:c r="C21" s="1"/>
      <x:c r="D21" s="1"/>
      <x:c r="E21" s="1"/>
      <x:c r="F21" s="1"/>
      <x:c r="G21" s="1"/>
      <x:c r="H21" s="293" t="str">
        <x:f>IF('_REFLO_BRIDGE'!$A$49="","",'_REFLO_BRIDGE'!$A$49)</x:f>
      </x:c>
      <x:c r="I21" s="284" t="str">
        <x:f>IF('_REFLO_BRIDGE'!$B$49="","",'_REFLO_BRIDGE'!$B$49)</x:f>
      </x:c>
      <x:c r="J21" s="294" t="str">
        <x:f>IF('_REFLO_BRIDGE'!$D$49="","",'_REFLO_BRIDGE'!$D$49)</x:f>
      </x:c>
      <x:c r="K21" s="294" t="str">
        <x:f>IF('_REFLO_BRIDGE'!$H$49="","",'_REFLO_BRIDGE'!$H$49)</x:f>
      </x:c>
      <x:c r="L21" s="284" t="str">
        <x:f>IF('_REFLO_BRIDGE'!$I$49="","",'_REFLO_BRIDGE'!$I$49)</x:f>
      </x:c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3"/>
    </x:row>
    <x:row r="22" ht="18" customHeight="1">
      <x:c r="A22" s="12"/>
      <x:c r="B22" s="1"/>
      <x:c r="C22" s="1"/>
      <x:c r="D22" s="1"/>
      <x:c r="E22" s="1"/>
      <x:c r="F22" s="1"/>
      <x:c r="G22" s="1"/>
      <x:c r="H22" s="293" t="str">
        <x:f>IF('_REFLO_BRIDGE'!$A$50="","",'_REFLO_BRIDGE'!$A$50)</x:f>
      </x:c>
      <x:c r="I22" s="284" t="str">
        <x:f>IF('_REFLO_BRIDGE'!$B$50="","",'_REFLO_BRIDGE'!$B$50)</x:f>
      </x:c>
      <x:c r="J22" s="294" t="str">
        <x:f>IF('_REFLO_BRIDGE'!$D$50="","",'_REFLO_BRIDGE'!$D$50)</x:f>
      </x:c>
      <x:c r="K22" s="294" t="str">
        <x:f>IF('_REFLO_BRIDGE'!$H$50="","",'_REFLO_BRIDGE'!$H$50)</x:f>
      </x:c>
      <x:c r="L22" s="284" t="str">
        <x:f>IF('_REFLO_BRIDGE'!$I$50="","",'_REFLO_BRIDGE'!$I$50)</x:f>
      </x:c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3"/>
    </x:row>
    <x:row r="23" ht="18" customHeight="1">
      <x:c r="A23" s="12"/>
      <x:c r="B23" s="1"/>
      <x:c r="C23" s="1"/>
      <x:c r="D23" s="1"/>
      <x:c r="E23" s="1"/>
      <x:c r="F23" s="1"/>
      <x:c r="G23" s="1"/>
      <x:c r="H23" s="293" t="str">
        <x:f>IF('_REFLO_BRIDGE'!$A$51="","",'_REFLO_BRIDGE'!$A$51)</x:f>
      </x:c>
      <x:c r="I23" s="284" t="str">
        <x:f>IF('_REFLO_BRIDGE'!$B$51="","",'_REFLO_BRIDGE'!$B$51)</x:f>
      </x:c>
      <x:c r="J23" s="294" t="str">
        <x:f>IF('_REFLO_BRIDGE'!$D$51="","",'_REFLO_BRIDGE'!$D$51)</x:f>
      </x:c>
      <x:c r="K23" s="294" t="str">
        <x:f>IF('_REFLO_BRIDGE'!$H$51="","",'_REFLO_BRIDGE'!$H$51)</x:f>
      </x:c>
      <x:c r="L23" s="284" t="str">
        <x:f>IF('_REFLO_BRIDGE'!$I$51="","",'_REFLO_BRIDGE'!$I$51)</x:f>
      </x:c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3"/>
    </x:row>
    <x:row r="24" ht="18" customHeight="1">
      <x:c r="A24" s="12"/>
      <x:c r="B24" s="1"/>
      <x:c r="C24" s="1"/>
      <x:c r="D24" s="1"/>
      <x:c r="E24" s="1"/>
      <x:c r="F24" s="1"/>
      <x:c r="G24" s="1"/>
      <x:c r="H24" s="293" t="str">
        <x:f>IF('_REFLO_BRIDGE'!$A$52="","",'_REFLO_BRIDGE'!$A$52)</x:f>
      </x:c>
      <x:c r="I24" s="284" t="str">
        <x:f>IF('_REFLO_BRIDGE'!$B$52="","",'_REFLO_BRIDGE'!$B$52)</x:f>
      </x:c>
      <x:c r="J24" s="294" t="str">
        <x:f>IF('_REFLO_BRIDGE'!$D$52="","",'_REFLO_BRIDGE'!$D$52)</x:f>
      </x:c>
      <x:c r="K24" s="294" t="str">
        <x:f>IF('_REFLO_BRIDGE'!$H$52="","",'_REFLO_BRIDGE'!$H$52)</x:f>
      </x:c>
      <x:c r="L24" s="284" t="str">
        <x:f>IF('_REFLO_BRIDGE'!$I$52="","",'_REFLO_BRIDGE'!$I$52)</x:f>
      </x:c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3"/>
    </x:row>
    <x:row r="25" ht="18" customHeight="1">
      <x:c r="A25" s="12"/>
      <x:c r="B25" s="1"/>
      <x:c r="C25" s="1"/>
      <x:c r="D25" s="1"/>
      <x:c r="E25" s="1"/>
      <x:c r="F25" s="1"/>
      <x:c r="G25" s="1"/>
      <x:c r="H25" s="293" t="str">
        <x:f>IF('_REFLO_BRIDGE'!$A$53="","",'_REFLO_BRIDGE'!$A$53)</x:f>
      </x:c>
      <x:c r="I25" s="284" t="str">
        <x:f>IF('_REFLO_BRIDGE'!$B$53="","",'_REFLO_BRIDGE'!$B$53)</x:f>
      </x:c>
      <x:c r="J25" s="294" t="str">
        <x:f>IF('_REFLO_BRIDGE'!$D$53="","",'_REFLO_BRIDGE'!$D$53)</x:f>
      </x:c>
      <x:c r="K25" s="294" t="str">
        <x:f>IF('_REFLO_BRIDGE'!$H$53="","",'_REFLO_BRIDGE'!$H$53)</x:f>
      </x:c>
      <x:c r="L25" s="284" t="str">
        <x:f>IF('_REFLO_BRIDGE'!$I$53="","",'_REFLO_BRIDGE'!$I$53)</x:f>
      </x:c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3"/>
    </x:row>
    <x:row r="26" ht="18" customHeight="1">
      <x:c r="A26" s="12"/>
      <x:c r="B26" s="1"/>
      <x:c r="C26" s="1"/>
      <x:c r="D26" s="1"/>
      <x:c r="E26" s="1"/>
      <x:c r="F26" s="1"/>
      <x:c r="G26" s="1"/>
      <x:c r="H26" s="293" t="str">
        <x:f>IF('_REFLO_BRIDGE'!$A$54="","",'_REFLO_BRIDGE'!$A$54)</x:f>
      </x:c>
      <x:c r="I26" s="284" t="str">
        <x:f>IF('_REFLO_BRIDGE'!$B$54="","",'_REFLO_BRIDGE'!$B$54)</x:f>
      </x:c>
      <x:c r="J26" s="294" t="str">
        <x:f>IF('_REFLO_BRIDGE'!$D$54="","",'_REFLO_BRIDGE'!$D$54)</x:f>
      </x:c>
      <x:c r="K26" s="294" t="str">
        <x:f>IF('_REFLO_BRIDGE'!$H$54="","",'_REFLO_BRIDGE'!$H$54)</x:f>
      </x:c>
      <x:c r="L26" s="284" t="str">
        <x:f>IF('_REFLO_BRIDGE'!$I$54="","",'_REFLO_BRIDGE'!$I$54)</x:f>
      </x:c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3"/>
    </x:row>
    <x:row r="27" ht="18" customHeight="1">
      <x:c r="A27" s="12"/>
      <x:c r="B27" s="1"/>
      <x:c r="C27" s="1"/>
      <x:c r="D27" s="1"/>
      <x:c r="E27" s="1"/>
      <x:c r="F27" s="1"/>
      <x:c r="G27" s="1"/>
      <x:c r="H27" s="293" t="str">
        <x:f>IF('_REFLO_BRIDGE'!$A$55="","",'_REFLO_BRIDGE'!$A$55)</x:f>
      </x:c>
      <x:c r="I27" s="284" t="str">
        <x:f>IF('_REFLO_BRIDGE'!$B$55="","",'_REFLO_BRIDGE'!$B$55)</x:f>
      </x:c>
      <x:c r="J27" s="294" t="str">
        <x:f>IF('_REFLO_BRIDGE'!$D$55="","",'_REFLO_BRIDGE'!$D$55)</x:f>
      </x:c>
      <x:c r="K27" s="294" t="str">
        <x:f>IF('_REFLO_BRIDGE'!$H$55="","",'_REFLO_BRIDGE'!$H$55)</x:f>
      </x:c>
      <x:c r="L27" s="284" t="str">
        <x:f>IF('_REFLO_BRIDGE'!$I$55="","",'_REFLO_BRIDGE'!$I$55)</x:f>
      </x:c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3"/>
    </x:row>
    <x:row r="28" ht="18" customHeight="1">
      <x:c r="A28" s="12"/>
      <x:c r="B28" s="1"/>
      <x:c r="C28" s="1"/>
      <x:c r="D28" s="1"/>
      <x:c r="E28" s="1"/>
      <x:c r="F28" s="1"/>
      <x:c r="G28" s="1"/>
      <x:c r="H28" s="293" t="str">
        <x:f>IF('_REFLO_BRIDGE'!$A$56="","",'_REFLO_BRIDGE'!$A$56)</x:f>
      </x:c>
      <x:c r="I28" s="284" t="str">
        <x:f>IF('_REFLO_BRIDGE'!$B$56="","",'_REFLO_BRIDGE'!$B$56)</x:f>
      </x:c>
      <x:c r="J28" s="294" t="str">
        <x:f>IF('_REFLO_BRIDGE'!$D$56="","",'_REFLO_BRIDGE'!$D$56)</x:f>
      </x:c>
      <x:c r="K28" s="294" t="str">
        <x:f>IF('_REFLO_BRIDGE'!$H$56="","",'_REFLO_BRIDGE'!$H$56)</x:f>
      </x:c>
      <x:c r="L28" s="284" t="str">
        <x:f>IF('_REFLO_BRIDGE'!$I$56="","",'_REFLO_BRIDGE'!$I$56)</x:f>
      </x:c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3"/>
    </x:row>
    <x:row r="29" ht="18" customHeight="1">
      <x:c r="A29" s="12"/>
      <x:c r="B29" s="1"/>
      <x:c r="C29" s="1"/>
      <x:c r="D29" s="1"/>
      <x:c r="E29" s="1"/>
      <x:c r="F29" s="1"/>
      <x:c r="G29" s="1"/>
      <x:c r="H29" s="293" t="str">
        <x:f>IF('_REFLO_BRIDGE'!$A$57="","",'_REFLO_BRIDGE'!$A$57)</x:f>
      </x:c>
      <x:c r="I29" s="284" t="str">
        <x:f>IF('_REFLO_BRIDGE'!$B$57="","",'_REFLO_BRIDGE'!$B$57)</x:f>
      </x:c>
      <x:c r="J29" s="294" t="str">
        <x:f>IF('_REFLO_BRIDGE'!$D$57="","",'_REFLO_BRIDGE'!$D$57)</x:f>
      </x:c>
      <x:c r="K29" s="294" t="str">
        <x:f>IF('_REFLO_BRIDGE'!$H$57="","",'_REFLO_BRIDGE'!$H$57)</x:f>
      </x:c>
      <x:c r="L29" s="284" t="str">
        <x:f>IF('_REFLO_BRIDGE'!$I$57="","",'_REFLO_BRIDGE'!$I$57)</x:f>
      </x:c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3"/>
    </x:row>
    <x:row r="30" ht="18" customHeight="1">
      <x:c r="A30" s="12"/>
      <x:c r="B30" s="1"/>
      <x:c r="C30" s="1"/>
      <x:c r="D30" s="1"/>
      <x:c r="E30" s="1"/>
      <x:c r="F30" s="1"/>
      <x:c r="G30" s="1"/>
      <x:c r="H30" s="293" t="str">
        <x:f>IF('_REFLO_BRIDGE'!$A$58="","",'_REFLO_BRIDGE'!$A$58)</x:f>
      </x:c>
      <x:c r="I30" s="284" t="str">
        <x:f>IF('_REFLO_BRIDGE'!$B$58="","",'_REFLO_BRIDGE'!$B$58)</x:f>
      </x:c>
      <x:c r="J30" s="294" t="str">
        <x:f>IF('_REFLO_BRIDGE'!$D$58="","",'_REFLO_BRIDGE'!$D$58)</x:f>
      </x:c>
      <x:c r="K30" s="294" t="str">
        <x:f>IF('_REFLO_BRIDGE'!$H$58="","",'_REFLO_BRIDGE'!$H$58)</x:f>
      </x:c>
      <x:c r="L30" s="284" t="str">
        <x:f>IF('_REFLO_BRIDGE'!$I$58="","",'_REFLO_BRIDGE'!$I$58)</x:f>
      </x:c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3"/>
    </x:row>
    <x:row r="31" ht="18" customHeight="1">
      <x:c r="A31" s="12"/>
      <x:c r="B31" s="1"/>
      <x:c r="C31" s="1"/>
      <x:c r="D31" s="1"/>
      <x:c r="E31" s="1"/>
      <x:c r="F31" s="1"/>
      <x:c r="G31" s="1"/>
      <x:c r="H31" s="293" t="str">
        <x:f>IF('_REFLO_BRIDGE'!$A$59="","",'_REFLO_BRIDGE'!$A$59)</x:f>
      </x:c>
      <x:c r="I31" s="284" t="str">
        <x:f>IF('_REFLO_BRIDGE'!$B$59="","",'_REFLO_BRIDGE'!$B$59)</x:f>
      </x:c>
      <x:c r="J31" s="294" t="str">
        <x:f>IF('_REFLO_BRIDGE'!$D$59="","",'_REFLO_BRIDGE'!$D$59)</x:f>
      </x:c>
      <x:c r="K31" s="294" t="str">
        <x:f>IF('_REFLO_BRIDGE'!$H$59="","",'_REFLO_BRIDGE'!$H$59)</x:f>
      </x:c>
      <x:c r="L31" s="284" t="str">
        <x:f>IF('_REFLO_BRIDGE'!$I$59="","",'_REFLO_BRIDGE'!$I$59)</x:f>
      </x:c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3"/>
    </x:row>
    <x:row r="32" ht="18" customHeight="1">
      <x:c r="A32" s="12"/>
      <x:c r="B32" s="1"/>
      <x:c r="C32" s="1"/>
      <x:c r="D32" s="1"/>
      <x:c r="E32" s="1"/>
      <x:c r="F32" s="1"/>
      <x:c r="G32" s="1"/>
      <x:c r="H32" s="293" t="str">
        <x:f>IF('_REFLO_BRIDGE'!$A$60="","",'_REFLO_BRIDGE'!$A$60)</x:f>
      </x:c>
      <x:c r="I32" s="284" t="str">
        <x:f>IF('_REFLO_BRIDGE'!$B$60="","",'_REFLO_BRIDGE'!$B$60)</x:f>
      </x:c>
      <x:c r="J32" s="294" t="str">
        <x:f>IF('_REFLO_BRIDGE'!$D$60="","",'_REFLO_BRIDGE'!$D$60)</x:f>
      </x:c>
      <x:c r="K32" s="294" t="str">
        <x:f>IF('_REFLO_BRIDGE'!$H$60="","",'_REFLO_BRIDGE'!$H$60)</x:f>
      </x:c>
      <x:c r="L32" s="284" t="str">
        <x:f>IF('_REFLO_BRIDGE'!$I$60="","",'_REFLO_BRIDGE'!$I$60)</x:f>
      </x:c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3"/>
    </x:row>
    <x:row r="33" ht="18" customHeight="1">
      <x:c r="A33" s="12"/>
      <x:c r="B33" s="1"/>
      <x:c r="C33" s="1"/>
      <x:c r="D33" s="1"/>
      <x:c r="E33" s="1"/>
      <x:c r="F33" s="1"/>
      <x:c r="G33" s="1"/>
      <x:c r="H33" s="293" t="str">
        <x:f>IF('_REFLO_BRIDGE'!$A$61="","",'_REFLO_BRIDGE'!$A$61)</x:f>
      </x:c>
      <x:c r="I33" s="284" t="str">
        <x:f>IF('_REFLO_BRIDGE'!$B$61="","",'_REFLO_BRIDGE'!$B$61)</x:f>
      </x:c>
      <x:c r="J33" s="294" t="str">
        <x:f>IF('_REFLO_BRIDGE'!$D$61="","",'_REFLO_BRIDGE'!$D$61)</x:f>
      </x:c>
      <x:c r="K33" s="294" t="str">
        <x:f>IF('_REFLO_BRIDGE'!$H$61="","",'_REFLO_BRIDGE'!$H$61)</x:f>
      </x:c>
      <x:c r="L33" s="284" t="str">
        <x:f>IF('_REFLO_BRIDGE'!$I$61="","",'_REFLO_BRIDGE'!$I$61)</x:f>
      </x:c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3"/>
    </x:row>
    <x:row r="34" ht="18" customHeight="1">
      <x:c r="A34" s="12"/>
      <x:c r="B34" s="1"/>
      <x:c r="C34" s="1"/>
      <x:c r="D34" s="1"/>
      <x:c r="E34" s="1"/>
      <x:c r="F34" s="1"/>
      <x:c r="G34" s="1"/>
      <x:c r="H34" s="293" t="str">
        <x:f>IF('_REFLO_BRIDGE'!$A$62="","",'_REFLO_BRIDGE'!$A$62)</x:f>
      </x:c>
      <x:c r="I34" s="284" t="str">
        <x:f>IF('_REFLO_BRIDGE'!$B$62="","",'_REFLO_BRIDGE'!$B$62)</x:f>
      </x:c>
      <x:c r="J34" s="294" t="str">
        <x:f>IF('_REFLO_BRIDGE'!$D$62="","",'_REFLO_BRIDGE'!$D$62)</x:f>
      </x:c>
      <x:c r="K34" s="294" t="str">
        <x:f>IF('_REFLO_BRIDGE'!$H$62="","",'_REFLO_BRIDGE'!$H$62)</x:f>
      </x:c>
      <x:c r="L34" s="284" t="str">
        <x:f>IF('_REFLO_BRIDGE'!$I$62="","",'_REFLO_BRIDGE'!$I$62)</x:f>
      </x:c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3"/>
    </x:row>
    <x:row r="35" ht="18" customHeight="1">
      <x:c r="A35" s="12"/>
      <x:c r="B35" s="1"/>
      <x:c r="C35" s="1"/>
      <x:c r="D35" s="1"/>
      <x:c r="E35" s="1"/>
      <x:c r="F35" s="1"/>
      <x:c r="G35" s="1"/>
      <x:c r="H35" s="293" t="str">
        <x:f>IF('_REFLO_BRIDGE'!$A$63="","",'_REFLO_BRIDGE'!$A$63)</x:f>
      </x:c>
      <x:c r="I35" s="284" t="str">
        <x:f>IF('_REFLO_BRIDGE'!$B$63="","",'_REFLO_BRIDGE'!$B$63)</x:f>
      </x:c>
      <x:c r="J35" s="294" t="str">
        <x:f>IF('_REFLO_BRIDGE'!$D$63="","",'_REFLO_BRIDGE'!$D$63)</x:f>
      </x:c>
      <x:c r="K35" s="294" t="str">
        <x:f>IF('_REFLO_BRIDGE'!$H$63="","",'_REFLO_BRIDGE'!$H$63)</x:f>
      </x:c>
      <x:c r="L35" s="284" t="str">
        <x:f>IF('_REFLO_BRIDGE'!$I$63="","",'_REFLO_BRIDGE'!$I$63)</x:f>
      </x:c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3"/>
    </x:row>
    <x:row r="36" ht="18" customHeight="1">
      <x:c r="A36" s="12"/>
      <x:c r="B36" s="1"/>
      <x:c r="C36" s="1"/>
      <x:c r="D36" s="1"/>
      <x:c r="E36" s="1"/>
      <x:c r="F36" s="1"/>
      <x:c r="G36" s="1"/>
      <x:c r="H36" s="293" t="str">
        <x:f>IF('_REFLO_BRIDGE'!$A$64="","",'_REFLO_BRIDGE'!$A$64)</x:f>
      </x:c>
      <x:c r="I36" s="284" t="str">
        <x:f>IF('_REFLO_BRIDGE'!$B$64="","",'_REFLO_BRIDGE'!$B$64)</x:f>
      </x:c>
      <x:c r="J36" s="294" t="str">
        <x:f>IF('_REFLO_BRIDGE'!$D$64="","",'_REFLO_BRIDGE'!$D$64)</x:f>
      </x:c>
      <x:c r="K36" s="294" t="str">
        <x:f>IF('_REFLO_BRIDGE'!$H$64="","",'_REFLO_BRIDGE'!$H$64)</x:f>
      </x:c>
      <x:c r="L36" s="284" t="str">
        <x:f>IF('_REFLO_BRIDGE'!$I$64="","",'_REFLO_BRIDGE'!$I$64)</x:f>
      </x:c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3"/>
    </x:row>
    <x:row r="37" ht="18" customHeight="1">
      <x:c r="A37" s="12"/>
      <x:c r="B37" s="1"/>
      <x:c r="C37" s="1"/>
      <x:c r="D37" s="1"/>
      <x:c r="E37" s="1"/>
      <x:c r="F37" s="1"/>
      <x:c r="G37" s="1"/>
      <x:c r="H37" s="293" t="str">
        <x:f>IF('_REFLO_BRIDGE'!$A$65="","",'_REFLO_BRIDGE'!$A$65)</x:f>
      </x:c>
      <x:c r="I37" s="284" t="str">
        <x:f>IF('_REFLO_BRIDGE'!$B$65="","",'_REFLO_BRIDGE'!$B$65)</x:f>
      </x:c>
      <x:c r="J37" s="294" t="str">
        <x:f>IF('_REFLO_BRIDGE'!$D$65="","",'_REFLO_BRIDGE'!$D$65)</x:f>
      </x:c>
      <x:c r="K37" s="294" t="str">
        <x:f>IF('_REFLO_BRIDGE'!$H$65="","",'_REFLO_BRIDGE'!$H$65)</x:f>
      </x:c>
      <x:c r="L37" s="284" t="str">
        <x:f>IF('_REFLO_BRIDGE'!$I$65="","",'_REFLO_BRIDGE'!$I$65)</x:f>
      </x:c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3"/>
    </x:row>
    <x:row r="38" ht="18" customHeight="1">
      <x:c r="A38" s="12"/>
      <x:c r="B38" s="1"/>
      <x:c r="C38" s="1"/>
      <x:c r="D38" s="1"/>
      <x:c r="E38" s="1"/>
      <x:c r="F38" s="1"/>
      <x:c r="G38" s="1"/>
      <x:c r="H38" s="293" t="str">
        <x:f>IF('_REFLO_BRIDGE'!$A$66="","",'_REFLO_BRIDGE'!$A$66)</x:f>
      </x:c>
      <x:c r="I38" s="284" t="str">
        <x:f>IF('_REFLO_BRIDGE'!$B$66="","",'_REFLO_BRIDGE'!$B$66)</x:f>
      </x:c>
      <x:c r="J38" s="294" t="str">
        <x:f>IF('_REFLO_BRIDGE'!$D$66="","",'_REFLO_BRIDGE'!$D$66)</x:f>
      </x:c>
      <x:c r="K38" s="294" t="str">
        <x:f>IF('_REFLO_BRIDGE'!$H$66="","",'_REFLO_BRIDGE'!$H$66)</x:f>
      </x:c>
      <x:c r="L38" s="284" t="str">
        <x:f>IF('_REFLO_BRIDGE'!$I$66="","",'_REFLO_BRIDGE'!$I$66)</x:f>
      </x:c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3"/>
    </x:row>
    <x:row r="39" ht="18" customHeight="1">
      <x:c r="A39" s="12"/>
      <x:c r="B39" s="1"/>
      <x:c r="C39" s="1"/>
      <x:c r="D39" s="1"/>
      <x:c r="E39" s="1"/>
      <x:c r="F39" s="1"/>
      <x:c r="G39" s="1"/>
      <x:c r="H39" s="293" t="str">
        <x:f>IF('_REFLO_BRIDGE'!$A$67="","",'_REFLO_BRIDGE'!$A$67)</x:f>
      </x:c>
      <x:c r="I39" s="284" t="str">
        <x:f>IF('_REFLO_BRIDGE'!$B$67="","",'_REFLO_BRIDGE'!$B$67)</x:f>
      </x:c>
      <x:c r="J39" s="294" t="str">
        <x:f>IF('_REFLO_BRIDGE'!$D$67="","",'_REFLO_BRIDGE'!$D$67)</x:f>
      </x:c>
      <x:c r="K39" s="294" t="str">
        <x:f>IF('_REFLO_BRIDGE'!$H$67="","",'_REFLO_BRIDGE'!$H$67)</x:f>
      </x:c>
      <x:c r="L39" s="284" t="str">
        <x:f>IF('_REFLO_BRIDGE'!$I$67="","",'_REFLO_BRIDGE'!$I$67)</x:f>
      </x:c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3"/>
    </x:row>
    <x:row r="40" ht="18" customHeight="1">
      <x:c r="A40" s="12"/>
      <x:c r="B40" s="1"/>
      <x:c r="C40" s="1"/>
      <x:c r="D40" s="1"/>
      <x:c r="E40" s="1"/>
      <x:c r="F40" s="1"/>
      <x:c r="G40" s="1"/>
      <x:c r="H40" s="293" t="str">
        <x:f>IF('_REFLO_BRIDGE'!$A$68="","",'_REFLO_BRIDGE'!$A$68)</x:f>
      </x:c>
      <x:c r="I40" s="284" t="str">
        <x:f>IF('_REFLO_BRIDGE'!$B$68="","",'_REFLO_BRIDGE'!$B$68)</x:f>
      </x:c>
      <x:c r="J40" s="294" t="str">
        <x:f>IF('_REFLO_BRIDGE'!$D$68="","",'_REFLO_BRIDGE'!$D$68)</x:f>
      </x:c>
      <x:c r="K40" s="294" t="str">
        <x:f>IF('_REFLO_BRIDGE'!$H$68="","",'_REFLO_BRIDGE'!$H$68)</x:f>
      </x:c>
      <x:c r="L40" s="284" t="str">
        <x:f>IF('_REFLO_BRIDGE'!$I$68="","",'_REFLO_BRIDGE'!$I$68)</x:f>
      </x:c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3"/>
    </x:row>
    <x:row r="41" ht="18" customHeight="1">
      <x:c r="A41" s="12"/>
      <x:c r="B41" s="1"/>
      <x:c r="C41" s="1"/>
      <x:c r="D41" s="1"/>
      <x:c r="E41" s="1"/>
      <x:c r="F41" s="1"/>
      <x:c r="G41" s="1"/>
      <x:c r="H41" s="293" t="str">
        <x:f>IF('_REFLO_BRIDGE'!$A$69="","",'_REFLO_BRIDGE'!$A$69)</x:f>
      </x:c>
      <x:c r="I41" s="284" t="str">
        <x:f>IF('_REFLO_BRIDGE'!$B$69="","",'_REFLO_BRIDGE'!$B$69)</x:f>
      </x:c>
      <x:c r="J41" s="294" t="str">
        <x:f>IF('_REFLO_BRIDGE'!$D$69="","",'_REFLO_BRIDGE'!$D$69)</x:f>
      </x:c>
      <x:c r="K41" s="294" t="str">
        <x:f>IF('_REFLO_BRIDGE'!$H$69="","",'_REFLO_BRIDGE'!$H$69)</x:f>
      </x:c>
      <x:c r="L41" s="284" t="str">
        <x:f>IF('_REFLO_BRIDGE'!$I$69="","",'_REFLO_BRIDGE'!$I$69)</x:f>
      </x:c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3"/>
    </x:row>
    <x:row r="42" ht="18" customHeight="1">
      <x:c r="A42" s="12"/>
      <x:c r="B42" s="1"/>
      <x:c r="C42" s="1"/>
      <x:c r="D42" s="1"/>
      <x:c r="E42" s="1"/>
      <x:c r="F42" s="1"/>
      <x:c r="G42" s="1"/>
      <x:c r="H42" s="293" t="str">
        <x:f>IF('_REFLO_BRIDGE'!$A$70="","",'_REFLO_BRIDGE'!$A$70)</x:f>
      </x:c>
      <x:c r="I42" s="284" t="str">
        <x:f>IF('_REFLO_BRIDGE'!$B$70="","",'_REFLO_BRIDGE'!$B$70)</x:f>
      </x:c>
      <x:c r="J42" s="294" t="str">
        <x:f>IF('_REFLO_BRIDGE'!$D$70="","",'_REFLO_BRIDGE'!$D$70)</x:f>
      </x:c>
      <x:c r="K42" s="294" t="str">
        <x:f>IF('_REFLO_BRIDGE'!$H$70="","",'_REFLO_BRIDGE'!$H$70)</x:f>
      </x:c>
      <x:c r="L42" s="284" t="str">
        <x:f>IF('_REFLO_BRIDGE'!$I$70="","",'_REFLO_BRIDGE'!$I$70)</x:f>
      </x:c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3"/>
    </x:row>
    <x:row r="43" ht="18" customHeight="1">
      <x:c r="A43" s="12"/>
      <x:c r="B43" s="1"/>
      <x:c r="C43" s="1"/>
      <x:c r="D43" s="1"/>
      <x:c r="E43" s="1"/>
      <x:c r="F43" s="1"/>
      <x:c r="G43" s="1"/>
      <x:c r="H43" s="293" t="str">
        <x:f>IF('_REFLO_BRIDGE'!$A$71="","",'_REFLO_BRIDGE'!$A$71)</x:f>
      </x:c>
      <x:c r="I43" s="284" t="str">
        <x:f>IF('_REFLO_BRIDGE'!$B$71="","",'_REFLO_BRIDGE'!$B$71)</x:f>
      </x:c>
      <x:c r="J43" s="294" t="str">
        <x:f>IF('_REFLO_BRIDGE'!$D$71="","",'_REFLO_BRIDGE'!$D$71)</x:f>
      </x:c>
      <x:c r="K43" s="294" t="str">
        <x:f>IF('_REFLO_BRIDGE'!$H$71="","",'_REFLO_BRIDGE'!$H$71)</x:f>
      </x:c>
      <x:c r="L43" s="284" t="str">
        <x:f>IF('_REFLO_BRIDGE'!$I$71="","",'_REFLO_BRIDGE'!$I$71)</x:f>
      </x:c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3"/>
    </x:row>
    <x:row r="44" ht="18" customHeight="1">
      <x:c r="A44" s="12"/>
      <x:c r="B44" s="1"/>
      <x:c r="C44" s="1"/>
      <x:c r="D44" s="1"/>
      <x:c r="E44" s="1"/>
      <x:c r="F44" s="1"/>
      <x:c r="G44" s="1"/>
      <x:c r="H44" s="293" t="str">
        <x:f>IF('_REFLO_BRIDGE'!$A$72="","",'_REFLO_BRIDGE'!$A$72)</x:f>
      </x:c>
      <x:c r="I44" s="284" t="str">
        <x:f>IF('_REFLO_BRIDGE'!$B$72="","",'_REFLO_BRIDGE'!$B$72)</x:f>
      </x:c>
      <x:c r="J44" s="294" t="str">
        <x:f>IF('_REFLO_BRIDGE'!$D$72="","",'_REFLO_BRIDGE'!$D$72)</x:f>
      </x:c>
      <x:c r="K44" s="294" t="str">
        <x:f>IF('_REFLO_BRIDGE'!$H$72="","",'_REFLO_BRIDGE'!$H$72)</x:f>
      </x:c>
      <x:c r="L44" s="284" t="str">
        <x:f>IF('_REFLO_BRIDGE'!$I$72="","",'_REFLO_BRIDGE'!$I$72)</x:f>
      </x:c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3"/>
    </x:row>
    <x:row r="45" ht="18" customHeight="1">
      <x:c r="A45" s="12"/>
      <x:c r="B45" s="1"/>
      <x:c r="C45" s="1"/>
      <x:c r="D45" s="1"/>
      <x:c r="E45" s="1"/>
      <x:c r="F45" s="1"/>
      <x:c r="G45" s="1"/>
      <x:c r="H45" s="293" t="str">
        <x:f>IF('_REFLO_BRIDGE'!$A$73="","",'_REFLO_BRIDGE'!$A$73)</x:f>
      </x:c>
      <x:c r="I45" s="284" t="str">
        <x:f>IF('_REFLO_BRIDGE'!$B$73="","",'_REFLO_BRIDGE'!$B$73)</x:f>
      </x:c>
      <x:c r="J45" s="294" t="str">
        <x:f>IF('_REFLO_BRIDGE'!$D$73="","",'_REFLO_BRIDGE'!$D$73)</x:f>
      </x:c>
      <x:c r="K45" s="294" t="str">
        <x:f>IF('_REFLO_BRIDGE'!$H$73="","",'_REFLO_BRIDGE'!$H$73)</x:f>
      </x:c>
      <x:c r="L45" s="284" t="str">
        <x:f>IF('_REFLO_BRIDGE'!$I$73="","",'_REFLO_BRIDGE'!$I$73)</x:f>
      </x:c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3"/>
    </x:row>
    <x:row r="46" ht="18" customHeight="1">
      <x:c r="A46" s="12"/>
      <x:c r="B46" s="1"/>
      <x:c r="C46" s="1"/>
      <x:c r="D46" s="1"/>
      <x:c r="E46" s="1"/>
      <x:c r="F46" s="1"/>
      <x:c r="G46" s="1"/>
      <x:c r="H46" s="293" t="str">
        <x:f>IF('_REFLO_BRIDGE'!$A$74="","",'_REFLO_BRIDGE'!$A$74)</x:f>
      </x:c>
      <x:c r="I46" s="284" t="str">
        <x:f>IF('_REFLO_BRIDGE'!$B$74="","",'_REFLO_BRIDGE'!$B$74)</x:f>
      </x:c>
      <x:c r="J46" s="294" t="str">
        <x:f>IF('_REFLO_BRIDGE'!$D$74="","",'_REFLO_BRIDGE'!$D$74)</x:f>
      </x:c>
      <x:c r="K46" s="294" t="str">
        <x:f>IF('_REFLO_BRIDGE'!$H$74="","",'_REFLO_BRIDGE'!$H$74)</x:f>
      </x:c>
      <x:c r="L46" s="284" t="str">
        <x:f>IF('_REFLO_BRIDGE'!$I$74="","",'_REFLO_BRIDGE'!$I$74)</x:f>
      </x:c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3"/>
    </x:row>
    <x:row r="47" ht="18" customHeight="1">
      <x:c r="A47" s="12"/>
      <x:c r="B47" s="1"/>
      <x:c r="C47" s="1"/>
      <x:c r="D47" s="1"/>
      <x:c r="E47" s="1"/>
      <x:c r="F47" s="1"/>
      <x:c r="G47" s="1"/>
      <x:c r="H47" s="293" t="str">
        <x:f>IF('_REFLO_BRIDGE'!$A$75="","",'_REFLO_BRIDGE'!$A$75)</x:f>
      </x:c>
      <x:c r="I47" s="284" t="str">
        <x:f>IF('_REFLO_BRIDGE'!$B$75="","",'_REFLO_BRIDGE'!$B$75)</x:f>
      </x:c>
      <x:c r="J47" s="294" t="str">
        <x:f>IF('_REFLO_BRIDGE'!$D$75="","",'_REFLO_BRIDGE'!$D$75)</x:f>
      </x:c>
      <x:c r="K47" s="294" t="str">
        <x:f>IF('_REFLO_BRIDGE'!$H$75="","",'_REFLO_BRIDGE'!$H$75)</x:f>
      </x:c>
      <x:c r="L47" s="284" t="str">
        <x:f>IF('_REFLO_BRIDGE'!$I$75="","",'_REFLO_BRIDGE'!$I$75)</x:f>
      </x:c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3"/>
    </x:row>
    <x:row r="48" ht="18" customHeight="1">
      <x:c r="A48" s="12"/>
      <x:c r="B48" s="1"/>
      <x:c r="C48" s="1"/>
      <x:c r="D48" s="1"/>
      <x:c r="E48" s="1"/>
      <x:c r="F48" s="1"/>
      <x:c r="G48" s="1"/>
      <x:c r="H48" s="293" t="str">
        <x:f>IF('_REFLO_BRIDGE'!$A$76="","",'_REFLO_BRIDGE'!$A$76)</x:f>
      </x:c>
      <x:c r="I48" s="284" t="str">
        <x:f>IF('_REFLO_BRIDGE'!$B$76="","",'_REFLO_BRIDGE'!$B$76)</x:f>
      </x:c>
      <x:c r="J48" s="294" t="str">
        <x:f>IF('_REFLO_BRIDGE'!$D$76="","",'_REFLO_BRIDGE'!$D$76)</x:f>
      </x:c>
      <x:c r="K48" s="294" t="str">
        <x:f>IF('_REFLO_BRIDGE'!$H$76="","",'_REFLO_BRIDGE'!$H$76)</x:f>
      </x:c>
      <x:c r="L48" s="284" t="str">
        <x:f>IF('_REFLO_BRIDGE'!$I$76="","",'_REFLO_BRIDGE'!$I$76)</x:f>
      </x:c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3"/>
    </x:row>
    <x:row r="49" ht="18" customHeight="1">
      <x:c r="A49" s="12"/>
      <x:c r="B49" s="1"/>
      <x:c r="C49" s="1"/>
      <x:c r="D49" s="1"/>
      <x:c r="E49" s="1"/>
      <x:c r="F49" s="1"/>
      <x:c r="G49" s="1"/>
      <x:c r="H49" s="293" t="str">
        <x:f>IF('_REFLO_BRIDGE'!$A$77="","",'_REFLO_BRIDGE'!$A$77)</x:f>
      </x:c>
      <x:c r="I49" s="284" t="str">
        <x:f>IF('_REFLO_BRIDGE'!$B$77="","",'_REFLO_BRIDGE'!$B$77)</x:f>
      </x:c>
      <x:c r="J49" s="294" t="str">
        <x:f>IF('_REFLO_BRIDGE'!$D$77="","",'_REFLO_BRIDGE'!$D$77)</x:f>
      </x:c>
      <x:c r="K49" s="294" t="str">
        <x:f>IF('_REFLO_BRIDGE'!$H$77="","",'_REFLO_BRIDGE'!$H$77)</x:f>
      </x:c>
      <x:c r="L49" s="284" t="str">
        <x:f>IF('_REFLO_BRIDGE'!$I$77="","",'_REFLO_BRIDGE'!$I$77)</x:f>
      </x:c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3"/>
    </x:row>
    <x:row r="50" ht="18" customHeight="1">
      <x:c r="A50" s="12"/>
      <x:c r="B50" s="1"/>
      <x:c r="C50" s="1"/>
      <x:c r="D50" s="1"/>
      <x:c r="E50" s="1"/>
      <x:c r="F50" s="1"/>
      <x:c r="G50" s="1"/>
      <x:c r="H50" s="293" t="str">
        <x:f>IF('_REFLO_BRIDGE'!$A$78="","",'_REFLO_BRIDGE'!$A$78)</x:f>
      </x:c>
      <x:c r="I50" s="284" t="str">
        <x:f>IF('_REFLO_BRIDGE'!$B$78="","",'_REFLO_BRIDGE'!$B$78)</x:f>
      </x:c>
      <x:c r="J50" s="294" t="str">
        <x:f>IF('_REFLO_BRIDGE'!$D$78="","",'_REFLO_BRIDGE'!$D$78)</x:f>
      </x:c>
      <x:c r="K50" s="294" t="str">
        <x:f>IF('_REFLO_BRIDGE'!$H$78="","",'_REFLO_BRIDGE'!$H$78)</x:f>
      </x:c>
      <x:c r="L50" s="284" t="str">
        <x:f>IF('_REFLO_BRIDGE'!$I$78="","",'_REFLO_BRIDGE'!$I$78)</x:f>
      </x:c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3"/>
    </x:row>
    <x:row r="51" ht="18" customHeight="1">
      <x:c r="A51" s="12"/>
      <x:c r="B51" s="1"/>
      <x:c r="C51" s="1"/>
      <x:c r="D51" s="1"/>
      <x:c r="E51" s="1"/>
      <x:c r="F51" s="1"/>
      <x:c r="G51" s="1"/>
      <x:c r="H51" s="293" t="str">
        <x:f>IF('_REFLO_BRIDGE'!$A$79="","",'_REFLO_BRIDGE'!$A$79)</x:f>
      </x:c>
      <x:c r="I51" s="284" t="str">
        <x:f>IF('_REFLO_BRIDGE'!$B$79="","",'_REFLO_BRIDGE'!$B$79)</x:f>
      </x:c>
      <x:c r="J51" s="294" t="str">
        <x:f>IF('_REFLO_BRIDGE'!$D$79="","",'_REFLO_BRIDGE'!$D$79)</x:f>
      </x:c>
      <x:c r="K51" s="294" t="str">
        <x:f>IF('_REFLO_BRIDGE'!$H$79="","",'_REFLO_BRIDGE'!$H$79)</x:f>
      </x:c>
      <x:c r="L51" s="284" t="str">
        <x:f>IF('_REFLO_BRIDGE'!$I$79="","",'_REFLO_BRIDGE'!$I$79)</x:f>
      </x:c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3"/>
    </x:row>
    <x:row r="52" ht="18" customHeight="1">
      <x:c r="A52" s="12"/>
      <x:c r="B52" s="1"/>
      <x:c r="C52" s="1"/>
      <x:c r="D52" s="1"/>
      <x:c r="E52" s="1"/>
      <x:c r="F52" s="1"/>
      <x:c r="G52" s="1"/>
      <x:c r="H52" s="293" t="str">
        <x:f>IF('_REFLO_BRIDGE'!$A$80="","",'_REFLO_BRIDGE'!$A$80)</x:f>
      </x:c>
      <x:c r="I52" s="284" t="str">
        <x:f>IF('_REFLO_BRIDGE'!$B$80="","",'_REFLO_BRIDGE'!$B$80)</x:f>
      </x:c>
      <x:c r="J52" s="294" t="str">
        <x:f>IF('_REFLO_BRIDGE'!$D$80="","",'_REFLO_BRIDGE'!$D$80)</x:f>
      </x:c>
      <x:c r="K52" s="294" t="str">
        <x:f>IF('_REFLO_BRIDGE'!$H$80="","",'_REFLO_BRIDGE'!$H$80)</x:f>
      </x:c>
      <x:c r="L52" s="284" t="str">
        <x:f>IF('_REFLO_BRIDGE'!$I$80="","",'_REFLO_BRIDGE'!$I$80)</x:f>
      </x:c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3"/>
    </x:row>
    <x:row r="53" ht="18" customHeight="1">
      <x:c r="A53" s="12"/>
      <x:c r="B53" s="1"/>
      <x:c r="C53" s="1"/>
      <x:c r="D53" s="1"/>
      <x:c r="E53" s="1"/>
      <x:c r="F53" s="1"/>
      <x:c r="G53" s="1"/>
      <x:c r="H53" s="293" t="str">
        <x:f>IF('_REFLO_BRIDGE'!$A$81="","",'_REFLO_BRIDGE'!$A$81)</x:f>
      </x:c>
      <x:c r="I53" s="284" t="str">
        <x:f>IF('_REFLO_BRIDGE'!$B$81="","",'_REFLO_BRIDGE'!$B$81)</x:f>
      </x:c>
      <x:c r="J53" s="294" t="str">
        <x:f>IF('_REFLO_BRIDGE'!$D$81="","",'_REFLO_BRIDGE'!$D$81)</x:f>
      </x:c>
      <x:c r="K53" s="294" t="str">
        <x:f>IF('_REFLO_BRIDGE'!$H$81="","",'_REFLO_BRIDGE'!$H$81)</x:f>
      </x:c>
      <x:c r="L53" s="284" t="str">
        <x:f>IF('_REFLO_BRIDGE'!$I$81="","",'_REFLO_BRIDGE'!$I$81)</x:f>
      </x:c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3"/>
    </x:row>
    <x:row r="54" ht="18" customHeight="1">
      <x:c r="A54" s="12"/>
      <x:c r="B54" s="1"/>
      <x:c r="C54" s="1"/>
      <x:c r="D54" s="1"/>
      <x:c r="E54" s="1"/>
      <x:c r="F54" s="1"/>
      <x:c r="G54" s="1"/>
      <x:c r="H54" s="293" t="str">
        <x:f>IF('_REFLO_BRIDGE'!$A$82="","",'_REFLO_BRIDGE'!$A$82)</x:f>
      </x:c>
      <x:c r="I54" s="284" t="str">
        <x:f>IF('_REFLO_BRIDGE'!$B$82="","",'_REFLO_BRIDGE'!$B$82)</x:f>
      </x:c>
      <x:c r="J54" s="294" t="str">
        <x:f>IF('_REFLO_BRIDGE'!$D$82="","",'_REFLO_BRIDGE'!$D$82)</x:f>
      </x:c>
      <x:c r="K54" s="294" t="str">
        <x:f>IF('_REFLO_BRIDGE'!$H$82="","",'_REFLO_BRIDGE'!$H$82)</x:f>
      </x:c>
      <x:c r="L54" s="284" t="str">
        <x:f>IF('_REFLO_BRIDGE'!$I$82="","",'_REFLO_BRIDGE'!$I$82)</x:f>
      </x:c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3"/>
    </x:row>
    <x:row r="55" ht="18" customHeight="1">
      <x:c r="A55" s="12"/>
      <x:c r="B55" s="1"/>
      <x:c r="C55" s="1"/>
      <x:c r="D55" s="1"/>
      <x:c r="E55" s="1"/>
      <x:c r="F55" s="1"/>
      <x:c r="G55" s="1"/>
      <x:c r="H55" s="293" t="str">
        <x:f>IF('_REFLO_BRIDGE'!$A$83="","",'_REFLO_BRIDGE'!$A$83)</x:f>
      </x:c>
      <x:c r="I55" s="284" t="str">
        <x:f>IF('_REFLO_BRIDGE'!$B$83="","",'_REFLO_BRIDGE'!$B$83)</x:f>
      </x:c>
      <x:c r="J55" s="294" t="str">
        <x:f>IF('_REFLO_BRIDGE'!$D$83="","",'_REFLO_BRIDGE'!$D$83)</x:f>
      </x:c>
      <x:c r="K55" s="294" t="str">
        <x:f>IF('_REFLO_BRIDGE'!$H$83="","",'_REFLO_BRIDGE'!$H$83)</x:f>
      </x:c>
      <x:c r="L55" s="284" t="str">
        <x:f>IF('_REFLO_BRIDGE'!$I$83="","",'_REFLO_BRIDGE'!$I$83)</x:f>
      </x:c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3"/>
    </x:row>
    <x:row r="56" ht="18" customHeight="1">
      <x:c r="A56" s="12"/>
      <x:c r="B56" s="1"/>
      <x:c r="C56" s="1"/>
      <x:c r="D56" s="1"/>
      <x:c r="E56" s="1"/>
      <x:c r="F56" s="1"/>
      <x:c r="G56" s="1"/>
      <x:c r="H56" s="293" t="str">
        <x:f>IF('_REFLO_BRIDGE'!$A$84="","",'_REFLO_BRIDGE'!$A$84)</x:f>
      </x:c>
      <x:c r="I56" s="284" t="str">
        <x:f>IF('_REFLO_BRIDGE'!$B$84="","",'_REFLO_BRIDGE'!$B$84)</x:f>
      </x:c>
      <x:c r="J56" s="294" t="str">
        <x:f>IF('_REFLO_BRIDGE'!$D$84="","",'_REFLO_BRIDGE'!$D$84)</x:f>
      </x:c>
      <x:c r="K56" s="294" t="str">
        <x:f>IF('_REFLO_BRIDGE'!$H$84="","",'_REFLO_BRIDGE'!$H$84)</x:f>
      </x:c>
      <x:c r="L56" s="284" t="str">
        <x:f>IF('_REFLO_BRIDGE'!$I$84="","",'_REFLO_BRIDGE'!$I$84)</x:f>
      </x:c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3"/>
    </x:row>
    <x:row r="57" ht="18" customHeight="1">
      <x:c r="A57" s="12"/>
      <x:c r="B57" s="1"/>
      <x:c r="C57" s="1"/>
      <x:c r="D57" s="1"/>
      <x:c r="E57" s="1"/>
      <x:c r="F57" s="1"/>
      <x:c r="G57" s="1"/>
      <x:c r="H57" s="293" t="str">
        <x:f>IF('_REFLO_BRIDGE'!$A$85="","",'_REFLO_BRIDGE'!$A$85)</x:f>
      </x:c>
      <x:c r="I57" s="284" t="str">
        <x:f>IF('_REFLO_BRIDGE'!$B$85="","",'_REFLO_BRIDGE'!$B$85)</x:f>
      </x:c>
      <x:c r="J57" s="294" t="str">
        <x:f>IF('_REFLO_BRIDGE'!$D$85="","",'_REFLO_BRIDGE'!$D$85)</x:f>
      </x:c>
      <x:c r="K57" s="294" t="str">
        <x:f>IF('_REFLO_BRIDGE'!$H$85="","",'_REFLO_BRIDGE'!$H$85)</x:f>
      </x:c>
      <x:c r="L57" s="284" t="str">
        <x:f>IF('_REFLO_BRIDGE'!$I$85="","",'_REFLO_BRIDGE'!$I$85)</x:f>
      </x:c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3"/>
    </x:row>
    <x:row r="58" ht="18" customHeight="1">
      <x:c r="A58" s="12"/>
      <x:c r="B58" s="1"/>
      <x:c r="C58" s="1"/>
      <x:c r="D58" s="1"/>
      <x:c r="E58" s="1"/>
      <x:c r="F58" s="1"/>
      <x:c r="G58" s="1"/>
      <x:c r="H58" s="293" t="str">
        <x:f>IF('_REFLO_BRIDGE'!$A$86="","",'_REFLO_BRIDGE'!$A$86)</x:f>
      </x:c>
      <x:c r="I58" s="284" t="str">
        <x:f>IF('_REFLO_BRIDGE'!$B$86="","",'_REFLO_BRIDGE'!$B$86)</x:f>
      </x:c>
      <x:c r="J58" s="294" t="str">
        <x:f>IF('_REFLO_BRIDGE'!$D$86="","",'_REFLO_BRIDGE'!$D$86)</x:f>
      </x:c>
      <x:c r="K58" s="294" t="str">
        <x:f>IF('_REFLO_BRIDGE'!$H$86="","",'_REFLO_BRIDGE'!$H$86)</x:f>
      </x:c>
      <x:c r="L58" s="284" t="str">
        <x:f>IF('_REFLO_BRIDGE'!$I$86="","",'_REFLO_BRIDGE'!$I$86)</x:f>
      </x:c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3"/>
    </x:row>
    <x:row r="59" ht="18" customHeight="1">
      <x:c r="A59" s="12"/>
      <x:c r="B59" s="1"/>
      <x:c r="C59" s="1"/>
      <x:c r="D59" s="1"/>
      <x:c r="E59" s="1"/>
      <x:c r="F59" s="1"/>
      <x:c r="G59" s="1"/>
      <x:c r="H59" s="293" t="str">
        <x:f>IF('_REFLO_BRIDGE'!$A$87="","",'_REFLO_BRIDGE'!$A$87)</x:f>
      </x:c>
      <x:c r="I59" s="284" t="str">
        <x:f>IF('_REFLO_BRIDGE'!$B$87="","",'_REFLO_BRIDGE'!$B$87)</x:f>
      </x:c>
      <x:c r="J59" s="294" t="str">
        <x:f>IF('_REFLO_BRIDGE'!$D$87="","",'_REFLO_BRIDGE'!$D$87)</x:f>
      </x:c>
      <x:c r="K59" s="294" t="str">
        <x:f>IF('_REFLO_BRIDGE'!$H$87="","",'_REFLO_BRIDGE'!$H$87)</x:f>
      </x:c>
      <x:c r="L59" s="284" t="str">
        <x:f>IF('_REFLO_BRIDGE'!$I$87="","",'_REFLO_BRIDGE'!$I$87)</x:f>
      </x:c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3"/>
    </x:row>
    <x:row r="60" ht="18" customHeight="1">
      <x:c r="A60" s="9"/>
      <x:c r="B60" s="10"/>
      <x:c r="C60" s="10"/>
      <x:c r="D60" s="10"/>
      <x:c r="E60" s="10"/>
      <x:c r="F60" s="10"/>
      <x:c r="G60" s="10"/>
      <x:c r="H60" s="293" t="str">
        <x:f>IF('_REFLO_BRIDGE'!$A$88="","",'_REFLO_BRIDGE'!$A$88)</x:f>
      </x:c>
      <x:c r="I60" s="284" t="str">
        <x:f>IF('_REFLO_BRIDGE'!$B$88="","",'_REFLO_BRIDGE'!$B$88)</x:f>
      </x:c>
      <x:c r="J60" s="294" t="str">
        <x:f>IF('_REFLO_BRIDGE'!$D$88="","",'_REFLO_BRIDGE'!$D$88)</x:f>
      </x:c>
      <x:c r="K60" s="294" t="str">
        <x:f>IF('_REFLO_BRIDGE'!$H$88="","",'_REFLO_BRIDGE'!$H$88)</x:f>
      </x:c>
      <x:c r="L60" s="284" t="str">
        <x:f>IF('_REFLO_BRIDGE'!$I$88="","",'_REFLO_BRIDGE'!$I$88)</x:f>
      </x:c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1"/>
    </x:row>
    <x:row r="61" ht="18" customHeight="1">
      <x:c r="A61" s="1"/>
      <x:c r="B61" s="1"/>
      <x:c r="C61" s="1"/>
      <x:c r="D61" s="1"/>
      <x:c r="E61" s="1"/>
      <x:c r="F61" s="1"/>
      <x:c r="G61" s="1"/>
      <x:c r="H61" s="293" t="str">
        <x:f>IF('_REFLO_BRIDGE'!$A$89="","",'_REFLO_BRIDGE'!$A$89)</x:f>
      </x:c>
      <x:c r="I61" s="284" t="str">
        <x:f>IF('_REFLO_BRIDGE'!$B$89="","",'_REFLO_BRIDGE'!$B$89)</x:f>
      </x:c>
      <x:c r="J61" s="294" t="str">
        <x:f>IF('_REFLO_BRIDGE'!$D$89="","",'_REFLO_BRIDGE'!$D$89)</x:f>
      </x:c>
      <x:c r="K61" s="294" t="str">
        <x:f>IF('_REFLO_BRIDGE'!$H$89="","",'_REFLO_BRIDGE'!$H$89)</x:f>
      </x:c>
      <x:c r="L61" s="284" t="str">
        <x:f>IF('_REFLO_BRIDGE'!$I$89="","",'_REFLO_BRIDGE'!$I$89)</x:f>
      </x:c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293" t="str">
        <x:f>IF('_REFLO_BRIDGE'!$A$90="","",'_REFLO_BRIDGE'!$A$90)</x:f>
      </x:c>
      <x:c r="I62" s="284" t="str">
        <x:f>IF('_REFLO_BRIDGE'!$B$90="","",'_REFLO_BRIDGE'!$B$90)</x:f>
      </x:c>
      <x:c r="J62" s="294" t="str">
        <x:f>IF('_REFLO_BRIDGE'!$D$90="","",'_REFLO_BRIDGE'!$D$90)</x:f>
      </x:c>
      <x:c r="K62" s="294" t="str">
        <x:f>IF('_REFLO_BRIDGE'!$H$90="","",'_REFLO_BRIDGE'!$H$90)</x:f>
      </x:c>
      <x:c r="L62" s="284" t="str">
        <x:f>IF('_REFLO_BRIDGE'!$I$90="","",'_REFLO_BRIDGE'!$I$90)</x:f>
      </x:c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293" t="str">
        <x:f>IF('_REFLO_BRIDGE'!$A$91="","",'_REFLO_BRIDGE'!$A$91)</x:f>
      </x:c>
      <x:c r="I63" s="284" t="str">
        <x:f>IF('_REFLO_BRIDGE'!$B$91="","",'_REFLO_BRIDGE'!$B$91)</x:f>
      </x:c>
      <x:c r="J63" s="294" t="str">
        <x:f>IF('_REFLO_BRIDGE'!$D$91="","",'_REFLO_BRIDGE'!$D$91)</x:f>
      </x:c>
      <x:c r="K63" s="294" t="str">
        <x:f>IF('_REFLO_BRIDGE'!$H$91="","",'_REFLO_BRIDGE'!$H$91)</x:f>
      </x:c>
      <x:c r="L63" s="284" t="str">
        <x:f>IF('_REFLO_BRIDGE'!$I$91="","",'_REFLO_BRIDGE'!$I$91)</x:f>
      </x:c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293" t="str">
        <x:f>IF('_REFLO_BRIDGE'!$A$92="","",'_REFLO_BRIDGE'!$A$92)</x:f>
      </x:c>
      <x:c r="I64" s="284" t="str">
        <x:f>IF('_REFLO_BRIDGE'!$B$92="","",'_REFLO_BRIDGE'!$B$92)</x:f>
      </x:c>
      <x:c r="J64" s="294" t="str">
        <x:f>IF('_REFLO_BRIDGE'!$D$92="","",'_REFLO_BRIDGE'!$D$92)</x:f>
      </x:c>
      <x:c r="K64" s="294" t="str">
        <x:f>IF('_REFLO_BRIDGE'!$H$92="","",'_REFLO_BRIDGE'!$H$92)</x:f>
      </x:c>
      <x:c r="L64" s="284" t="str">
        <x:f>IF('_REFLO_BRIDGE'!$I$92="","",'_REFLO_BRIDGE'!$I$92)</x:f>
      </x:c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</x:sheetData>
  <x:mergeCells>
    <x:mergeCell ref="A2:F2"/>
    <x:mergeCell ref="A16:F16"/>
    <x:mergeCell ref="A17:F17"/>
    <x:mergeCell ref="H2:L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1F6E6A"/>
  </x:sheetPr>
  <x:sheetViews>
    <x:sheetView showGridLines="0" workbookViewId="0"/>
  </x:sheetViews>
  <x:sheetFormatPr defaultColWidth="8.69921875" defaultRowHeight="17.399999618530273"/>
  <x:cols>
    <x:col min="1" max="1" width="24" customWidth="1"/>
    <x:col min="2" max="4" width="12" customWidth="1"/>
    <x:col min="5" max="5" width="35" customWidth="1"/>
    <x:col min="6" max="6" width="12" customWidth="1"/>
    <x:col min="7" max="26" width="10" customWidth="1"/>
  </x:cols>
  <x:sheetData>
    <x:row r="1" ht="22.049999237060547" customHeight="1">
      <x:c r="A1" s="111" t="s">
        <x:v>88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6"/>
    </x:row>
    <x:row r="2" ht="18" customHeight="1">
      <x:c r="A2" s="112" t="s">
        <x:v>490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28"/>
    </x:row>
    <x:row r="3" ht="18" customHeight="1">
      <x:c r="A3" s="12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3"/>
    </x:row>
    <x:row r="4" ht="18" customHeight="1">
      <x:c r="A4" s="116" t="s">
        <x:v>496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3"/>
    </x:row>
    <x:row r="5" ht="18" customHeight="1">
      <x:c r="A5" s="115" t="s">
        <x:v>497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3"/>
    </x:row>
    <x:row r="6" ht="18" customHeight="1">
      <x:c r="A6" s="115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3"/>
    </x:row>
    <x:row r="7" ht="18" customHeight="1">
      <x:c r="A7" s="115" t="s">
        <x:v>498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3"/>
    </x:row>
    <x:row r="8" ht="18" customHeight="1">
      <x:c r="A8" s="115" t="s">
        <x:v>499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3"/>
    </x:row>
    <x:row r="9" ht="18" customHeight="1">
      <x:c r="A9" s="115" t="s">
        <x:v>500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3"/>
    </x:row>
    <x:row r="10" ht="18" customHeight="1">
      <x:c r="A10" s="115" t="s">
        <x:v>501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3"/>
    </x:row>
    <x:row r="11" ht="18" customHeight="1">
      <x:c r="A11" s="115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3"/>
    </x:row>
    <x:row r="12" ht="18" customHeight="1">
      <x:c r="A12" s="115" t="s">
        <x:v>502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3"/>
    </x:row>
    <x:row r="13" ht="18" customHeight="1">
      <x:c r="A13" s="115" t="s">
        <x:v>503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3"/>
    </x:row>
    <x:row r="14" ht="18" customHeight="1">
      <x:c r="A14" s="115" t="s">
        <x:v>504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3"/>
    </x:row>
    <x:row r="15" ht="18" customHeight="1">
      <x:c r="A15" s="115" t="s">
        <x:v>505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3"/>
    </x:row>
    <x:row r="16" ht="18" customHeight="1">
      <x:c r="A16" s="12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3"/>
    </x:row>
    <x:row r="17" ht="18" customHeight="1">
      <x:c r="A17" s="116" t="s">
        <x:v>506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3"/>
    </x:row>
    <x:row r="18" ht="18" customHeight="1">
      <x:c r="A18" s="54" t="s">
        <x:v>507</x:v>
      </x:c>
      <x:c r="B18" s="54" t="s">
        <x:v>508</x:v>
      </x:c>
      <x:c r="C18" s="54" t="s">
        <x:v>509</x:v>
      </x:c>
      <x:c r="D18" s="54" t="s">
        <x:v>510</x:v>
      </x:c>
      <x:c r="E18" s="56"/>
      <x:c r="F18" s="56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3"/>
    </x:row>
    <x:row r="19" ht="18" customHeight="1">
      <x:c r="A19" s="54" t="s">
        <x:v>511</x:v>
      </x:c>
      <x:c r="B19" s="198" t="n">
        <x:f>'_REFLO_BRIDGE'!$BK$5</x:f>
        <x:v>0.9579</x:v>
      </x:c>
      <x:c r="C19" s="198" t="n">
        <x:f>'_REFLO_BRIDGE'!$BL$5</x:f>
        <x:v>0.0421</x:v>
      </x:c>
      <x:c r="D19" s="198" t="n">
        <x:f>'_REFLO_BRIDGE'!$BM$5</x:f>
        <x:v>0</x:v>
      </x:c>
      <x:c r="E19" s="115" t="s">
        <x:v>512</x:v>
      </x:c>
      <x:c r="F19" s="198" t="n">
        <x:f>SUM(B19:D19)</x:f>
        <x:v>1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3"/>
    </x:row>
    <x:row r="20" ht="18" customHeight="1">
      <x:c r="A20" s="200" t="str">
        <x:f>'_REFLO_BRIDGE'!$BR$5</x:f>
        <x:v>* 기준일: 2026년 01월 26일</x:v>
      </x:c>
      <x:c r="B20" s="148"/>
      <x:c r="C20" s="148"/>
      <x:c r="D20" s="148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3"/>
    </x:row>
    <x:row r="21" ht="18" customHeight="1">
      <x:c r="A21" s="12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3"/>
    </x:row>
    <x:row r="22" ht="18" customHeight="1">
      <x:c r="A22" s="12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3"/>
    </x:row>
    <x:row r="23" ht="18" customHeight="1">
      <x:c r="A23" s="12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3"/>
    </x:row>
    <x:row r="24" ht="18" customHeight="1">
      <x:c r="A24" s="12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3"/>
    </x:row>
    <x:row r="25" ht="18" customHeight="1">
      <x:c r="A25" s="12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3"/>
    </x:row>
    <x:row r="26" ht="18" customHeight="1">
      <x:c r="A26" s="12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3"/>
    </x:row>
    <x:row r="27" ht="18" customHeight="1">
      <x:c r="A27" s="12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3"/>
    </x:row>
    <x:row r="28" ht="18" customHeight="1">
      <x:c r="A28" s="12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3"/>
    </x:row>
    <x:row r="29" ht="18" customHeight="1">
      <x:c r="A29" s="12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3"/>
    </x:row>
    <x:row r="30" ht="18" customHeight="1">
      <x:c r="A30" s="12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3"/>
    </x:row>
    <x:row r="31" ht="18" customHeight="1">
      <x:c r="A31" s="12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3"/>
    </x:row>
    <x:row r="32" ht="18" customHeight="1">
      <x:c r="A32" s="12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3"/>
    </x:row>
    <x:row r="33" ht="18" customHeight="1">
      <x:c r="A33" s="12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3"/>
    </x:row>
    <x:row r="34" ht="18" customHeight="1">
      <x:c r="A34" s="12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3"/>
    </x:row>
    <x:row r="35" ht="18" customHeight="1">
      <x:c r="A35" s="12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3"/>
    </x:row>
    <x:row r="36" ht="18" customHeight="1">
      <x:c r="A36" s="12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3"/>
    </x:row>
    <x:row r="37" ht="18" customHeight="1">
      <x:c r="A37" s="12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3"/>
    </x:row>
    <x:row r="38" ht="18" customHeight="1">
      <x:c r="A38" s="12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3"/>
    </x:row>
    <x:row r="39" ht="18" customHeight="1">
      <x:c r="A39" s="12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3"/>
    </x:row>
    <x:row r="40" ht="18" customHeight="1">
      <x:c r="A40" s="12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3"/>
    </x:row>
    <x:row r="41" ht="18" customHeight="1">
      <x:c r="A41" s="12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3"/>
    </x:row>
    <x:row r="42" ht="18" customHeight="1">
      <x:c r="A42" s="12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3"/>
    </x:row>
    <x:row r="43" ht="18" customHeight="1">
      <x:c r="A43" s="12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3"/>
    </x:row>
    <x:row r="44" ht="18" customHeight="1">
      <x:c r="A44" s="12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3"/>
    </x:row>
    <x:row r="45" ht="18" customHeight="1">
      <x:c r="A45" s="12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3"/>
    </x:row>
    <x:row r="46" ht="18" customHeight="1">
      <x:c r="A46" s="12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3"/>
    </x:row>
    <x:row r="47" ht="18" customHeight="1">
      <x:c r="A47" s="12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3"/>
    </x:row>
    <x:row r="48" ht="18" customHeight="1">
      <x:c r="A48" s="12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3"/>
    </x:row>
    <x:row r="49" ht="18" customHeight="1">
      <x:c r="A49" s="12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3"/>
    </x:row>
    <x:row r="50" ht="18" customHeight="1">
      <x:c r="A50" s="12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3"/>
    </x:row>
    <x:row r="51" ht="18" customHeight="1">
      <x:c r="A51" s="12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3"/>
    </x:row>
    <x:row r="52" ht="18" customHeight="1">
      <x:c r="A52" s="12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3"/>
    </x:row>
    <x:row r="53" ht="18" customHeight="1">
      <x:c r="A53" s="12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3"/>
    </x:row>
    <x:row r="54" ht="18" customHeight="1">
      <x:c r="A54" s="12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3"/>
    </x:row>
    <x:row r="55" ht="18" customHeight="1">
      <x:c r="A55" s="12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3"/>
    </x:row>
    <x:row r="56" ht="18" customHeight="1">
      <x:c r="A56" s="12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3"/>
    </x:row>
    <x:row r="57" ht="18" customHeight="1">
      <x:c r="A57" s="12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3"/>
    </x:row>
    <x:row r="58" ht="18" customHeight="1">
      <x:c r="A58" s="12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3"/>
    </x:row>
    <x:row r="59" ht="18" customHeight="1">
      <x:c r="A59" s="12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3"/>
    </x:row>
    <x:row r="60" ht="18" customHeight="1">
      <x:c r="A60" s="9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</x:sheetData>
  <x:mergeCells>
    <x:mergeCell ref="A20:D20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7030A0"/>
  </x:sheetPr>
  <x:sheetViews>
    <x:sheetView showGridLines="0" workbookViewId="0"/>
  </x:sheetViews>
  <x:sheetFormatPr defaultColWidth="8.69921875" defaultRowHeight="17.399999618530273"/>
  <x:cols>
    <x:col min="1" max="1" width="30" customWidth="1"/>
    <x:col min="2" max="4" width="16" customWidth="1"/>
    <x:col min="5" max="5" width="56" customWidth="1"/>
    <x:col min="6" max="6" width="12" customWidth="1"/>
    <x:col min="7" max="26" width="10" customWidth="1"/>
  </x:cols>
  <x:sheetData>
    <x:row r="1" ht="22.049999237060547" customHeight="1">
      <x:c r="A1" s="111" t="s">
        <x:v>513</x:v>
      </x:c>
      <x:c r="B1" s="25"/>
      <x:c r="C1" s="25"/>
      <x:c r="D1" s="25"/>
      <x:c r="E1" s="3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6"/>
    </x:row>
    <x:row r="2" ht="18" customHeight="1">
      <x:c r="A2" s="112" t="s">
        <x:v>514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28"/>
    </x:row>
    <x:row r="3" ht="18" customHeight="1">
      <x:c r="A3" s="12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3"/>
    </x:row>
    <x:row r="4" ht="19.950000762939453" customHeight="1">
      <x:c r="A4" s="80" t="s">
        <x:v>515</x:v>
      </x:c>
      <x:c r="B4" s="5"/>
      <x:c r="C4" s="5"/>
      <x:c r="D4" s="5"/>
      <x:c r="E4" s="5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3"/>
    </x:row>
    <x:row r="5" ht="19.950000762939453" customHeight="1">
      <x:c r="A5" s="53" t="s">
        <x:v>106</x:v>
      </x:c>
      <x:c r="B5" s="53" t="s">
        <x:v>516</x:v>
      </x:c>
      <x:c r="C5" s="53" t="s">
        <x:v>517</x:v>
      </x:c>
      <x:c r="D5" s="53" t="s">
        <x:v>518</x:v>
      </x:c>
      <x:c r="E5" s="53" t="s">
        <x:v>109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3"/>
    </x:row>
    <x:row r="6" ht="18" customHeight="1">
      <x:c r="A6" s="54" t="s">
        <x:v>269</x:v>
      </x:c>
      <x:c r="B6" s="71" t="n">
        <x:f>'12_p4_손익계산서'!D5</x:f>
        <x:v>1065.3</x:v>
      </x:c>
      <x:c r="C6" s="64">
        <x:v>1065.29</x:v>
      </x:c>
      <x:c r="D6" s="124" t="n">
        <x:f t="shared" ref="D6:D11" si="0">C6/B6-1</x:f>
        <x:v>-0.000009387027128493486</x:v>
      </x:c>
      <x:c r="E6" s="56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3"/>
    </x:row>
    <x:row r="7" ht="18" customHeight="1">
      <x:c r="A7" s="54" t="s">
        <x:v>270</x:v>
      </x:c>
      <x:c r="B7" s="71" t="n">
        <x:f>'12_p4_손익계산서'!D9</x:f>
        <x:v>49.099999999999994</x:v>
      </x:c>
      <x:c r="C7" s="64">
        <x:v>49.06</x:v>
      </x:c>
      <x:c r="D7" s="124">
        <x:f t="shared" si="0"/>
        <x:v>-8.1466395111995382E-4</x:v>
      </x:c>
      <x:c r="E7" s="56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3"/>
    </x:row>
    <x:row r="8" ht="18" customHeight="1">
      <x:c r="A8" s="54" t="s">
        <x:v>519</x:v>
      </x:c>
      <x:c r="B8" s="71" t="n">
        <x:f>'12_p4_손익계산서'!D19</x:f>
        <x:v>48.8</x:v>
      </x:c>
      <x:c r="C8" s="64">
        <x:v>47.61</x:v>
      </x:c>
      <x:c r="D8" s="124">
        <x:f t="shared" si="0"/>
        <x:v>-2.4385245901639263E-2</x:v>
      </x:c>
      <x:c r="E8" s="56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3"/>
    </x:row>
    <x:row r="9" ht="18" customHeight="1">
      <x:c r="A9" s="54" t="s">
        <x:v>520</x:v>
      </x:c>
      <x:c r="B9" s="71" t="n">
        <x:f>'14_p4_투자지표'!D6</x:f>
        <x:v>947</x:v>
      </x:c>
      <x:c r="C9" s="64">
        <x:v>924</x:v>
      </x:c>
      <x:c r="D9" s="124">
        <x:f t="shared" si="0"/>
        <x:v>-2.4287222808870079E-2</x:v>
      </x:c>
      <x:c r="E9" s="56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3"/>
    </x:row>
    <x:row r="10" ht="18" customHeight="1">
      <x:c r="A10" s="54" t="s">
        <x:v>521</x:v>
      </x:c>
      <x:c r="B10" s="71" t="n">
        <x:f>'13_p4_대차대조표'!D17</x:f>
        <x:v>1250.6</x:v>
      </x:c>
      <x:c r="C10" s="64">
        <x:v>1178.01</x:v>
      </x:c>
      <x:c r="D10" s="124">
        <x:f t="shared" si="0"/>
        <x:v>-5.8044138813369561E-2</x:v>
      </x:c>
      <x:c r="E10" s="56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3"/>
    </x:row>
    <x:row r="11" ht="18" customHeight="1">
      <x:c r="A11" s="54" t="s">
        <x:v>522</x:v>
      </x:c>
      <x:c r="B11" s="71" t="n">
        <x:f>'13_p4_대차대조표'!D25</x:f>
        <x:v>348.8</x:v>
      </x:c>
      <x:c r="C11" s="64">
        <x:v>280.7</x:v>
      </x:c>
      <x:c r="D11" s="124">
        <x:f t="shared" si="0"/>
        <x:v>-0.19524082568807344</x:v>
      </x:c>
      <x:c r="E11" s="56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3"/>
    </x:row>
    <x:row r="12" ht="18" customHeight="1">
      <x:c r="A12" s="12"/>
      <x:c r="B12" s="16"/>
      <x:c r="C12" s="16"/>
      <x:c r="D12" s="29"/>
      <x:c r="E12" s="13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3"/>
    </x:row>
    <x:row r="13" ht="18" customHeight="1">
      <x:c r="A13" s="153" t="s">
        <x:v>523</x:v>
      </x:c>
      <x:c r="B13" s="148"/>
      <x:c r="C13" s="148"/>
      <x:c r="D13" s="148"/>
      <x:c r="E13" s="154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3"/>
    </x:row>
    <x:row r="14" ht="18" customHeight="1">
      <x:c r="A14" s="12"/>
      <x:c r="B14" s="16"/>
      <x:c r="C14" s="16"/>
      <x:c r="D14" s="29"/>
      <x:c r="E14" s="13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3"/>
    </x:row>
    <x:row r="15" ht="19.950000762939453" customHeight="1">
      <x:c r="A15" s="80" t="s">
        <x:v>524</x:v>
      </x:c>
      <x:c r="B15" s="30"/>
      <x:c r="C15" s="30"/>
      <x:c r="D15" s="34"/>
      <x:c r="E15" s="2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3"/>
    </x:row>
    <x:row r="16" ht="19.950000762939453" customHeight="1">
      <x:c r="A16" s="53" t="s">
        <x:v>106</x:v>
      </x:c>
      <x:c r="B16" s="75" t="s">
        <x:v>525</x:v>
      </x:c>
      <x:c r="C16" s="75" t="s">
        <x:v>517</x:v>
      </x:c>
      <x:c r="D16" s="135" t="s">
        <x:v>518</x:v>
      </x:c>
      <x:c r="E16" s="53" t="s">
        <x:v>109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3"/>
    </x:row>
    <x:row r="17" ht="18" customHeight="1">
      <x:c r="A17" s="54" t="s">
        <x:v>269</x:v>
      </x:c>
      <x:c r="B17" s="71" t="n">
        <x:f>'10_도표6_분기실적전망_수정후'!F5</x:f>
        <x:v>330</x:v>
      </x:c>
      <x:c r="C17" s="64">
        <x:v>346.31</x:v>
      </x:c>
      <x:c r="D17" s="124" t="n">
        <x:f>C17/B17-1</x:f>
        <x:v>0.04942424242424237</x:v>
      </x:c>
      <x:c r="E17" s="54" t="s">
        <x:v>526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3"/>
    </x:row>
    <x:row r="18" ht="18" customHeight="1">
      <x:c r="A18" s="54" t="s">
        <x:v>270</x:v>
      </x:c>
      <x:c r="B18" s="71" t="n">
        <x:f>'10_도표6_분기실적전망_수정후'!F19</x:f>
        <x:v>40.2</x:v>
      </x:c>
      <x:c r="C18" s="64">
        <x:v>51.3</x:v>
      </x:c>
      <x:c r="D18" s="124" t="n">
        <x:f>C18/B18-1</x:f>
        <x:v>0.2761194029850744</x:v>
      </x:c>
      <x:c r="E18" s="54" t="s">
        <x:v>526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3"/>
    </x:row>
    <x:row r="19" ht="30" customHeight="1">
      <x:c r="A19" s="54" t="s">
        <x:v>519</x:v>
      </x:c>
      <x:c r="B19" s="71" t="n">
        <x:f>'M1_실적추정_모델'!F26</x:f>
        <x:v>33.5</x:v>
      </x:c>
      <x:c r="C19" s="64">
        <x:v>45.5</x:v>
      </x:c>
      <x:c r="D19" s="124" t="n">
        <x:f>C19/B19-1</x:f>
        <x:v>0.3582089552238805</x:v>
      </x:c>
      <x:c r="E19" s="54" t="s">
        <x:v>527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3"/>
    </x:row>
    <x:row r="20" ht="18" customHeight="1">
      <x:c r="A20" s="12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3"/>
    </x:row>
    <x:row r="21" ht="18" customHeight="1">
      <x:c r="A21" s="164" t="s">
        <x:v>528</x:v>
      </x:c>
      <x:c r="B21" s="148"/>
      <x:c r="C21" s="148"/>
      <x:c r="D21" s="148"/>
      <x:c r="E21" s="148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3"/>
    </x:row>
    <x:row r="22" ht="18" customHeight="1">
      <x:c r="A22" s="12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3"/>
    </x:row>
    <x:row r="23" ht="18" customHeight="1">
      <x:c r="A23" s="164" t="s">
        <x:v>529</x:v>
      </x:c>
      <x:c r="B23" s="148"/>
      <x:c r="C23" s="148"/>
      <x:c r="D23" s="148"/>
      <x:c r="E23" s="148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3"/>
    </x:row>
    <x:row r="24" ht="18" customHeight="1">
      <x:c r="A24" s="12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3"/>
    </x:row>
    <x:row r="25" ht="18" customHeight="1">
      <x:c r="A25" s="12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3"/>
    </x:row>
    <x:row r="26" ht="18" customHeight="1">
      <x:c r="A26" s="12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3"/>
    </x:row>
    <x:row r="27" ht="18" customHeight="1">
      <x:c r="A27" s="12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3"/>
    </x:row>
    <x:row r="28" ht="18" customHeight="1">
      <x:c r="A28" s="12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3"/>
    </x:row>
    <x:row r="29" ht="18" customHeight="1">
      <x:c r="A29" s="12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3"/>
    </x:row>
    <x:row r="30" ht="18" customHeight="1">
      <x:c r="A30" s="12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3"/>
    </x:row>
    <x:row r="31" ht="18" customHeight="1">
      <x:c r="A31" s="12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3"/>
    </x:row>
    <x:row r="32" ht="18" customHeight="1">
      <x:c r="A32" s="12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3"/>
    </x:row>
    <x:row r="33" ht="18" customHeight="1">
      <x:c r="A33" s="12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3"/>
    </x:row>
    <x:row r="34" ht="18" customHeight="1">
      <x:c r="A34" s="12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3"/>
    </x:row>
    <x:row r="35" ht="18" customHeight="1">
      <x:c r="A35" s="12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3"/>
    </x:row>
    <x:row r="36" ht="18" customHeight="1">
      <x:c r="A36" s="12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3"/>
    </x:row>
    <x:row r="37" ht="18" customHeight="1">
      <x:c r="A37" s="12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3"/>
    </x:row>
    <x:row r="38" ht="18" customHeight="1">
      <x:c r="A38" s="12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3"/>
    </x:row>
    <x:row r="39" ht="18" customHeight="1">
      <x:c r="A39" s="12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3"/>
    </x:row>
    <x:row r="40" ht="18" customHeight="1">
      <x:c r="A40" s="12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3"/>
    </x:row>
    <x:row r="41" ht="18" customHeight="1">
      <x:c r="A41" s="12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3"/>
    </x:row>
    <x:row r="42" ht="18" customHeight="1">
      <x:c r="A42" s="12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3"/>
    </x:row>
    <x:row r="43" ht="18" customHeight="1">
      <x:c r="A43" s="12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3"/>
    </x:row>
    <x:row r="44" ht="18" customHeight="1">
      <x:c r="A44" s="12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3"/>
    </x:row>
    <x:row r="45" ht="18" customHeight="1">
      <x:c r="A45" s="12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3"/>
    </x:row>
    <x:row r="46" ht="18" customHeight="1">
      <x:c r="A46" s="12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3"/>
    </x:row>
    <x:row r="47" ht="18" customHeight="1">
      <x:c r="A47" s="12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3"/>
    </x:row>
    <x:row r="48" ht="18" customHeight="1">
      <x:c r="A48" s="12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3"/>
    </x:row>
    <x:row r="49" ht="18" customHeight="1">
      <x:c r="A49" s="12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3"/>
    </x:row>
    <x:row r="50" ht="18" customHeight="1">
      <x:c r="A50" s="12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3"/>
    </x:row>
    <x:row r="51" ht="18" customHeight="1">
      <x:c r="A51" s="12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3"/>
    </x:row>
    <x:row r="52" ht="18" customHeight="1">
      <x:c r="A52" s="12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3"/>
    </x:row>
    <x:row r="53" ht="18" customHeight="1">
      <x:c r="A53" s="12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3"/>
    </x:row>
    <x:row r="54" ht="18" customHeight="1">
      <x:c r="A54" s="12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3"/>
    </x:row>
    <x:row r="55" ht="18" customHeight="1">
      <x:c r="A55" s="12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3"/>
    </x:row>
    <x:row r="56" ht="18" customHeight="1">
      <x:c r="A56" s="12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3"/>
    </x:row>
    <x:row r="57" ht="18" customHeight="1">
      <x:c r="A57" s="12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3"/>
    </x:row>
    <x:row r="58" ht="18" customHeight="1">
      <x:c r="A58" s="12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3"/>
    </x:row>
    <x:row r="59" ht="18" customHeight="1">
      <x:c r="A59" s="12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3"/>
    </x:row>
    <x:row r="60" ht="18" customHeight="1">
      <x:c r="A60" s="9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</x:sheetData>
  <x:mergeCells>
    <x:mergeCell ref="A21:E21"/>
    <x:mergeCell ref="A23:E23"/>
    <x:mergeCell ref="A13:E13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808080"/>
  </x:sheetPr>
  <x:sheetViews>
    <x:sheetView showGridLines="0" workbookViewId="0"/>
  </x:sheetViews>
  <x:sheetFormatPr defaultColWidth="8.69921875" defaultRowHeight="17.399999618530273"/>
  <x:cols>
    <x:col min="1" max="1" width="22" customWidth="1"/>
    <x:col min="2" max="2" width="15" customWidth="1"/>
    <x:col min="3" max="3" width="72" customWidth="1"/>
    <x:col min="4" max="4" width="28" customWidth="1"/>
    <x:col min="5" max="26" width="10" customWidth="1"/>
  </x:cols>
  <x:sheetData>
    <x:row r="1" ht="22.049999237060547" customHeight="1">
      <x:c r="A1" s="136" t="s">
        <x:v>530</x:v>
      </x:c>
      <x:c r="B1" s="35"/>
      <x:c r="C1" s="35"/>
      <x:c r="D1" s="46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6"/>
    </x:row>
    <x:row r="2" ht="22.049999237060547" customHeight="1">
      <x:c r="A2" s="33"/>
      <x:c r="B2" s="19"/>
      <x:c r="C2" s="19"/>
      <x:c r="D2" s="47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28"/>
    </x:row>
    <x:row r="3" ht="22.049999237060547" customHeight="1">
      <x:c r="A3" s="137" t="s">
        <x:v>531</x:v>
      </x:c>
      <x:c r="B3" s="38"/>
      <x:c r="C3" s="38"/>
      <x:c r="D3" s="39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3"/>
    </x:row>
    <x:row r="4" ht="22.049999237060547" customHeight="1">
      <x:c r="A4" s="138" t="s">
        <x:v>532</x:v>
      </x:c>
      <x:c r="B4" s="36"/>
      <x:c r="C4" s="167" t="s">
        <x:v>533</x:v>
      </x:c>
      <x:c r="D4" s="154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3"/>
    </x:row>
    <x:row r="5" ht="22.049999237060547" customHeight="1">
      <x:c r="A5" s="48"/>
      <x:c r="B5" s="36"/>
      <x:c r="C5" s="36"/>
      <x:c r="D5" s="37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3"/>
    </x:row>
    <x:row r="6" ht="22.049999237060547" customHeight="1">
      <x:c r="A6" s="137" t="s">
        <x:v>534</x:v>
      </x:c>
      <x:c r="B6" s="38"/>
      <x:c r="C6" s="38"/>
      <x:c r="D6" s="39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3"/>
    </x:row>
    <x:row r="7" ht="22.049999237060547" customHeight="1">
      <x:c r="A7" s="139" t="s">
        <x:v>535</x:v>
      </x:c>
      <x:c r="B7" s="140" t="s">
        <x:v>536</x:v>
      </x:c>
      <x:c r="C7" s="140" t="s">
        <x:v>537</x:v>
      </x:c>
      <x:c r="D7" s="141" t="s">
        <x:v>30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3"/>
    </x:row>
    <x:row r="8" ht="22.049999237060547" customHeight="1">
      <x:c r="A8" s="138" t="s">
        <x:v>538</x:v>
      </x:c>
      <x:c r="B8" s="83" t="s">
        <x:v>539</x:v>
      </x:c>
      <x:c r="C8" s="83" t="s">
        <x:v>540</x:v>
      </x:c>
      <x:c r="D8" s="84" t="s">
        <x:v>541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3"/>
    </x:row>
    <x:row r="9" ht="22.049999237060547" customHeight="1">
      <x:c r="A9" s="138" t="s">
        <x:v>542</x:v>
      </x:c>
      <x:c r="B9" s="83" t="s">
        <x:v>543</x:v>
      </x:c>
      <x:c r="C9" s="83" t="s">
        <x:v>540</x:v>
      </x:c>
      <x:c r="D9" s="84" t="s">
        <x:v>544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3"/>
    </x:row>
    <x:row r="10" ht="22.049999237060547" customHeight="1">
      <x:c r="A10" s="48"/>
      <x:c r="B10" s="36"/>
      <x:c r="C10" s="36"/>
      <x:c r="D10" s="37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3"/>
    </x:row>
    <x:row r="11" ht="22.049999237060547" customHeight="1">
      <x:c r="A11" s="137" t="s">
        <x:v>545</x:v>
      </x:c>
      <x:c r="B11" s="38"/>
      <x:c r="C11" s="38"/>
      <x:c r="D11" s="39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3"/>
    </x:row>
    <x:row r="12" ht="22.049999237060547" customHeight="1">
      <x:c r="A12" s="138" t="s">
        <x:v>546</x:v>
      </x:c>
      <x:c r="B12" s="36"/>
      <x:c r="C12" s="167" t="s">
        <x:v>547</x:v>
      </x:c>
      <x:c r="D12" s="154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3"/>
    </x:row>
    <x:row r="13" ht="22.049999237060547" customHeight="1">
      <x:c r="A13" s="138" t="s">
        <x:v>548</x:v>
      </x:c>
      <x:c r="B13" s="36"/>
      <x:c r="C13" s="167" t="s">
        <x:v>549</x:v>
      </x:c>
      <x:c r="D13" s="154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3"/>
    </x:row>
    <x:row r="14" ht="22.049999237060547" customHeight="1">
      <x:c r="A14" s="138" t="s">
        <x:v>550</x:v>
      </x:c>
      <x:c r="B14" s="36"/>
      <x:c r="C14" s="167" t="s">
        <x:v>551</x:v>
      </x:c>
      <x:c r="D14" s="154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3"/>
    </x:row>
    <x:row r="15" ht="22.049999237060547" customHeight="1">
      <x:c r="A15" s="138" t="s">
        <x:v>552</x:v>
      </x:c>
      <x:c r="B15" s="36"/>
      <x:c r="C15" s="167" t="s">
        <x:v>553</x:v>
      </x:c>
      <x:c r="D15" s="154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3"/>
    </x:row>
    <x:row r="16" ht="22.049999237060547" customHeight="1">
      <x:c r="A16" s="48"/>
      <x:c r="B16" s="36"/>
      <x:c r="C16" s="36"/>
      <x:c r="D16" s="37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3"/>
    </x:row>
    <x:row r="17" ht="22.049999237060547" customHeight="1">
      <x:c r="A17" s="48"/>
      <x:c r="B17" s="36"/>
      <x:c r="C17" s="36"/>
      <x:c r="D17" s="37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3"/>
    </x:row>
    <x:row r="18" ht="22.049999237060547" customHeight="1">
      <x:c r="A18" s="168" t="s">
        <x:v>554</x:v>
      </x:c>
      <x:c r="B18" s="148"/>
      <x:c r="C18" s="148"/>
      <x:c r="D18" s="154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3"/>
    </x:row>
    <x:row r="19" ht="22.049999237060547" customHeight="1">
      <x:c r="A19" s="137" t="s">
        <x:v>555</x:v>
      </x:c>
      <x:c r="B19" s="38"/>
      <x:c r="C19" s="38"/>
      <x:c r="D19" s="39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3"/>
    </x:row>
    <x:row r="20" ht="22.049999237060547" customHeight="1">
      <x:c r="A20" s="139" t="s">
        <x:v>106</x:v>
      </x:c>
      <x:c r="B20" s="140" t="s">
        <x:v>556</x:v>
      </x:c>
      <x:c r="C20" s="140" t="s">
        <x:v>557</x:v>
      </x:c>
      <x:c r="D20" s="141" t="s">
        <x:v>558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3"/>
    </x:row>
    <x:row r="21" ht="22.049999237060547" customHeight="1">
      <x:c r="A21" s="138" t="s">
        <x:v>559</x:v>
      </x:c>
      <x:c r="B21" s="83" t="s">
        <x:v>560</x:v>
      </x:c>
      <x:c r="C21" s="83" t="s">
        <x:v>561</x:v>
      </x:c>
      <x:c r="D21" s="84" t="s">
        <x:v>562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3"/>
    </x:row>
    <x:row r="22" ht="22.049999237060547" customHeight="1">
      <x:c r="A22" s="138" t="s">
        <x:v>563</x:v>
      </x:c>
      <x:c r="B22" s="83" t="s">
        <x:v>564</x:v>
      </x:c>
      <x:c r="C22" s="83" t="s">
        <x:v>565</x:v>
      </x:c>
      <x:c r="D22" s="84" t="s">
        <x:v>566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3"/>
    </x:row>
    <x:row r="23" ht="22.049999237060547" customHeight="1">
      <x:c r="A23" s="138" t="s">
        <x:v>231</x:v>
      </x:c>
      <x:c r="B23" s="83" t="s">
        <x:v>567</x:v>
      </x:c>
      <x:c r="C23" s="83" t="s">
        <x:v>568</x:v>
      </x:c>
      <x:c r="D23" s="84" t="s">
        <x:v>569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3"/>
    </x:row>
    <x:row r="24" ht="22.049999237060547" customHeight="1">
      <x:c r="A24" s="142" t="s">
        <x:v>570</x:v>
      </x:c>
      <x:c r="B24" s="40"/>
      <x:c r="C24" s="143" t="s">
        <x:v>571</x:v>
      </x:c>
      <x:c r="D24" s="4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3"/>
    </x:row>
    <x:row r="25" ht="18" customHeight="1">
      <x:c r="A25" s="12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3"/>
    </x:row>
    <x:row r="26" ht="18" customHeight="1">
      <x:c r="A26" s="236" t="str">
        <x:v>  REFLO 자동화 출처 연결</x:v>
      </x:c>
      <x:c r="B26" s="237" t="str">
        <x:v>  REFLO 자동화 출처 연결</x:v>
      </x:c>
      <x:c r="C26" s="237" t="str">
        <x:v>  REFLO 자동화 출처 연결</x:v>
      </x:c>
      <x:c r="D26" s="237" t="str">
        <x:v>  REFLO 자동화 출처 연결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3"/>
    </x:row>
    <x:row r="27" ht="18" customHeight="1">
      <x:c r="A27" s="244" t="str">
        <x:v>영역</x:v>
      </x:c>
      <x:c r="B27" s="244" t="str">
        <x:v>권위 원천</x:v>
      </x:c>
      <x:c r="C27" s="244" t="str">
        <x:v>Bridge/모델</x:v>
      </x:c>
      <x:c r="D27" s="244" t="str">
        <x:v>정책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3"/>
    </x:row>
    <x:row r="28" ht="18" customHeight="1">
      <x:c r="A28" s="254" t="str">
        <x:v>확정 재무실적</x:v>
      </x:c>
      <x:c r="B28" s="255" t="str">
        <x:v>DART</x:v>
      </x:c>
      <x:c r="C28" s="255" t="str">
        <x:v>D1·_REFLO_BRIDGE</x:v>
      </x:c>
      <x:c r="D28" s="255" t="str">
        <x:v>실제치 권위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3"/>
    </x:row>
    <x:row r="29" ht="18" customHeight="1">
      <x:c r="A29" s="262" t="str">
        <x:v>현재주가·시장</x:v>
      </x:c>
      <x:c r="B29" s="258" t="str">
        <x:v>KRX</x:v>
      </x:c>
      <x:c r="C29" s="258" t="str">
        <x:v>_REFLO_BRIDGE</x:v>
      </x:c>
      <x:c r="D29" s="258" t="str">
        <x:v>cutoff_date 종가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3"/>
    </x:row>
    <x:row r="30" ht="18" customHeight="1">
      <x:c r="A30" s="262" t="str">
        <x:v>컨센서스</x:v>
      </x:c>
      <x:c r="B30" s="258" t="str">
        <x:v>FnGuide JSON</x:v>
      </x:c>
      <x:c r="C30" s="258" t="str">
        <x:v>_REFLO_BRIDGE</x:v>
      </x:c>
      <x:c r="D30" s="258" t="str">
        <x:v>snapshot 고정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3"/>
    </x:row>
    <x:row r="31" ht="18" customHeight="1">
      <x:c r="A31" s="262" t="str">
        <x:v>Forward EPS</x:v>
      </x:c>
      <x:c r="B31" s="258" t="str">
        <x:v>FnGuide history</x:v>
      </x:c>
      <x:c r="C31" s="258" t="str">
        <x:v>06_도표2_PER_Band</x:v>
      </x:c>
      <x:c r="D31" s="258" t="str">
        <x:v>look-ahead 차단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3"/>
    </x:row>
    <x:row r="32" ht="18" customHeight="1">
      <x:c r="A32" s="262" t="str">
        <x:v>사업지표·수주잔고</x:v>
      </x:c>
      <x:c r="B32" s="258" t="str">
        <x:v>회사 IR</x:v>
      </x:c>
      <x:c r="C32" s="258" t="str">
        <x:v>09_도표5_수주잔고추이</x:v>
      </x:c>
      <x:c r="D32" s="258" t="str">
        <x:v>문서·페이지 Evidence</x:v>
      </x:c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3"/>
    </x:row>
    <x:row r="33" ht="18" customHeight="1">
      <x:c r="A33" s="262" t="str">
        <x:v>전망·밸류에이션</x:v>
      </x:c>
      <x:c r="B33" s="258" t="str">
        <x:v>사용자 승인</x:v>
      </x:c>
      <x:c r="C33" s="258" t="str">
        <x:v>M1·M2·M3</x:v>
      </x:c>
      <x:c r="D33" s="258" t="str">
        <x:v>승인 버전 고정</x:v>
      </x:c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3"/>
    </x:row>
    <x:row r="34" ht="18" customHeight="1">
      <x:c r="A34" s="262" t="str">
        <x:v>PDF 매핑</x:v>
      </x:c>
      <x:c r="B34" s="258" t="str">
        <x:v>Semantic Slot</x:v>
      </x:c>
      <x:c r="C34" s="258" t="str">
        <x:v>BS3:BZ22</x:v>
      </x:c>
      <x:c r="D34" s="258" t="str">
        <x:v>Scalar·Table·Chart-series</x:v>
      </x:c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3"/>
    </x:row>
    <x:row r="35" ht="18" customHeight="1">
      <x:c r="A35" s="12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3"/>
    </x:row>
    <x:row r="36" ht="18" customHeight="1">
      <x:c r="A36" s="12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3"/>
    </x:row>
    <x:row r="37" ht="18" customHeight="1">
      <x:c r="A37" s="12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3"/>
    </x:row>
    <x:row r="38" ht="18" customHeight="1">
      <x:c r="A38" s="12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3"/>
    </x:row>
    <x:row r="39" ht="18" customHeight="1">
      <x:c r="A39" s="12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3"/>
    </x:row>
    <x:row r="40" ht="18" customHeight="1">
      <x:c r="A40" s="12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3"/>
    </x:row>
    <x:row r="41" ht="18" customHeight="1">
      <x:c r="A41" s="12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3"/>
    </x:row>
    <x:row r="42" ht="18" customHeight="1">
      <x:c r="A42" s="12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3"/>
    </x:row>
    <x:row r="43" ht="18" customHeight="1">
      <x:c r="A43" s="12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3"/>
    </x:row>
    <x:row r="44" ht="18" customHeight="1">
      <x:c r="A44" s="12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3"/>
    </x:row>
    <x:row r="45" ht="18" customHeight="1">
      <x:c r="A45" s="12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3"/>
    </x:row>
    <x:row r="46" ht="18" customHeight="1">
      <x:c r="A46" s="12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3"/>
    </x:row>
    <x:row r="47" ht="18" customHeight="1">
      <x:c r="A47" s="12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3"/>
    </x:row>
    <x:row r="48" ht="18" customHeight="1">
      <x:c r="A48" s="12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3"/>
    </x:row>
    <x:row r="49" ht="18" customHeight="1">
      <x:c r="A49" s="12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3"/>
    </x:row>
    <x:row r="50" ht="18" customHeight="1">
      <x:c r="A50" s="12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3"/>
    </x:row>
    <x:row r="51" ht="18" customHeight="1">
      <x:c r="A51" s="12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3"/>
    </x:row>
    <x:row r="52" ht="18" customHeight="1">
      <x:c r="A52" s="12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3"/>
    </x:row>
    <x:row r="53" ht="18" customHeight="1">
      <x:c r="A53" s="12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3"/>
    </x:row>
    <x:row r="54" ht="18" customHeight="1">
      <x:c r="A54" s="12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3"/>
    </x:row>
    <x:row r="55" ht="18" customHeight="1">
      <x:c r="A55" s="12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3"/>
    </x:row>
    <x:row r="56" ht="18" customHeight="1">
      <x:c r="A56" s="12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3"/>
    </x:row>
    <x:row r="57" ht="18" customHeight="1">
      <x:c r="A57" s="12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3"/>
    </x:row>
    <x:row r="58" ht="18" customHeight="1">
      <x:c r="A58" s="12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3"/>
    </x:row>
    <x:row r="59" ht="18" customHeight="1">
      <x:c r="A59" s="12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3"/>
    </x:row>
    <x:row r="60" ht="18" customHeight="1">
      <x:c r="A60" s="9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</x:sheetData>
  <x:mergeCells>
    <x:mergeCell ref="C4:D4"/>
    <x:mergeCell ref="C12:D12"/>
    <x:mergeCell ref="A18:D18"/>
    <x:mergeCell ref="C15:D15"/>
    <x:mergeCell ref="C14:D14"/>
    <x:mergeCell ref="C13:D13"/>
    <x:mergeCell ref="A26:D26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0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</x:cols>
  <x:sheetData>
    <x:row r="1" ht="26" customHeight="1">
      <x:c r="A1" s="171" t="str">
        <x:v>REFLO SYSTEM BRIDGE — 검증된 자료수집 결과 전용</x:v>
      </x:c>
      <x:c r="B1" s="171"/>
      <x:c r="C1" s="171"/>
      <x:c r="D1" s="171"/>
      <x:c r="E1" s="171"/>
      <x:c r="F1" s="171"/>
      <x:c r="G1" s="171"/>
      <x:c r="H1" s="171"/>
      <x:c r="I1" s="171"/>
      <x:c r="J1" s="171"/>
    </x:row>
    <x:row r="2">
      <x:c r="A2" s="173" t="str">
        <x:v>원본 업로드 파일은 변경하지 않습니다. 작업 사본에서 DART·KRX·IR·FnGuide snapshot과 Evidence를 연결합니다.</x:v>
      </x:c>
      <x:c r="B2" s="173"/>
      <x:c r="C2" s="173"/>
      <x:c r="D2" s="173"/>
      <x:c r="E2" s="173"/>
      <x:c r="F2" s="173"/>
      <x:c r="G2" s="173"/>
      <x:c r="H2" s="173"/>
      <x:c r="I2" s="173"/>
      <x:c r="J2" s="173"/>
      <x:c r="BS2" s="176" t="str">
        <x:v>SEMANTIC SLOT MAPPING REGISTRY</x:v>
      </x:c>
      <x:c r="BT2" s="176" t="str">
        <x:v>SEMANTIC SLOT MAPPING REGISTRY</x:v>
      </x:c>
      <x:c r="BU2" s="176" t="str">
        <x:v>SEMANTIC SLOT MAPPING REGISTRY</x:v>
      </x:c>
      <x:c r="BV2" s="176" t="str">
        <x:v>SEMANTIC SLOT MAPPING REGISTRY</x:v>
      </x:c>
      <x:c r="BW2" s="176" t="str">
        <x:v>SEMANTIC SLOT MAPPING REGISTRY</x:v>
      </x:c>
      <x:c r="BX2" s="176" t="str">
        <x:v>SEMANTIC SLOT MAPPING REGISTRY</x:v>
      </x:c>
      <x:c r="BY2" s="176" t="str">
        <x:v>SEMANTIC SLOT MAPPING REGISTRY</x:v>
      </x:c>
      <x:c r="BZ2" s="176" t="str">
        <x:v>SEMANTIC SLOT MAPPING REGISTRY</x:v>
      </x:c>
      <x:c r="CB2" s="176" t="str">
        <x:v>PROVENANCE / SNAPSHOT POLICY</x:v>
      </x:c>
      <x:c r="CC2" s="176" t="str">
        <x:v>PROVENANCE / SNAPSHOT POLICY</x:v>
      </x:c>
      <x:c r="CD2" s="176" t="str">
        <x:v>PROVENANCE / SNAPSHOT POLICY</x:v>
      </x:c>
      <x:c r="CE2" s="176" t="str">
        <x:v>PROVENANCE / SNAPSHOT POLICY</x:v>
      </x:c>
      <x:c r="CF2" s="176" t="str">
        <x:v>PROVENANCE / SNAPSHOT POLICY</x:v>
      </x:c>
      <x:c r="CG2" s="176" t="str">
        <x:v>PROVENANCE / SNAPSHOT POLICY</x:v>
      </x:c>
      <x:c r="CH2" s="176" t="str">
        <x:v>PROVENANCE / SNAPSHOT POLICY</x:v>
      </x:c>
      <x:c r="CI2" s="176" t="str">
        <x:v>PROVENANCE / SNAPSHOT POLICY</x:v>
      </x:c>
    </x:row>
    <x:row r="3">
      <x:c r="A3" s="176" t="str">
        <x:v>METADATA</x:v>
      </x:c>
      <x:c r="B3" s="176" t="str">
        <x:v>METADATA</x:v>
      </x:c>
      <x:c r="C3" s="176" t="str">
        <x:v>METADATA</x:v>
      </x:c>
      <x:c r="D3" s="176" t="str">
        <x:v>METADATA</x:v>
      </x:c>
      <x:c r="E3" s="176" t="str">
        <x:v>METADATA</x:v>
      </x:c>
      <x:c r="F3" s="176" t="str">
        <x:v>METADATA</x:v>
      </x:c>
      <x:c r="G3" s="176" t="str">
        <x:v>METADATA</x:v>
      </x:c>
      <x:c r="H3" s="176" t="str">
        <x:v>METADATA</x:v>
      </x:c>
      <x:c r="M3" s="176" t="str">
        <x:v>FNGUIDE CONSENSUS — LATEST SNAPSHOT</x:v>
      </x:c>
      <x:c r="N3" s="176" t="str">
        <x:v>FNGUIDE CONSENSUS — LATEST SNAPSHOT</x:v>
      </x:c>
      <x:c r="O3" s="176" t="str">
        <x:v>FNGUIDE CONSENSUS — LATEST SNAPSHOT</x:v>
      </x:c>
      <x:c r="P3" s="176" t="str">
        <x:v>FNGUIDE CONSENSUS — LATEST SNAPSHOT</x:v>
      </x:c>
      <x:c r="Q3" s="176" t="str">
        <x:v>FNGUIDE CONSENSUS — LATEST SNAPSHOT</x:v>
      </x:c>
      <x:c r="R3" s="176" t="str">
        <x:v>FNGUIDE CONSENSUS — LATEST SNAPSHOT</x:v>
      </x:c>
      <x:c r="S3" s="176" t="str">
        <x:v>FNGUIDE CONSENSUS — LATEST SNAPSHOT</x:v>
      </x:c>
      <x:c r="T3" s="176" t="str">
        <x:v>FNGUIDE CONSENSUS — LATEST SNAPSHOT</x:v>
      </x:c>
      <x:c r="AI3" s="174" t="str">
        <x:v>IR ORDER BACKLOG MIRROR — runtime replaces verified values</x:v>
      </x:c>
      <x:c r="AJ3" s="174"/>
      <x:c r="AK3" s="174"/>
      <x:c r="AL3" s="174"/>
      <x:c r="AM3" s="174"/>
      <x:c r="AN3" s="174"/>
      <x:c r="AO3" s="174"/>
      <x:c r="AP3" s="174"/>
      <x:c r="AQ3" s="174"/>
      <x:c r="AR3" s="174"/>
      <x:c r="AS3" s="174"/>
      <x:c r="AT3" s="174"/>
      <x:c r="AU3" s="174"/>
      <x:c r="AV3" s="174"/>
      <x:c r="AW3" s="174"/>
      <x:c r="AX3" s="174"/>
      <x:c r="AY3" s="174"/>
      <x:c r="AZ3" s="174"/>
      <x:c r="BA3" s="174"/>
      <x:c r="BB3" s="174"/>
      <x:c r="BD3" s="174" t="str">
        <x:v>RATING / TARGET PRICE HISTORY</x:v>
      </x:c>
      <x:c r="BE3" s="174"/>
      <x:c r="BF3" s="174"/>
      <x:c r="BG3" s="174"/>
      <x:c r="BH3" s="174"/>
      <x:c r="BI3" s="174"/>
      <x:c r="BK3" s="176" t="str">
        <x:v>COMPLIANCE SNAPSHOT</x:v>
      </x:c>
      <x:c r="BL3" s="176" t="str">
        <x:v>COMPLIANCE SNAPSHOT</x:v>
      </x:c>
      <x:c r="BM3" s="176" t="str">
        <x:v>COMPLIANCE SNAPSHOT</x:v>
      </x:c>
      <x:c r="BN3" s="176" t="str">
        <x:v>COMPLIANCE SNAPSHOT</x:v>
      </x:c>
      <x:c r="BO3" s="176" t="str">
        <x:v>COMPLIANCE SNAPSHOT</x:v>
      </x:c>
      <x:c r="BP3" s="176" t="str">
        <x:v>COMPLIANCE SNAPSHOT</x:v>
      </x:c>
      <x:c r="BQ3" s="176" t="str">
        <x:v>COMPLIANCE SNAPSHOT</x:v>
      </x:c>
      <x:c r="BR3" s="176" t="str">
        <x:v>COMPLIANCE SNAPSHOT</x:v>
      </x:c>
      <x:c r="BS3" s="182" t="str">
        <x:v>Slot ID</x:v>
      </x:c>
      <x:c r="BT3" s="182" t="str">
        <x:v>Kind</x:v>
      </x:c>
      <x:c r="BU3" s="182" t="str">
        <x:v>Output Sheet</x:v>
      </x:c>
      <x:c r="BV3" s="182" t="str">
        <x:v>Output Range</x:v>
      </x:c>
      <x:c r="BW3" s="182" t="str">
        <x:v>Authority / Bridge Range</x:v>
      </x:c>
      <x:c r="BX3" s="182" t="str">
        <x:v>Automation</x:v>
      </x:c>
      <x:c r="BY3" s="182" t="str">
        <x:v>Primary Source</x:v>
      </x:c>
      <x:c r="BZ3" s="182" t="str">
        <x:v>Status</x:v>
      </x:c>
      <x:c r="CB3" s="182" t="str">
        <x:v>Source Type</x:v>
      </x:c>
      <x:c r="CC3" s="182" t="str">
        <x:v>Provider</x:v>
      </x:c>
      <x:c r="CD3" s="182" t="str">
        <x:v>Selection Rule</x:v>
      </x:c>
      <x:c r="CE3" s="182" t="str">
        <x:v>Actual Authority</x:v>
      </x:c>
      <x:c r="CF3" s="182" t="str">
        <x:v>Snapshot</x:v>
      </x:c>
      <x:c r="CG3" s="182" t="str">
        <x:v>Look-ahead</x:v>
      </x:c>
      <x:c r="CH3" s="182" t="str">
        <x:v>Fallback</x:v>
      </x:c>
      <x:c r="CI3" s="182" t="str">
        <x:v>Status</x:v>
      </x:c>
    </x:row>
    <x:row r="4">
      <x:c r="A4" s="182" t="str">
        <x:v>Field</x:v>
      </x:c>
      <x:c r="B4" s="182" t="str">
        <x:v>Value</x:v>
      </x:c>
      <x:c r="C4" s="182" t="str">
        <x:v>Unit</x:v>
      </x:c>
      <x:c r="D4" s="182" t="str">
        <x:v>Source Type</x:v>
      </x:c>
      <x:c r="E4" s="182" t="str">
        <x:v>As Of</x:v>
      </x:c>
      <x:c r="F4" s="182" t="str">
        <x:v>Source ID</x:v>
      </x:c>
      <x:c r="G4" s="182" t="str">
        <x:v>Evidence ID</x:v>
      </x:c>
      <x:c r="H4" s="182" t="str">
        <x:v>Validation</x:v>
      </x:c>
      <x:c r="M4" s="182" t="str">
        <x:v>Metric</x:v>
      </x:c>
      <x:c r="N4" s="182" t="str">
        <x:v>2025</x:v>
      </x:c>
      <x:c r="O4" s="182" t="str">
        <x:v>2026</x:v>
      </x:c>
      <x:c r="P4" s="182" t="str">
        <x:v>Unit</x:v>
      </x:c>
      <x:c r="Q4" s="182" t="str">
        <x:v>As Of</x:v>
      </x:c>
      <x:c r="R4" s="182" t="str">
        <x:v>Source ID</x:v>
      </x:c>
      <x:c r="S4" s="182" t="str">
        <x:v>Evidence ID</x:v>
      </x:c>
      <x:c r="T4" s="182" t="str">
        <x:v>Validation</x:v>
      </x:c>
      <x:c r="BD4" s="182" t="str">
        <x:v>날짜</x:v>
      </x:c>
      <x:c r="BE4" s="182" t="str">
        <x:v>투자의견</x:v>
      </x:c>
      <x:c r="BF4" s="182" t="str">
        <x:v>목표주가</x:v>
      </x:c>
      <x:c r="BG4" s="182" t="str">
        <x:v>괴리율(평균)</x:v>
      </x:c>
      <x:c r="BH4" s="182" t="str">
        <x:v>괴리율(최고/최저)</x:v>
      </x:c>
      <x:c r="BI4" s="182" t="str">
        <x:v>비고</x:v>
      </x:c>
      <x:c r="BK4" s="182" t="str">
        <x:v>BUY</x:v>
      </x:c>
      <x:c r="BL4" s="182" t="str">
        <x:v>NEUTRAL</x:v>
      </x:c>
      <x:c r="BM4" s="182" t="str">
        <x:v>REDUCE</x:v>
      </x:c>
      <x:c r="BN4" s="182" t="str">
        <x:v>As Of</x:v>
      </x:c>
      <x:c r="BO4" s="182" t="str">
        <x:v>Source ID</x:v>
      </x:c>
      <x:c r="BP4" s="182" t="str">
        <x:v>Evidence ID</x:v>
      </x:c>
      <x:c r="BQ4" s="182" t="str">
        <x:v>Validation</x:v>
      </x:c>
      <x:c r="BR4" s="182" t="str">
        <x:v>Date Label</x:v>
      </x:c>
      <x:c r="BS4" s="186" t="str">
        <x:v>p1.opinion</x:v>
      </x:c>
      <x:c r="BT4" s="186" t="str">
        <x:v>scalar</x:v>
      </x:c>
      <x:c r="BU4" s="186" t="str">
        <x:v>01_p1_투자의견</x:v>
      </x:c>
      <x:c r="BV4" s="186" t="str">
        <x:v>B6</x:v>
      </x:c>
      <x:c r="BW4" s="186" t="str">
        <x:v>_REFLO_BRIDGE!B10</x:v>
      </x:c>
      <x:c r="BX4" s="186" t="str">
        <x:v>approval</x:v>
      </x:c>
      <x:c r="BY4" s="186" t="str">
        <x:v>USER_JUDGMENT</x:v>
      </x:c>
      <x:c r="BZ4" s="186" t="str">
        <x:v>READY</x:v>
      </x:c>
      <x:c r="CB4" s="186" t="str">
        <x:v>DART</x:v>
      </x:c>
      <x:c r="CC4" s="186" t="str">
        <x:v>OpenDART</x:v>
      </x:c>
      <x:c r="CD4" s="186" t="str">
        <x:v>latest filing &lt;= cutoff_at</x:v>
      </x:c>
      <x:c r="CE4" s="186" t="str">
        <x:v>YES</x:v>
      </x:c>
      <x:c r="CF4" s="186" t="str">
        <x:v>immutable</x:v>
      </x:c>
      <x:c r="CG4" s="186" t="str">
        <x:v>blocked</x:v>
      </x:c>
      <x:c r="CH4" s="186" t="str">
        <x:v>user material</x:v>
      </x:c>
      <x:c r="CI4" s="186" t="str">
        <x:v>CONFIGURED</x:v>
      </x:c>
    </x:row>
    <x:row r="5">
      <x:c r="A5" s="186" t="str">
        <x:v>company_code</x:v>
      </x:c>
      <x:c r="B5" s="186" t="str">
        <x:v>353200</x:v>
      </x:c>
      <x:c r="C5" s="186"/>
      <x:c r="D5" s="186" t="str">
        <x:v>PROJECT</x:v>
      </x:c>
      <x:c r="E5" s="186"/>
      <x:c r="F5" s="186" t="str">
        <x:v>PROJECT_SETUP</x:v>
      </x:c>
      <x:c r="G5" s="186" t="str">
        <x:v>EV-PROJECT</x:v>
      </x:c>
      <x:c r="H5" s="186" t="str">
        <x:v>VALID</x:v>
      </x:c>
      <x:c r="M5" s="186" t="str">
        <x:v>Revenue</x:v>
      </x:c>
      <x:c r="N5" s="196" t="n">
        <x:v>1049.6</x:v>
      </x:c>
      <x:c r="O5" s="196" t="n">
        <x:v>1353.9</x:v>
      </x:c>
      <x:c r="P5" s="186" t="str">
        <x:v>KRW bn</x:v>
      </x:c>
      <x:c r="Q5" s="194" t="n">
        <x:v>46051</x:v>
      </x:c>
      <x:c r="R5" s="186" t="str">
        <x:v>LEGACY_REPORT_FNGUIDE</x:v>
      </x:c>
      <x:c r="S5" s="186" t="str">
        <x:v>EV-FG-REV</x:v>
      </x:c>
      <x:c r="T5" s="186" t="str">
        <x:v>PENDING_REFRESH</x:v>
      </x:c>
      <x:c r="AI5" t="str">
        <x:v>수주잔고</x:v>
      </x:c>
      <x:c r="AJ5" t="n">
        <x:v>640</x:v>
      </x:c>
      <x:c r="AK5" t="n">
        <x:v>1300</x:v>
      </x:c>
      <x:c r="AL5" t="n">
        <x:v>2070</x:v>
      </x:c>
      <x:c r="AM5" t="n">
        <x:v>1310</x:v>
      </x:c>
      <x:c r="AN5" t="n">
        <x:v>780</x:v>
      </x:c>
      <x:c r="AO5" t="n">
        <x:v>1100</x:v>
      </x:c>
      <x:c r="AP5" t="n">
        <x:v>610</x:v>
      </x:c>
      <x:c r="AQ5" t="n">
        <x:v>330</x:v>
      </x:c>
      <x:c r="AR5" t="n">
        <x:v>800</x:v>
      </x:c>
      <x:c r="AS5" t="n">
        <x:v>380</x:v>
      </x:c>
      <x:c r="AT5" t="n">
        <x:v>1010</x:v>
      </x:c>
      <x:c r="AU5" t="n">
        <x:v>340</x:v>
      </x:c>
      <x:c r="AV5" t="n">
        <x:v>730</x:v>
      </x:c>
      <x:c r="AW5" t="n">
        <x:v>690</x:v>
      </x:c>
      <x:c r="AX5" t="n">
        <x:v>780</x:v>
      </x:c>
      <x:c r="AY5" t="n">
        <x:v>360</x:v>
      </x:c>
      <x:c r="AZ5" t="n">
        <x:v>800</x:v>
      </x:c>
      <x:c r="BA5" t="n">
        <x:v>1290</x:v>
      </x:c>
      <x:c r="BB5" t="n">
        <x:v>3080</x:v>
      </x:c>
      <x:c r="BD5" s="186" t="str">
        <x:v>26.1.30</x:v>
      </x:c>
      <x:c r="BE5" s="186" t="str">
        <x:v>BUY</x:v>
      </x:c>
      <x:c r="BF5" s="186" t="n">
        <x:v>81000</x:v>
      </x:c>
      <x:c r="BG5" s="186"/>
      <x:c r="BH5" s="186"/>
      <x:c r="BI5" s="186"/>
      <x:c r="BK5" s="195" t="n">
        <x:v>0.9579</x:v>
      </x:c>
      <x:c r="BL5" s="195" t="n">
        <x:v>0.0421</x:v>
      </x:c>
      <x:c r="BM5" s="195" t="n">
        <x:v>0</x:v>
      </x:c>
      <x:c r="BN5" s="194" t="n">
        <x:v>46048</x:v>
      </x:c>
      <x:c r="BO5" s="186" t="str">
        <x:v>LEGACY_REPORT_COMPLIANCE</x:v>
      </x:c>
      <x:c r="BP5" s="186" t="str">
        <x:v>EV-COMPLIANCE</x:v>
      </x:c>
      <x:c r="BQ5" s="186" t="str">
        <x:v>PENDING_REFRESH</x:v>
      </x:c>
      <x:c r="BR5" s="186" t="str">
        <x:v>* 기준일: 2026년 01월 26일</x:v>
      </x:c>
      <x:c r="BS5" s="187" t="str">
        <x:v>p1.target_price</x:v>
      </x:c>
      <x:c r="BT5" s="187" t="str">
        <x:v>scalar</x:v>
      </x:c>
      <x:c r="BU5" s="187" t="str">
        <x:v>01_p1_투자의견</x:v>
      </x:c>
      <x:c r="BV5" s="187" t="str">
        <x:v>B7</x:v>
      </x:c>
      <x:c r="BW5" s="187" t="str">
        <x:v>M2!C15</x:v>
      </x:c>
      <x:c r="BX5" s="187" t="str">
        <x:v>formula</x:v>
      </x:c>
      <x:c r="BY5" s="187" t="str">
        <x:v>MODEL</x:v>
      </x:c>
      <x:c r="BZ5" s="187" t="str">
        <x:v>READY</x:v>
      </x:c>
      <x:c r="CB5" s="187" t="str">
        <x:v>KRX</x:v>
      </x:c>
      <x:c r="CC5" s="187" t="str">
        <x:v>KRX Open API</x:v>
      </x:c>
      <x:c r="CD5" s="187" t="str">
        <x:v>market date &lt;= cutoff_date</x:v>
      </x:c>
      <x:c r="CE5" s="187" t="str">
        <x:v>market only</x:v>
      </x:c>
      <x:c r="CF5" s="187" t="str">
        <x:v>immutable</x:v>
      </x:c>
      <x:c r="CG5" s="187" t="str">
        <x:v>blocked</x:v>
      </x:c>
      <x:c r="CH5" s="187" t="str">
        <x:v>approved market feed</x:v>
      </x:c>
      <x:c r="CI5" s="187" t="str">
        <x:v>WAIT_PERMISSION</x:v>
      </x:c>
    </x:row>
    <x:row r="6">
      <x:c r="A6" s="187" t="str">
        <x:v>company_name</x:v>
      </x:c>
      <x:c r="B6" s="187" t="str">
        <x:v>대덕전자</x:v>
      </x:c>
      <x:c r="C6" s="187"/>
      <x:c r="D6" s="187" t="str">
        <x:v>PROJECT</x:v>
      </x:c>
      <x:c r="E6" s="187"/>
      <x:c r="F6" s="187" t="str">
        <x:v>PROJECT_SETUP</x:v>
      </x:c>
      <x:c r="G6" s="187" t="str">
        <x:v>EV-PROJECT</x:v>
      </x:c>
      <x:c r="H6" s="187" t="str">
        <x:v>VALID</x:v>
      </x:c>
      <x:c r="M6" s="187" t="str">
        <x:v>Operating Income</x:v>
      </x:c>
      <x:c r="N6" s="193" t="n">
        <x:v>47</x:v>
      </x:c>
      <x:c r="O6" s="193" t="n">
        <x:v>155.9</x:v>
      </x:c>
      <x:c r="P6" s="187" t="str">
        <x:v>KRW bn</x:v>
      </x:c>
      <x:c r="Q6" s="188" t="n">
        <x:v>46051</x:v>
      </x:c>
      <x:c r="R6" s="187" t="str">
        <x:v>LEGACY_REPORT_FNGUIDE</x:v>
      </x:c>
      <x:c r="S6" s="187" t="str">
        <x:v>EV-FG-OP</x:v>
      </x:c>
      <x:c r="T6" s="187" t="str">
        <x:v>PENDING_REFRESH</x:v>
      </x:c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D6" s="187" t="str">
        <x:v>25.11.4</x:v>
      </x:c>
      <x:c r="BE6" s="187" t="str">
        <x:v>BUY</x:v>
      </x:c>
      <x:c r="BF6" s="187" t="n">
        <x:v>59000</x:v>
      </x:c>
      <x:c r="BG6" s="187" t="n">
        <x:v>-0.1853</x:v>
      </x:c>
      <x:c r="BH6" s="187" t="n">
        <x:v>-0.0763</x:v>
      </x:c>
      <x:c r="BI6" s="187"/>
      <x:c r="BS6" s="187" t="str">
        <x:v>p1.current_price</x:v>
      </x:c>
      <x:c r="BT6" s="187" t="str">
        <x:v>scalar</x:v>
      </x:c>
      <x:c r="BU6" s="187" t="str">
        <x:v>01_p1_투자의견</x:v>
      </x:c>
      <x:c r="BV6" s="187" t="str">
        <x:v>B8</x:v>
      </x:c>
      <x:c r="BW6" s="187" t="str">
        <x:v>_REFLO_BRIDGE!B15</x:v>
      </x:c>
      <x:c r="BX6" s="187" t="str">
        <x:v>automatic</x:v>
      </x:c>
      <x:c r="BY6" s="187" t="str">
        <x:v>KRX</x:v>
      </x:c>
      <x:c r="BZ6" s="187" t="str">
        <x:v>READY</x:v>
      </x:c>
      <x:c r="CB6" s="187" t="str">
        <x:v>COMPANY_IR</x:v>
      </x:c>
      <x:c r="CC6" s="187" t="str">
        <x:v>Company IR</x:v>
      </x:c>
      <x:c r="CD6" s="187" t="str">
        <x:v>published_at &lt;= cutoff_at</x:v>
      </x:c>
      <x:c r="CE6" s="187" t="str">
        <x:v>operating KPI</x:v>
      </x:c>
      <x:c r="CF6" s="187" t="str">
        <x:v>immutable</x:v>
      </x:c>
      <x:c r="CG6" s="187" t="str">
        <x:v>blocked</x:v>
      </x:c>
      <x:c r="CH6" s="187" t="str">
        <x:v>user upload</x:v>
      </x:c>
      <x:c r="CI6" s="187" t="str">
        <x:v>CONFIGURED</x:v>
      </x:c>
    </x:row>
    <x:row r="7">
      <x:c r="A7" s="187" t="str">
        <x:v>cutoff_date</x:v>
      </x:c>
      <x:c r="B7" s="188" t="n">
        <x:v>46051</x:v>
      </x:c>
      <x:c r="C7" s="187" t="str">
        <x:v>KST date</x:v>
      </x:c>
      <x:c r="D7" s="187" t="str">
        <x:v>PROJECT</x:v>
      </x:c>
      <x:c r="E7" s="188" t="n">
        <x:v>46051</x:v>
      </x:c>
      <x:c r="F7" s="187" t="str">
        <x:v>PROJECT_SETUP</x:v>
      </x:c>
      <x:c r="G7" s="187" t="str">
        <x:v>EV-CUTOFF</x:v>
      </x:c>
      <x:c r="H7" s="187" t="str">
        <x:v>VALID</x:v>
      </x:c>
      <x:c r="M7" s="187" t="str">
        <x:v>Net Income</x:v>
      </x:c>
      <x:c r="N7" s="193" t="n">
        <x:v>45.6</x:v>
      </x:c>
      <x:c r="O7" s="193" t="n">
        <x:v>133.9</x:v>
      </x:c>
      <x:c r="P7" s="187" t="str">
        <x:v>KRW bn</x:v>
      </x:c>
      <x:c r="Q7" s="188" t="n">
        <x:v>46051</x:v>
      </x:c>
      <x:c r="R7" s="187" t="str">
        <x:v>LEGACY_REPORT_FNGUIDE</x:v>
      </x:c>
      <x:c r="S7" s="187" t="str">
        <x:v>EV-FG-NI</x:v>
      </x:c>
      <x:c r="T7" s="187" t="str">
        <x:v>PENDING_REFRESH</x:v>
      </x:c>
      <x:c r="AI7" t="str">
        <x:v>자료: 대덕전자, 하나증권 (차트 이미지 판독 근사치, 억원)</x:v>
      </x:c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D7" s="187" t="str">
        <x:v>25.9.29</x:v>
      </x:c>
      <x:c r="BE7" s="187" t="str">
        <x:v>BUY</x:v>
      </x:c>
      <x:c r="BF7" s="187" t="n">
        <x:v>35000</x:v>
      </x:c>
      <x:c r="BG7" s="187" t="n">
        <x:v>-0.0302</x:v>
      </x:c>
      <x:c r="BH7" s="187" t="n">
        <x:v>0.1386</x:v>
      </x:c>
      <x:c r="BI7" s="187"/>
      <x:c r="BS7" s="187" t="str">
        <x:v>p1.key_data</x:v>
      </x:c>
      <x:c r="BT7" s="187" t="str">
        <x:v>table</x:v>
      </x:c>
      <x:c r="BU7" s="187" t="str">
        <x:v>01A_p1_KeyData</x:v>
      </x:c>
      <x:c r="BV7" s="187" t="str">
        <x:v>A5:C19</x:v>
      </x:c>
      <x:c r="BW7" s="187" t="str">
        <x:v>_REFLO_BRIDGE!A14:H29</x:v>
      </x:c>
      <x:c r="BX7" s="187" t="str">
        <x:v>automatic</x:v>
      </x:c>
      <x:c r="BY7" s="187" t="str">
        <x:v>KRX/DART</x:v>
      </x:c>
      <x:c r="BZ7" s="187" t="str">
        <x:v>READY</x:v>
      </x:c>
      <x:c r="CB7" s="187" t="str">
        <x:v>FNGUIDE_CONSENSUS</x:v>
      </x:c>
      <x:c r="CC7" s="187" t="str">
        <x:v>FnGuide JSON</x:v>
      </x:c>
      <x:c r="CD7" s="187" t="str">
        <x:v>latest snapshot &lt;= cutoff_at</x:v>
      </x:c>
      <x:c r="CE7" s="187" t="str">
        <x:v>NO</x:v>
      </x:c>
      <x:c r="CF7" s="187" t="str">
        <x:v>immutable</x:v>
      </x:c>
      <x:c r="CG7" s="187" t="str">
        <x:v>blocked</x:v>
      </x:c>
      <x:c r="CH7" s="187" t="str">
        <x:v>stale approval/upload</x:v>
      </x:c>
      <x:c r="CI7" s="187" t="str">
        <x:v>WAIT_PROVIDER</x:v>
      </x:c>
    </x:row>
    <x:row r="8">
      <x:c r="A8" s="187" t="str">
        <x:v>publication_date</x:v>
      </x:c>
      <x:c r="B8" s="188" t="n">
        <x:v>46052</x:v>
      </x:c>
      <x:c r="C8" s="187" t="str">
        <x:v>KST date</x:v>
      </x:c>
      <x:c r="D8" s="187" t="str">
        <x:v>PROJECT</x:v>
      </x:c>
      <x:c r="E8" s="188" t="n">
        <x:v>46052</x:v>
      </x:c>
      <x:c r="F8" s="187" t="str">
        <x:v>PROJECT_SETUP</x:v>
      </x:c>
      <x:c r="G8" s="187" t="str">
        <x:v>EV-PUBLICATION</x:v>
      </x:c>
      <x:c r="H8" s="187" t="str">
        <x:v>VALID</x:v>
      </x:c>
      <x:c r="M8" s="187" t="str">
        <x:v>EPS</x:v>
      </x:c>
      <x:c r="N8" s="193" t="n">
        <x:v>887</x:v>
      </x:c>
      <x:c r="O8" s="193" t="n">
        <x:v>2579</x:v>
      </x:c>
      <x:c r="P8" s="187" t="str">
        <x:v>KRW/share</x:v>
      </x:c>
      <x:c r="Q8" s="188" t="n">
        <x:v>46051</x:v>
      </x:c>
      <x:c r="R8" s="187" t="str">
        <x:v>LEGACY_REPORT_FNGUIDE</x:v>
      </x:c>
      <x:c r="S8" s="187" t="str">
        <x:v>EV-FG-EPS</x:v>
      </x:c>
      <x:c r="T8" s="187" t="str">
        <x:v>PENDING_REFRESH</x:v>
      </x:c>
      <x:c r="AI8" t="str">
        <x:v>주) 수주잔고는 IFRS 표준 공시 항목이 아니며 대덕전자·하나증권이 제공한 수치로, DART XBRL(사업보고서·분기보고서)에서 구조화된 형태로 확인되지 않았습니다. 임의 추정이 아니라 원문 차트의 눈금을 읽은 근사치임을 밝혀둡니다 (마지막 분기 3Q25 ≈3,080억원으로 최대치를 기록).</x:v>
      </x:c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D8" s="187" t="str">
        <x:v>25.7.29</x:v>
      </x:c>
      <x:c r="BE8" s="187" t="str">
        <x:v>BUY</x:v>
      </x:c>
      <x:c r="BF8" s="187" t="n">
        <x:v>32000</x:v>
      </x:c>
      <x:c r="BG8" s="187" t="n">
        <x:v>-0.236</x:v>
      </x:c>
      <x:c r="BH8" s="187" t="n">
        <x:v>-0.0906</x:v>
      </x:c>
      <x:c r="BI8" s="187"/>
      <x:c r="BS8" s="187" t="str">
        <x:v>p1.consensus</x:v>
      </x:c>
      <x:c r="BT8" s="187" t="str">
        <x:v>table</x:v>
      </x:c>
      <x:c r="BU8" s="187" t="str">
        <x:v>02_p1_Consensus</x:v>
      </x:c>
      <x:c r="BV8" s="187" t="str">
        <x:v>A4:D9</x:v>
      </x:c>
      <x:c r="BW8" s="187" t="str">
        <x:v>_REFLO_BRIDGE!M4:T9</x:v>
      </x:c>
      <x:c r="BX8" s="187" t="str">
        <x:v>automatic</x:v>
      </x:c>
      <x:c r="BY8" s="187" t="str">
        <x:v>FNGUIDE_CONSENSUS</x:v>
      </x:c>
      <x:c r="BZ8" s="187" t="str">
        <x:v>READY</x:v>
      </x:c>
      <x:c r="CB8" s="187" t="str">
        <x:v>REPORT_DB</x:v>
      </x:c>
      <x:c r="CC8" s="187" t="str">
        <x:v>REFLO project DB</x:v>
      </x:c>
      <x:c r="CD8" s="187" t="str">
        <x:v>latest approved version</x:v>
      </x:c>
      <x:c r="CE8" s="187" t="str">
        <x:v>rating/TP history</x:v>
      </x:c>
      <x:c r="CF8" s="187" t="str">
        <x:v>versioned</x:v>
      </x:c>
      <x:c r="CG8" s="187" t="str">
        <x:v>blocked</x:v>
      </x:c>
      <x:c r="CH8" s="187" t="str">
        <x:v>legacy report</x:v>
      </x:c>
      <x:c r="CI8" s="187" t="str">
        <x:v>CONFIGURED</x:v>
      </x:c>
    </x:row>
    <x:row r="9">
      <x:c r="A9" s="187" t="str">
        <x:v>consolidation_basis</x:v>
      </x:c>
      <x:c r="B9" s="187" t="str">
        <x:v>C</x:v>
      </x:c>
      <x:c r="C9" s="187" t="str">
        <x:v>C/P</x:v>
      </x:c>
      <x:c r="D9" s="187" t="str">
        <x:v>PROJECT</x:v>
      </x:c>
      <x:c r="E9" s="188"/>
      <x:c r="F9" s="187" t="str">
        <x:v>PROJECT_SETUP</x:v>
      </x:c>
      <x:c r="G9" s="187" t="str">
        <x:v>EV-BASIS</x:v>
      </x:c>
      <x:c r="H9" s="187" t="str">
        <x:v>REVIEW</x:v>
      </x:c>
      <x:c r="M9" s="187" t="str">
        <x:v>BPS</x:v>
      </x:c>
      <x:c r="N9" s="193" t="n">
        <x:v>17520</x:v>
      </x:c>
      <x:c r="O9" s="193" t="n">
        <x:v>19891</x:v>
      </x:c>
      <x:c r="P9" s="187" t="str">
        <x:v>KRW/share</x:v>
      </x:c>
      <x:c r="Q9" s="188" t="n">
        <x:v>46051</x:v>
      </x:c>
      <x:c r="R9" s="187" t="str">
        <x:v>LEGACY_REPORT_FNGUIDE</x:v>
      </x:c>
      <x:c r="S9" s="187" t="str">
        <x:v>EV-FG-BPS</x:v>
      </x:c>
      <x:c r="T9" s="187" t="str">
        <x:v>PENDING_REFRESH</x:v>
      </x:c>
      <x:c r="BD9" s="187" t="str">
        <x:v>25.5.21</x:v>
      </x:c>
      <x:c r="BE9" s="187" t="str">
        <x:v>BUY</x:v>
      </x:c>
      <x:c r="BF9" s="187" t="n">
        <x:v>20000</x:v>
      </x:c>
      <x:c r="BG9" s="187" t="n">
        <x:v>-0.139</x:v>
      </x:c>
      <x:c r="BH9" s="187" t="n">
        <x:v>0.0375</x:v>
      </x:c>
      <x:c r="BI9" s="187"/>
      <x:c r="BS9" s="187" t="str">
        <x:v>p1.stock_price</x:v>
      </x:c>
      <x:c r="BT9" s="187" t="str">
        <x:v>chart</x:v>
      </x:c>
      <x:c r="BU9" s="187" t="str">
        <x:v>03_p1_주가추이</x:v>
      </x:c>
      <x:c r="BV9" s="187" t="str">
        <x:v>A14:G74</x:v>
      </x:c>
      <x:c r="BW9" s="187" t="str">
        <x:v>_REFLO_BRIDGE!A32:J92</x:v>
      </x:c>
      <x:c r="BX9" s="187" t="str">
        <x:v>automatic</x:v>
      </x:c>
      <x:c r="BY9" s="187" t="str">
        <x:v>KRX</x:v>
      </x:c>
      <x:c r="BZ9" s="187" t="str">
        <x:v>WAIT_DATA</x:v>
      </x:c>
      <x:c r="CB9" s="187" t="str">
        <x:v>USER_JUDGMENT</x:v>
      </x:c>
      <x:c r="CC9" s="187" t="str">
        <x:v>Analyst approval</x:v>
      </x:c>
      <x:c r="CD9" s="187" t="str">
        <x:v>approved version only</x:v>
      </x:c>
      <x:c r="CE9" s="187" t="str">
        <x:v>forecast/valuation</x:v>
      </x:c>
      <x:c r="CF9" s="187" t="str">
        <x:v>versioned</x:v>
      </x:c>
      <x:c r="CG9" s="187" t="str">
        <x:v>n/a</x:v>
      </x:c>
      <x:c r="CH9" s="187" t="str">
        <x:v>none</x:v>
      </x:c>
      <x:c r="CI9" s="187" t="str">
        <x:v>REQUIRED</x:v>
      </x:c>
    </x:row>
    <x:row r="10">
      <x:c r="A10" s="187" t="str">
        <x:v>final_opinion</x:v>
      </x:c>
      <x:c r="B10" s="187" t="str">
        <x:v>BUY (유지)</x:v>
      </x:c>
      <x:c r="C10" s="187"/>
      <x:c r="D10" s="187" t="str">
        <x:v>USER_JUDGMENT</x:v>
      </x:c>
      <x:c r="E10" s="188" t="n">
        <x:v>46052</x:v>
      </x:c>
      <x:c r="F10" s="187" t="str">
        <x:v>LEGACY_REPORT</x:v>
      </x:c>
      <x:c r="G10" s="187" t="str">
        <x:v>EV-OPINION</x:v>
      </x:c>
      <x:c r="H10" s="187" t="str">
        <x:v>APPROVED</x:v>
      </x:c>
      <x:c r="BD10" s="187" t="str">
        <x:v>25.5.13</x:v>
      </x:c>
      <x:c r="BE10" s="187" t="str">
        <x:v>BUY</x:v>
      </x:c>
      <x:c r="BF10" s="187" t="n">
        <x:v>23000</x:v>
      </x:c>
      <x:c r="BG10" s="187" t="n">
        <x:v>-0.3443</x:v>
      </x:c>
      <x:c r="BH10" s="187" t="n">
        <x:v>-0.3152</x:v>
      </x:c>
      <x:c r="BI10" s="187"/>
      <x:c r="BS10" s="187" t="str">
        <x:v>p2.valuation</x:v>
      </x:c>
      <x:c r="BT10" s="187" t="str">
        <x:v>table</x:v>
      </x:c>
      <x:c r="BU10" s="187" t="str">
        <x:v>05_도표1_Valuation</x:v>
      </x:c>
      <x:c r="BV10" s="187" t="str">
        <x:v>A5:E19</x:v>
      </x:c>
      <x:c r="BW10" s="187" t="str">
        <x:v>M2!A5:E24</x:v>
      </x:c>
      <x:c r="BX10" s="187" t="str">
        <x:v>formula</x:v>
      </x:c>
      <x:c r="BY10" s="187" t="str">
        <x:v>MODEL</x:v>
      </x:c>
      <x:c r="BZ10" s="187" t="str">
        <x:v>READY</x:v>
      </x:c>
      <x:c r="CB10" s="187" t="str">
        <x:v>COMPLIANCE</x:v>
      </x:c>
      <x:c r="CC10" s="187" t="str">
        <x:v>Internal dataset</x:v>
      </x:c>
      <x:c r="CD10" s="187" t="str">
        <x:v>latest approved policy</x:v>
      </x:c>
      <x:c r="CE10" s="187" t="str">
        <x:v>disclosure only</x:v>
      </x:c>
      <x:c r="CF10" s="187" t="str">
        <x:v>versioned</x:v>
      </x:c>
      <x:c r="CG10" s="187" t="str">
        <x:v>blocked</x:v>
      </x:c>
      <x:c r="CH10" s="187" t="str">
        <x:v>admin upload</x:v>
      </x:c>
      <x:c r="CI10" s="187" t="str">
        <x:v>WAIT_FEED</x:v>
      </x:c>
    </x:row>
    <x:row r="11">
      <x:c r="A11" s="187" t="str">
        <x:v>previous_target_price</x:v>
      </x:c>
      <x:c r="B11" s="189" t="n">
        <x:v>59000</x:v>
      </x:c>
      <x:c r="C11" s="187" t="str">
        <x:v>KRW</x:v>
      </x:c>
      <x:c r="D11" s="187" t="str">
        <x:v>LEGACY_REPORT</x:v>
      </x:c>
      <x:c r="E11" s="188" t="n">
        <x:v>45965</x:v>
      </x:c>
      <x:c r="F11" s="187" t="str">
        <x:v>LEGACY_REPORT</x:v>
      </x:c>
      <x:c r="G11" s="187" t="str">
        <x:v>EV-TP-PREV</x:v>
      </x:c>
      <x:c r="H11" s="187" t="str">
        <x:v>VALID</x:v>
      </x:c>
      <x:c r="BD11" s="187" t="str">
        <x:v>25.5.13</x:v>
      </x:c>
      <x:c r="BE11" s="187" t="str">
        <x:v>담당자 변경</x:v>
      </x:c>
      <x:c r="BF11" s="187"/>
      <x:c r="BG11" s="187"/>
      <x:c r="BH11" s="187"/>
      <x:c r="BI11" s="187"/>
      <x:c r="BS11" s="187" t="str">
        <x:v>p2.per_band</x:v>
      </x:c>
      <x:c r="BT11" s="187" t="str">
        <x:v>chart</x:v>
      </x:c>
      <x:c r="BU11" s="187" t="str">
        <x:v>06_도표2_PER_Band</x:v>
      </x:c>
      <x:c r="BV11" s="187" t="str">
        <x:v>G4:P64</x:v>
      </x:c>
      <x:c r="BW11" s="187" t="str">
        <x:v>_REFLO_BRIDGE!M13:V73</x:v>
      </x:c>
      <x:c r="BX11" s="187" t="str">
        <x:v>automatic</x:v>
      </x:c>
      <x:c r="BY11" s="187" t="str">
        <x:v>FNGUIDE/KRX</x:v>
      </x:c>
      <x:c r="BZ11" s="187" t="str">
        <x:v>WAIT_DATA</x:v>
      </x:c>
      <x:c r="CB11" s="187" t="str">
        <x:v>MODEL</x:v>
      </x:c>
      <x:c r="CC11" s="187" t="str">
        <x:v>ClosedXML calculation</x:v>
      </x:c>
      <x:c r="CD11" s="187" t="str">
        <x:v>approved inputs</x:v>
      </x:c>
      <x:c r="CE11" s="187" t="str">
        <x:v>derived</x:v>
      </x:c>
      <x:c r="CF11" s="187" t="str">
        <x:v>report version</x:v>
      </x:c>
      <x:c r="CG11" s="187" t="str">
        <x:v>n/a</x:v>
      </x:c>
      <x:c r="CH11" s="187" t="str">
        <x:v>none</x:v>
      </x:c>
      <x:c r="CI11" s="187" t="str">
        <x:v>CONFIGURED</x:v>
      </x:c>
    </x:row>
    <x:row r="12">
      <x:c r="M12" s="176" t="str">
        <x:v>FNGUIDE HISTORICAL FORWARD EPS — 12MF P/E BAND</x:v>
      </x:c>
      <x:c r="N12" s="176" t="str">
        <x:v>FNGUIDE HISTORICAL FORWARD EPS — 12MF P/E BAND</x:v>
      </x:c>
      <x:c r="O12" s="176" t="str">
        <x:v>FNGUIDE HISTORICAL FORWARD EPS — 12MF P/E BAND</x:v>
      </x:c>
      <x:c r="P12" s="176" t="str">
        <x:v>FNGUIDE HISTORICAL FORWARD EPS — 12MF P/E BAND</x:v>
      </x:c>
      <x:c r="Q12" s="176" t="str">
        <x:v>FNGUIDE HISTORICAL FORWARD EPS — 12MF P/E BAND</x:v>
      </x:c>
      <x:c r="R12" s="176" t="str">
        <x:v>FNGUIDE HISTORICAL FORWARD EPS — 12MF P/E BAND</x:v>
      </x:c>
      <x:c r="S12" s="176" t="str">
        <x:v>FNGUIDE HISTORICAL FORWARD EPS — 12MF P/E BAND</x:v>
      </x:c>
      <x:c r="T12" s="176" t="str">
        <x:v>FNGUIDE HISTORICAL FORWARD EPS — 12MF P/E BAND</x:v>
      </x:c>
      <x:c r="U12" s="176" t="str">
        <x:v>FNGUIDE HISTORICAL FORWARD EPS — 12MF P/E BAND</x:v>
      </x:c>
      <x:c r="V12" s="176" t="str">
        <x:v>FNGUIDE HISTORICAL FORWARD EPS — 12MF P/E BAND</x:v>
      </x:c>
      <x:c r="X12" s="176" t="str">
        <x:v>DART HISTORICAL BPS — HISTORICAL P/B BAND</x:v>
      </x:c>
      <x:c r="Y12" s="176" t="str">
        <x:v>DART HISTORICAL BPS — HISTORICAL P/B BAND</x:v>
      </x:c>
      <x:c r="Z12" s="176" t="str">
        <x:v>DART HISTORICAL BPS — HISTORICAL P/B BAND</x:v>
      </x:c>
      <x:c r="AA12" s="176" t="str">
        <x:v>DART HISTORICAL BPS — HISTORICAL P/B BAND</x:v>
      </x:c>
      <x:c r="AB12" s="176" t="str">
        <x:v>DART HISTORICAL BPS — HISTORICAL P/B BAND</x:v>
      </x:c>
      <x:c r="AC12" s="176" t="str">
        <x:v>DART HISTORICAL BPS — HISTORICAL P/B BAND</x:v>
      </x:c>
      <x:c r="AD12" s="176" t="str">
        <x:v>DART HISTORICAL BPS — HISTORICAL P/B BAND</x:v>
      </x:c>
      <x:c r="AE12" s="176" t="str">
        <x:v>DART HISTORICAL BPS — HISTORICAL P/B BAND</x:v>
      </x:c>
      <x:c r="AF12" s="176" t="str">
        <x:v>DART HISTORICAL BPS — HISTORICAL P/B BAND</x:v>
      </x:c>
      <x:c r="AG12" s="176" t="str">
        <x:v>DART HISTORICAL BPS — HISTORICAL P/B BAND</x:v>
      </x:c>
      <x:c r="BD12" s="187" t="str">
        <x:v>25.2.4</x:v>
      </x:c>
      <x:c r="BE12" s="187" t="str">
        <x:v>BUY</x:v>
      </x:c>
      <x:c r="BF12" s="187" t="n">
        <x:v>23000</x:v>
      </x:c>
      <x:c r="BG12" s="187" t="n">
        <x:v>-0.2739</x:v>
      </x:c>
      <x:c r="BH12" s="187" t="n">
        <x:v>-0.0935</x:v>
      </x:c>
      <x:c r="BI12" s="187"/>
      <x:c r="BS12" s="187" t="str">
        <x:v>p2.pbr_band</x:v>
      </x:c>
      <x:c r="BT12" s="187" t="str">
        <x:v>chart</x:v>
      </x:c>
      <x:c r="BU12" s="187" t="str">
        <x:v>07_도표3_PBR_Band</x:v>
      </x:c>
      <x:c r="BV12" s="187" t="str">
        <x:v>G4:P24</x:v>
      </x:c>
      <x:c r="BW12" s="187" t="str">
        <x:v>_REFLO_BRIDGE!X13:AG33</x:v>
      </x:c>
      <x:c r="BX12" s="187" t="str">
        <x:v>automatic</x:v>
      </x:c>
      <x:c r="BY12" s="187" t="str">
        <x:v>DART/KRX</x:v>
      </x:c>
      <x:c r="BZ12" s="187" t="str">
        <x:v>WAIT_DATA</x:v>
      </x:c>
    </x:row>
    <x:row r="13">
      <x:c r="A13" s="176" t="str">
        <x:v>MARKET LATEST — KRX</x:v>
      </x:c>
      <x:c r="B13" s="176" t="str">
        <x:v>MARKET LATEST — KRX</x:v>
      </x:c>
      <x:c r="C13" s="176" t="str">
        <x:v>MARKET LATEST — KRX</x:v>
      </x:c>
      <x:c r="D13" s="176" t="str">
        <x:v>MARKET LATEST — KRX</x:v>
      </x:c>
      <x:c r="E13" s="176" t="str">
        <x:v>MARKET LATEST — KRX</x:v>
      </x:c>
      <x:c r="F13" s="176" t="str">
        <x:v>MARKET LATEST — KRX</x:v>
      </x:c>
      <x:c r="G13" s="176" t="str">
        <x:v>MARKET LATEST — KRX</x:v>
      </x:c>
      <x:c r="H13" s="176" t="str">
        <x:v>MARKET LATEST — KRX</x:v>
      </x:c>
      <x:c r="M13" s="182" t="str">
        <x:v>Date</x:v>
      </x:c>
      <x:c r="N13" s="182" t="str">
        <x:v>Date Label</x:v>
      </x:c>
      <x:c r="O13" s="182" t="str">
        <x:v>Forward EPS</x:v>
      </x:c>
      <x:c r="P13" s="182" t="str">
        <x:v>Adjusted Price</x:v>
      </x:c>
      <x:c r="Q13" s="182" t="str">
        <x:v>30x</x:v>
      </x:c>
      <x:c r="R13" s="182" t="str">
        <x:v>25x</x:v>
      </x:c>
      <x:c r="S13" s="182" t="str">
        <x:v>20x</x:v>
      </x:c>
      <x:c r="T13" s="182" t="str">
        <x:v>15x</x:v>
      </x:c>
      <x:c r="U13" s="182" t="str">
        <x:v>10x</x:v>
      </x:c>
      <x:c r="V13" s="182" t="str">
        <x:v>Source ID</x:v>
      </x:c>
      <x:c r="X13" s="182" t="str">
        <x:v>Date</x:v>
      </x:c>
      <x:c r="Y13" s="182" t="str">
        <x:v>Date Label</x:v>
      </x:c>
      <x:c r="Z13" s="182" t="str">
        <x:v>Actual BPS</x:v>
      </x:c>
      <x:c r="AA13" s="182" t="str">
        <x:v>Adjusted Price</x:v>
      </x:c>
      <x:c r="AB13" s="182" t="str">
        <x:v>2.6x</x:v>
      </x:c>
      <x:c r="AC13" s="182" t="str">
        <x:v>2.1x</x:v>
      </x:c>
      <x:c r="AD13" s="182" t="str">
        <x:v>1.7x</x:v>
      </x:c>
      <x:c r="AE13" s="182" t="str">
        <x:v>1.2x</x:v>
      </x:c>
      <x:c r="AF13" s="182" t="str">
        <x:v>0.8x</x:v>
      </x:c>
      <x:c r="AG13" s="182" t="str">
        <x:v>Source ID</x:v>
      </x:c>
      <x:c r="BD13" s="187" t="str">
        <x:v>24.11.1</x:v>
      </x:c>
      <x:c r="BE13" s="187" t="str">
        <x:v>BUY</x:v>
      </x:c>
      <x:c r="BF13" s="187" t="n">
        <x:v>25000</x:v>
      </x:c>
      <x:c r="BG13" s="187" t="n">
        <x:v>-0.3599</x:v>
      </x:c>
      <x:c r="BH13" s="187" t="n">
        <x:v>-0.2</x:v>
      </x:c>
      <x:c r="BI13" s="187"/>
      <x:c r="BS13" s="187" t="str">
        <x:v>p2.quarterly_results</x:v>
      </x:c>
      <x:c r="BT13" s="187" t="str">
        <x:v>chart</x:v>
      </x:c>
      <x:c r="BU13" s="187" t="str">
        <x:v>08_도표4_분기실적추이</x:v>
      </x:c>
      <x:c r="BV13" s="187" t="str">
        <x:v>A1:Y31</x:v>
      </x:c>
      <x:c r="BW13" s="187" t="str">
        <x:v>M1</x:v>
      </x:c>
      <x:c r="BX13" s="187" t="str">
        <x:v>formula</x:v>
      </x:c>
      <x:c r="BY13" s="187" t="str">
        <x:v>DART/IR/MODEL</x:v>
      </x:c>
      <x:c r="BZ13" s="187" t="str">
        <x:v>READY</x:v>
      </x:c>
    </x:row>
    <x:row r="14">
      <x:c r="A14" s="182" t="str">
        <x:v>Metric</x:v>
      </x:c>
      <x:c r="B14" s="182" t="str">
        <x:v>Value</x:v>
      </x:c>
      <x:c r="C14" s="182" t="str">
        <x:v>Unit</x:v>
      </x:c>
      <x:c r="D14" s="182" t="str">
        <x:v>Source Type</x:v>
      </x:c>
      <x:c r="E14" s="182" t="str">
        <x:v>As Of</x:v>
      </x:c>
      <x:c r="F14" s="182" t="str">
        <x:v>Source ID</x:v>
      </x:c>
      <x:c r="G14" s="182" t="str">
        <x:v>Evidence ID</x:v>
      </x:c>
      <x:c r="H14" s="182" t="str">
        <x:v>Validation</x:v>
      </x:c>
      <x:c r="M14" s="194" t="n">
        <x:v>46051</x:v>
      </x:c>
      <x:c r="N14" s="186" t="str">
        <x:v>2026-01</x:v>
      </x:c>
      <x:c r="O14" s="197"/>
      <x:c r="P14" s="197" t="n">
        <x:v>52500</x:v>
      </x:c>
      <x:c r="Q14" s="197" t="str">
        <x:f>IF($O14="","",$O14*30)</x:f>
      </x:c>
      <x:c r="R14" s="197" t="str">
        <x:f>IF($O14="","",$O14*25)</x:f>
      </x:c>
      <x:c r="S14" s="197" t="str">
        <x:f>IF($O14="","",$O14*20)</x:f>
      </x:c>
      <x:c r="T14" s="197" t="str">
        <x:f>IF($O14="","",$O14*15)</x:f>
      </x:c>
      <x:c r="U14" s="197" t="str">
        <x:f>IF($O14="","",$O14*10)</x:f>
      </x:c>
      <x:c r="V14" s="186" t="str">
        <x:v>PENDING_FNGUIDE_REFRESH</x:v>
      </x:c>
      <x:c r="X14" s="194" t="n">
        <x:v>45657</x:v>
      </x:c>
      <x:c r="Y14" s="186" t="str">
        <x:v>2024A</x:v>
      </x:c>
      <x:c r="Z14" s="197" t="n">
        <x:v>16996</x:v>
      </x:c>
      <x:c r="AA14" s="197"/>
      <x:c r="AB14" s="197" t="n">
        <x:f>IF($Z14="","",$Z14*2.6)</x:f>
        <x:v>44189.6</x:v>
      </x:c>
      <x:c r="AC14" s="197" t="n">
        <x:f>IF($Z14="","",$Z14*2.1)</x:f>
        <x:v>35691.6</x:v>
      </x:c>
      <x:c r="AD14" s="197" t="n">
        <x:f>IF($Z14="","",$Z14*1.7)</x:f>
        <x:v>28893.2</x:v>
      </x:c>
      <x:c r="AE14" s="197" t="n">
        <x:f>IF($Z14="","",$Z14*1.2)</x:f>
        <x:v>20395.2</x:v>
      </x:c>
      <x:c r="AF14" s="197" t="n">
        <x:f>IF($Z14="","",$Z14*0.8)</x:f>
        <x:v>13596.800000000001</x:v>
      </x:c>
      <x:c r="AG14" s="186" t="str">
        <x:v>LEGACY_REPORT_DART</x:v>
      </x:c>
      <x:c r="BD14" s="187" t="str">
        <x:v>24.2.7</x:v>
      </x:c>
      <x:c r="BE14" s="187" t="str">
        <x:v>BUY</x:v>
      </x:c>
      <x:c r="BF14" s="187" t="n">
        <x:v>30000</x:v>
      </x:c>
      <x:c r="BG14" s="187" t="n">
        <x:v>-0.2719</x:v>
      </x:c>
      <x:c r="BH14" s="187" t="n">
        <x:v>-0.1</x:v>
      </x:c>
      <x:c r="BI14" s="187"/>
      <x:c r="BS14" s="187" t="str">
        <x:v>p2.order_backlog</x:v>
      </x:c>
      <x:c r="BT14" s="187" t="str">
        <x:v>chart</x:v>
      </x:c>
      <x:c r="BU14" s="187" t="str">
        <x:v>09_도표5_수주잔고추이</x:v>
      </x:c>
      <x:c r="BV14" s="187" t="str">
        <x:v>A4:T8</x:v>
      </x:c>
      <x:c r="BW14" s="187" t="str">
        <x:v>_REFLO_BRIDGE!AI5:BB8</x:v>
      </x:c>
      <x:c r="BX14" s="187" t="str">
        <x:v>automatic</x:v>
      </x:c>
      <x:c r="BY14" s="187" t="str">
        <x:v>COMPANY_IR</x:v>
      </x:c>
      <x:c r="BZ14" s="187" t="str">
        <x:v>READY</x:v>
      </x:c>
    </x:row>
    <x:row r="15">
      <x:c r="A15" s="186" t="str">
        <x:v>current_price</x:v>
      </x:c>
      <x:c r="B15" s="190" t="n">
        <x:v>52500</x:v>
      </x:c>
      <x:c r="C15" s="186" t="str">
        <x:v>KRW</x:v>
      </x:c>
      <x:c r="D15" s="186" t="str">
        <x:v>KRX</x:v>
      </x:c>
      <x:c r="E15" s="194" t="n">
        <x:v>46051</x:v>
      </x:c>
      <x:c r="F15" s="186" t="str">
        <x:v>LEGACY_REPORT_KRX</x:v>
      </x:c>
      <x:c r="G15" s="186" t="str">
        <x:v>EV-KRX-PRICE</x:v>
      </x:c>
      <x:c r="H15" s="186" t="str">
        <x:v>PENDING_REFRESH</x:v>
      </x:c>
      <x:c r="M15" s="188"/>
      <x:c r="N15" s="187"/>
      <x:c r="O15" s="189"/>
      <x:c r="P15" s="189"/>
      <x:c r="Q15" s="189"/>
      <x:c r="R15" s="189"/>
      <x:c r="S15" s="189"/>
      <x:c r="T15" s="189"/>
      <x:c r="U15" s="189"/>
      <x:c r="V15" s="187"/>
      <x:c r="X15" s="188"/>
      <x:c r="Y15" s="187"/>
      <x:c r="Z15" s="189"/>
      <x:c r="AA15" s="189"/>
      <x:c r="AB15" s="189"/>
      <x:c r="AC15" s="189"/>
      <x:c r="AD15" s="189"/>
      <x:c r="AE15" s="189"/>
      <x:c r="AF15" s="189"/>
      <x:c r="AG15" s="187"/>
      <x:c r="BS15" s="187" t="str">
        <x:v>p3.revised_estimates</x:v>
      </x:c>
      <x:c r="BT15" s="187" t="str">
        <x:v>table</x:v>
      </x:c>
      <x:c r="BU15" s="187" t="str">
        <x:v>10_도표6_분기실적전망_수정후</x:v>
      </x:c>
      <x:c r="BV15" s="187" t="str">
        <x:v>A4:M30</x:v>
      </x:c>
      <x:c r="BW15" s="187" t="str">
        <x:v>M1</x:v>
      </x:c>
      <x:c r="BX15" s="187" t="str">
        <x:v>formula</x:v>
      </x:c>
      <x:c r="BY15" s="187" t="str">
        <x:v>MODEL</x:v>
      </x:c>
      <x:c r="BZ15" s="187" t="str">
        <x:v>READY</x:v>
      </x:c>
    </x:row>
    <x:row r="16">
      <x:c r="A16" s="187" t="str">
        <x:v>kospi_index</x:v>
      </x:c>
      <x:c r="B16" s="191" t="n">
        <x:v>5221.25</x:v>
      </x:c>
      <x:c r="C16" s="187" t="str">
        <x:v>pt</x:v>
      </x:c>
      <x:c r="D16" s="187" t="str">
        <x:v>KRX</x:v>
      </x:c>
      <x:c r="E16" s="188" t="n">
        <x:v>46051</x:v>
      </x:c>
      <x:c r="F16" s="187" t="str">
        <x:v>LEGACY_REPORT_KRX</x:v>
      </x:c>
      <x:c r="G16" s="187" t="str">
        <x:v>EV-KRX-KOSPI</x:v>
      </x:c>
      <x:c r="H16" s="187" t="str">
        <x:v>PENDING_REFRESH</x:v>
      </x:c>
      <x:c r="M16" s="188"/>
      <x:c r="N16" s="187"/>
      <x:c r="O16" s="189"/>
      <x:c r="P16" s="189"/>
      <x:c r="Q16" s="189"/>
      <x:c r="R16" s="189"/>
      <x:c r="S16" s="189"/>
      <x:c r="T16" s="189"/>
      <x:c r="U16" s="189"/>
      <x:c r="V16" s="187"/>
      <x:c r="X16" s="188"/>
      <x:c r="Y16" s="187"/>
      <x:c r="Z16" s="189"/>
      <x:c r="AA16" s="189"/>
      <x:c r="AB16" s="189"/>
      <x:c r="AC16" s="189"/>
      <x:c r="AD16" s="189"/>
      <x:c r="AE16" s="189"/>
      <x:c r="AF16" s="189"/>
      <x:c r="AG16" s="187"/>
      <x:c r="BS16" s="187" t="str">
        <x:v>p3.before_estimates</x:v>
      </x:c>
      <x:c r="BT16" s="187" t="str">
        <x:v>table</x:v>
      </x:c>
      <x:c r="BU16" s="187" t="str">
        <x:v>11_도표7_분기실적전망_수정전</x:v>
      </x:c>
      <x:c r="BV16" s="187" t="str">
        <x:v>A4:M30</x:v>
      </x:c>
      <x:c r="BW16" s="187" t="str">
        <x:v>immutable snapshot</x:v>
      </x:c>
      <x:c r="BX16" s="187" t="str">
        <x:v>snapshot</x:v>
      </x:c>
      <x:c r="BY16" s="187" t="str">
        <x:v>LEGACY_REPORT</x:v>
      </x:c>
      <x:c r="BZ16" s="187" t="str">
        <x:v>READY</x:v>
      </x:c>
    </x:row>
    <x:row r="17">
      <x:c r="A17" s="187" t="str">
        <x:v>high_52w</x:v>
      </x:c>
      <x:c r="B17" s="191" t="n">
        <x:v>54500</x:v>
      </x:c>
      <x:c r="C17" s="187" t="str">
        <x:v>KRW</x:v>
      </x:c>
      <x:c r="D17" s="187" t="str">
        <x:v>KRX</x:v>
      </x:c>
      <x:c r="E17" s="188" t="n">
        <x:v>46051</x:v>
      </x:c>
      <x:c r="F17" s="187" t="str">
        <x:v>LEGACY_REPORT_KRX</x:v>
      </x:c>
      <x:c r="G17" s="187" t="str">
        <x:v>EV-KRX-HIGH</x:v>
      </x:c>
      <x:c r="H17" s="187" t="str">
        <x:v>PENDING_REFRESH</x:v>
      </x:c>
      <x:c r="M17" s="188"/>
      <x:c r="N17" s="187"/>
      <x:c r="O17" s="189"/>
      <x:c r="P17" s="189"/>
      <x:c r="Q17" s="189"/>
      <x:c r="R17" s="189"/>
      <x:c r="S17" s="189"/>
      <x:c r="T17" s="189"/>
      <x:c r="U17" s="189"/>
      <x:c r="V17" s="187"/>
      <x:c r="X17" s="188"/>
      <x:c r="Y17" s="187"/>
      <x:c r="Z17" s="189"/>
      <x:c r="AA17" s="189"/>
      <x:c r="AB17" s="189"/>
      <x:c r="AC17" s="189"/>
      <x:c r="AD17" s="189"/>
      <x:c r="AE17" s="189"/>
      <x:c r="AF17" s="189"/>
      <x:c r="AG17" s="187"/>
      <x:c r="BS17" s="187" t="str">
        <x:v>p4.income_statement</x:v>
      </x:c>
      <x:c r="BT17" s="187" t="str">
        <x:v>table</x:v>
      </x:c>
      <x:c r="BU17" s="187" t="str">
        <x:v>12_p4_손익계산서</x:v>
      </x:c>
      <x:c r="BV17" s="187" t="str">
        <x:v>A4:G46</x:v>
      </x:c>
      <x:c r="BW17" s="187" t="str">
        <x:v>_REFLO_BRIDGE!AI20:AO65</x:v>
      </x:c>
      <x:c r="BX17" s="187" t="str">
        <x:v>automatic</x:v>
      </x:c>
      <x:c r="BY17" s="187" t="str">
        <x:v>DART/MODEL</x:v>
      </x:c>
      <x:c r="BZ17" s="187" t="str">
        <x:v>READY</x:v>
      </x:c>
    </x:row>
    <x:row r="18">
      <x:c r="A18" s="187" t="str">
        <x:v>low_52w</x:v>
      </x:c>
      <x:c r="B18" s="191" t="n">
        <x:v>13120</x:v>
      </x:c>
      <x:c r="C18" s="187" t="str">
        <x:v>KRW</x:v>
      </x:c>
      <x:c r="D18" s="187" t="str">
        <x:v>KRX</x:v>
      </x:c>
      <x:c r="E18" s="188" t="n">
        <x:v>46051</x:v>
      </x:c>
      <x:c r="F18" s="187" t="str">
        <x:v>LEGACY_REPORT_KRX</x:v>
      </x:c>
      <x:c r="G18" s="187" t="str">
        <x:v>EV-KRX-LOW</x:v>
      </x:c>
      <x:c r="H18" s="187" t="str">
        <x:v>PENDING_REFRESH</x:v>
      </x:c>
      <x:c r="M18" s="188"/>
      <x:c r="N18" s="187"/>
      <x:c r="O18" s="189"/>
      <x:c r="P18" s="189"/>
      <x:c r="Q18" s="189"/>
      <x:c r="R18" s="189"/>
      <x:c r="S18" s="189"/>
      <x:c r="T18" s="189"/>
      <x:c r="U18" s="189"/>
      <x:c r="V18" s="187"/>
      <x:c r="X18" s="188"/>
      <x:c r="Y18" s="187"/>
      <x:c r="Z18" s="189"/>
      <x:c r="AA18" s="189"/>
      <x:c r="AB18" s="189"/>
      <x:c r="AC18" s="189"/>
      <x:c r="AD18" s="189"/>
      <x:c r="AE18" s="189"/>
      <x:c r="AF18" s="189"/>
      <x:c r="AG18" s="187"/>
      <x:c r="BS18" s="187" t="str">
        <x:v>p4.balance_sheet</x:v>
      </x:c>
      <x:c r="BT18" s="187" t="str">
        <x:v>table</x:v>
      </x:c>
      <x:c r="BU18" s="187" t="str">
        <x:v>13_p4_대차대조표</x:v>
      </x:c>
      <x:c r="BV18" s="187" t="str">
        <x:v>A4:G45</x:v>
      </x:c>
      <x:c r="BW18" s="187" t="str">
        <x:v>_REFLO_BRIDGE!AQ20:AW64</x:v>
      </x:c>
      <x:c r="BX18" s="187" t="str">
        <x:v>automatic</x:v>
      </x:c>
      <x:c r="BY18" s="187" t="str">
        <x:v>DART/MODEL</x:v>
      </x:c>
      <x:c r="BZ18" s="187" t="str">
        <x:v>READY</x:v>
      </x:c>
    </x:row>
    <x:row r="19">
      <x:c r="A19" s="187" t="str">
        <x:v>market_cap</x:v>
      </x:c>
      <x:c r="B19" s="191" t="n">
        <x:v>2594.4</x:v>
      </x:c>
      <x:c r="C19" s="187" t="str">
        <x:v>KRW bn</x:v>
      </x:c>
      <x:c r="D19" s="187" t="str">
        <x:v>KRX</x:v>
      </x:c>
      <x:c r="E19" s="188" t="n">
        <x:v>46051</x:v>
      </x:c>
      <x:c r="F19" s="187" t="str">
        <x:v>LEGACY_REPORT_KRX</x:v>
      </x:c>
      <x:c r="G19" s="187" t="str">
        <x:v>EV-KRX-MCAP</x:v>
      </x:c>
      <x:c r="H19" s="187" t="str">
        <x:v>PENDING_REFRESH</x:v>
      </x:c>
      <x:c r="M19" s="188"/>
      <x:c r="N19" s="187"/>
      <x:c r="O19" s="189"/>
      <x:c r="P19" s="189"/>
      <x:c r="Q19" s="189"/>
      <x:c r="R19" s="189"/>
      <x:c r="S19" s="189"/>
      <x:c r="T19" s="189"/>
      <x:c r="U19" s="189"/>
      <x:c r="V19" s="187"/>
      <x:c r="X19" s="188"/>
      <x:c r="Y19" s="187"/>
      <x:c r="Z19" s="189"/>
      <x:c r="AA19" s="189"/>
      <x:c r="AB19" s="189"/>
      <x:c r="AC19" s="189"/>
      <x:c r="AD19" s="189"/>
      <x:c r="AE19" s="189"/>
      <x:c r="AF19" s="189"/>
      <x:c r="AG19" s="187"/>
      <x:c r="AI19" s="209" t="str">
        <x:v>P4 INCOME STATEMENT MIRROR</x:v>
      </x:c>
      <x:c r="AQ19" s="209" t="str">
        <x:v>P4 BALANCE SHEET MIRROR</x:v>
      </x:c>
      <x:c r="AY19" s="209" t="str">
        <x:v>P4 INVESTMENT METRICS MIRROR</x:v>
      </x:c>
      <x:c r="BG19" s="209" t="str">
        <x:v>P4 CASH FLOW MIRROR</x:v>
      </x:c>
      <x:c r="BS19" s="187" t="str">
        <x:v>p4.metrics</x:v>
      </x:c>
      <x:c r="BT19" s="187" t="str">
        <x:v>table</x:v>
      </x:c>
      <x:c r="BU19" s="187" t="str">
        <x:v>14_p4_투자지표</x:v>
      </x:c>
      <x:c r="BV19" s="187" t="str">
        <x:v>A4:G36</x:v>
      </x:c>
      <x:c r="BW19" s="187" t="str">
        <x:v>_REFLO_BRIDGE!AY20:BE55</x:v>
      </x:c>
      <x:c r="BX19" s="187" t="str">
        <x:v>automatic</x:v>
      </x:c>
      <x:c r="BY19" s="187" t="str">
        <x:v>DART/MODEL</x:v>
      </x:c>
      <x:c r="BZ19" s="187" t="str">
        <x:v>READY</x:v>
      </x:c>
    </x:row>
    <x:row r="20">
      <x:c r="A20" s="187" t="str">
        <x:v>market_cap_share</x:v>
      </x:c>
      <x:c r="B20" s="192" t="n">
        <x:v>0.0006</x:v>
      </x:c>
      <x:c r="C20" s="187" t="str">
        <x:v>%</x:v>
      </x:c>
      <x:c r="D20" s="187" t="str">
        <x:v>KRX</x:v>
      </x:c>
      <x:c r="E20" s="188" t="n">
        <x:v>46051</x:v>
      </x:c>
      <x:c r="F20" s="187" t="str">
        <x:v>LEGACY_REPORT_KRX</x:v>
      </x:c>
      <x:c r="G20" s="187" t="str">
        <x:v>EV-KRX-SHARE</x:v>
      </x:c>
      <x:c r="H20" s="187" t="str">
        <x:v>PENDING_REFRESH</x:v>
      </x:c>
      <x:c r="M20" s="188"/>
      <x:c r="N20" s="187"/>
      <x:c r="O20" s="189"/>
      <x:c r="P20" s="189"/>
      <x:c r="Q20" s="189"/>
      <x:c r="R20" s="189"/>
      <x:c r="S20" s="189"/>
      <x:c r="T20" s="189"/>
      <x:c r="U20" s="189"/>
      <x:c r="V20" s="187"/>
      <x:c r="X20" s="188"/>
      <x:c r="Y20" s="187"/>
      <x:c r="Z20" s="189"/>
      <x:c r="AA20" s="189"/>
      <x:c r="AB20" s="189"/>
      <x:c r="AC20" s="189"/>
      <x:c r="AD20" s="189"/>
      <x:c r="AE20" s="189"/>
      <x:c r="AF20" s="189"/>
      <x:c r="AG20" s="187"/>
      <x:c r="AI20" t="str">
        <x:v>추정 재무제표 — 손익계산서</x:v>
      </x:c>
      <x:c r="AJ20"/>
      <x:c r="AK20"/>
      <x:c r="AL20"/>
      <x:c r="AM20"/>
      <x:c r="AN20"/>
      <x:c r="AO20"/>
      <x:c r="AQ20" t="str">
        <x:v>추정 재무제표 — 대차대조표</x:v>
      </x:c>
      <x:c r="AR20"/>
      <x:c r="AS20"/>
      <x:c r="AT20"/>
      <x:c r="AU20"/>
      <x:c r="AV20"/>
      <x:c r="AW20"/>
      <x:c r="AY20" t="str">
        <x:v>추정 재무제표 — 투자지표</x:v>
      </x:c>
      <x:c r="AZ20"/>
      <x:c r="BA20"/>
      <x:c r="BB20"/>
      <x:c r="BC20"/>
      <x:c r="BD20"/>
      <x:c r="BE20"/>
      <x:c r="BG20" t="str">
        <x:v>추정 재무제표 — 현금흐름표</x:v>
      </x:c>
      <x:c r="BH20"/>
      <x:c r="BI20"/>
      <x:c r="BJ20"/>
      <x:c r="BK20"/>
      <x:c r="BL20"/>
      <x:c r="BM20"/>
      <x:c r="BS20" s="187" t="str">
        <x:v>p4.cash_flow</x:v>
      </x:c>
      <x:c r="BT20" s="187" t="str">
        <x:v>table</x:v>
      </x:c>
      <x:c r="BU20" s="187" t="str">
        <x:v>15_p4_현금흐름표</x:v>
      </x:c>
      <x:c r="BV20" s="187" t="str">
        <x:v>A4:G32</x:v>
      </x:c>
      <x:c r="BW20" s="187" t="str">
        <x:v>_REFLO_BRIDGE!BG20:BM51</x:v>
      </x:c>
      <x:c r="BX20" s="187" t="str">
        <x:v>automatic</x:v>
      </x:c>
      <x:c r="BY20" s="187" t="str">
        <x:v>DART/MODEL</x:v>
      </x:c>
      <x:c r="BZ20" s="187" t="str">
        <x:v>READY</x:v>
      </x:c>
    </x:row>
    <x:row r="21">
      <x:c r="A21" s="187" t="str">
        <x:v>shares_outstanding</x:v>
      </x:c>
      <x:c r="B21" s="193" t="n">
        <x:v>49416.9</x:v>
      </x:c>
      <x:c r="C21" s="187" t="str">
        <x:v>thousand shares</x:v>
      </x:c>
      <x:c r="D21" s="187" t="str">
        <x:v>DART</x:v>
      </x:c>
      <x:c r="E21" s="188" t="n">
        <x:v>46051</x:v>
      </x:c>
      <x:c r="F21" s="187" t="str">
        <x:v>LEGACY_REPORT_DART</x:v>
      </x:c>
      <x:c r="G21" s="187" t="str">
        <x:v>EV-DART-SHARES</x:v>
      </x:c>
      <x:c r="H21" s="187" t="str">
        <x:v>PENDING_REFRESH</x:v>
      </x:c>
      <x:c r="M21" s="188"/>
      <x:c r="N21" s="187"/>
      <x:c r="O21" s="189"/>
      <x:c r="P21" s="189"/>
      <x:c r="Q21" s="189"/>
      <x:c r="R21" s="189"/>
      <x:c r="S21" s="189"/>
      <x:c r="T21" s="189"/>
      <x:c r="U21" s="189"/>
      <x:c r="V21" s="187"/>
      <x:c r="X21" s="188"/>
      <x:c r="Y21" s="187"/>
      <x:c r="Z21" s="189"/>
      <x:c r="AA21" s="189"/>
      <x:c r="AB21" s="189"/>
      <x:c r="AC21" s="189"/>
      <x:c r="AD21" s="189"/>
      <x:c r="AE21" s="189"/>
      <x:c r="AF21" s="189"/>
      <x:c r="AG21" s="187"/>
      <x:c r="AI21" t="str">
        <x:v>단위: 십억원 / 음영 = 전망치(F). 2026F·2027F 의 매출액·영업이익·세전이익·지배주주순이익은 M1_실적추정_모델 시트를 반영합니다(초록 글씨).</x:v>
      </x:c>
      <x:c r="AJ21"/>
      <x:c r="AK21"/>
      <x:c r="AL21"/>
      <x:c r="AM21"/>
      <x:c r="AN21"/>
      <x:c r="AO21"/>
      <x:c r="AQ21" t="str">
        <x:v>단위: 십억원 / 음영 = 전망치(F)</x:v>
      </x:c>
      <x:c r="AR21"/>
      <x:c r="AS21"/>
      <x:c r="AT21"/>
      <x:c r="AU21"/>
      <x:c r="AV21"/>
      <x:c r="AW21"/>
      <x:c r="AY21" t="str">
        <x:v>단위: 원, 배, %</x:v>
      </x:c>
      <x:c r="AZ21"/>
      <x:c r="BA21"/>
      <x:c r="BB21"/>
      <x:c r="BC21"/>
      <x:c r="BD21"/>
      <x:c r="BE21"/>
      <x:c r="BG21" t="str">
        <x:v>단위: 십억원 / 음영 = 전망치(F)</x:v>
      </x:c>
      <x:c r="BH21"/>
      <x:c r="BI21"/>
      <x:c r="BJ21"/>
      <x:c r="BK21"/>
      <x:c r="BL21"/>
      <x:c r="BM21"/>
      <x:c r="BS21" s="187" t="str">
        <x:v>p5.rating_history</x:v>
      </x:c>
      <x:c r="BT21" s="187" t="str">
        <x:v>table</x:v>
      </x:c>
      <x:c r="BU21" s="187" t="str">
        <x:v>16_p5_투자의견변동_괴리율</x:v>
      </x:c>
      <x:c r="BV21" s="187" t="str">
        <x:v>A4:F14</x:v>
      </x:c>
      <x:c r="BW21" s="187" t="str">
        <x:v>_REFLO_BRIDGE!BD4:BI14</x:v>
      </x:c>
      <x:c r="BX21" s="187" t="str">
        <x:v>automatic</x:v>
      </x:c>
      <x:c r="BY21" s="187" t="str">
        <x:v>REPORT_DB</x:v>
      </x:c>
      <x:c r="BZ21" s="187" t="str">
        <x:v>READY</x:v>
      </x:c>
    </x:row>
    <x:row r="22">
      <x:c r="A22" s="187" t="str">
        <x:v>avg_volume_60d</x:v>
      </x:c>
      <x:c r="B22" s="193" t="n">
        <x:v>1560.2</x:v>
      </x:c>
      <x:c r="C22" s="187" t="str">
        <x:v>thousand shares</x:v>
      </x:c>
      <x:c r="D22" s="187" t="str">
        <x:v>KRX</x:v>
      </x:c>
      <x:c r="E22" s="188" t="n">
        <x:v>46051</x:v>
      </x:c>
      <x:c r="F22" s="187" t="str">
        <x:v>LEGACY_REPORT_KRX</x:v>
      </x:c>
      <x:c r="G22" s="187" t="str">
        <x:v>EV-KRX-VOLUME</x:v>
      </x:c>
      <x:c r="H22" s="187" t="str">
        <x:v>PENDING_REFRESH</x:v>
      </x:c>
      <x:c r="M22" s="188"/>
      <x:c r="N22" s="187"/>
      <x:c r="O22" s="189"/>
      <x:c r="P22" s="189"/>
      <x:c r="Q22" s="189"/>
      <x:c r="R22" s="189"/>
      <x:c r="S22" s="189"/>
      <x:c r="T22" s="189"/>
      <x:c r="U22" s="189"/>
      <x:c r="V22" s="187"/>
      <x:c r="X22" s="188"/>
      <x:c r="Y22" s="187"/>
      <x:c r="Z22" s="189"/>
      <x:c r="AA22" s="189"/>
      <x:c r="AB22" s="189"/>
      <x:c r="AC22" s="189"/>
      <x:c r="AD22" s="189"/>
      <x:c r="AE22" s="189"/>
      <x:c r="AF22" s="189"/>
      <x:c r="AG22" s="187"/>
      <x:c r="AI22"/>
      <x:c r="AJ22"/>
      <x:c r="AK22"/>
      <x:c r="AL22"/>
      <x:c r="AM22"/>
      <x:c r="AN22"/>
      <x:c r="AO22"/>
      <x:c r="AQ22"/>
      <x:c r="AR22"/>
      <x:c r="AS22"/>
      <x:c r="AT22"/>
      <x:c r="AU22"/>
      <x:c r="AV22"/>
      <x:c r="AW22"/>
      <x:c r="AY22"/>
      <x:c r="AZ22"/>
      <x:c r="BA22"/>
      <x:c r="BB22"/>
      <x:c r="BC22"/>
      <x:c r="BD22"/>
      <x:c r="BE22"/>
      <x:c r="BG22"/>
      <x:c r="BH22"/>
      <x:c r="BI22"/>
      <x:c r="BJ22"/>
      <x:c r="BK22"/>
      <x:c r="BL22"/>
      <x:c r="BM22"/>
      <x:c r="BS22" s="187" t="str">
        <x:v>p5.price_target_chart</x:v>
      </x:c>
      <x:c r="BT22" s="187" t="str">
        <x:v>chart</x:v>
      </x:c>
      <x:c r="BU22" s="187" t="str">
        <x:v>16_p5_투자의견변동_괴리율</x:v>
      </x:c>
      <x:c r="BV22" s="187" t="str">
        <x:v>H4:L64</x:v>
      </x:c>
      <x:c r="BW22" s="187" t="str">
        <x:v>_REFLO_BRIDGE!A32:J92</x:v>
      </x:c>
      <x:c r="BX22" s="187" t="str">
        <x:v>automatic</x:v>
      </x:c>
      <x:c r="BY22" s="187" t="str">
        <x:v>KRX/REPORT_DB</x:v>
      </x:c>
      <x:c r="BZ22" s="187" t="str">
        <x:v>WAIT_DATA</x:v>
      </x:c>
    </x:row>
    <x:row r="23">
      <x:c r="A23" s="187" t="str">
        <x:v>avg_value_60d</x:v>
      </x:c>
      <x:c r="B23" s="193" t="n">
        <x:v>74.2</x:v>
      </x:c>
      <x:c r="C23" s="187" t="str">
        <x:v>KRW bn</x:v>
      </x:c>
      <x:c r="D23" s="187" t="str">
        <x:v>KRX</x:v>
      </x:c>
      <x:c r="E23" s="188" t="n">
        <x:v>46051</x:v>
      </x:c>
      <x:c r="F23" s="187" t="str">
        <x:v>LEGACY_REPORT_KRX</x:v>
      </x:c>
      <x:c r="G23" s="187" t="str">
        <x:v>EV-KRX-VALUE</x:v>
      </x:c>
      <x:c r="H23" s="187" t="str">
        <x:v>PENDING_REFRESH</x:v>
      </x:c>
      <x:c r="M23" s="188"/>
      <x:c r="N23" s="187"/>
      <x:c r="O23" s="189"/>
      <x:c r="P23" s="189"/>
      <x:c r="Q23" s="189"/>
      <x:c r="R23" s="189"/>
      <x:c r="S23" s="189"/>
      <x:c r="T23" s="189"/>
      <x:c r="U23" s="189"/>
      <x:c r="V23" s="187"/>
      <x:c r="X23" s="188"/>
      <x:c r="Y23" s="187"/>
      <x:c r="Z23" s="189"/>
      <x:c r="AA23" s="189"/>
      <x:c r="AB23" s="189"/>
      <x:c r="AC23" s="189"/>
      <x:c r="AD23" s="189"/>
      <x:c r="AE23" s="189"/>
      <x:c r="AF23" s="189"/>
      <x:c r="AG23" s="187"/>
      <x:c r="AI23" t="str">
        <x:v>구분</x:v>
      </x:c>
      <x:c r="AJ23" t="str">
        <x:v>2023</x:v>
      </x:c>
      <x:c r="AK23" t="str">
        <x:v>2024</x:v>
      </x:c>
      <x:c r="AL23" t="str">
        <x:v>2025F</x:v>
      </x:c>
      <x:c r="AM23" t="str">
        <x:v>2026F</x:v>
      </x:c>
      <x:c r="AN23" t="str">
        <x:v>2027F</x:v>
      </x:c>
      <x:c r="AO23" t="str">
        <x:v>비고</x:v>
      </x:c>
      <x:c r="AQ23" t="str">
        <x:v>구분</x:v>
      </x:c>
      <x:c r="AR23" t="str">
        <x:v>2023</x:v>
      </x:c>
      <x:c r="AS23" t="str">
        <x:v>2024</x:v>
      </x:c>
      <x:c r="AT23" t="str">
        <x:v>2025F</x:v>
      </x:c>
      <x:c r="AU23" t="str">
        <x:v>2026F</x:v>
      </x:c>
      <x:c r="AV23" t="str">
        <x:v>2027F</x:v>
      </x:c>
      <x:c r="AW23" t="str">
        <x:v>비고</x:v>
      </x:c>
      <x:c r="AY23" t="str">
        <x:v>  주당지표(원)</x:v>
      </x:c>
      <x:c r="AZ23"/>
      <x:c r="BA23"/>
      <x:c r="BB23"/>
      <x:c r="BC23"/>
      <x:c r="BD23"/>
      <x:c r="BE23"/>
      <x:c r="BG23" t="str">
        <x:v>구분</x:v>
      </x:c>
      <x:c r="BH23" t="str">
        <x:v>2023</x:v>
      </x:c>
      <x:c r="BI23" t="str">
        <x:v>2024</x:v>
      </x:c>
      <x:c r="BJ23" t="str">
        <x:v>2025F</x:v>
      </x:c>
      <x:c r="BK23" t="str">
        <x:v>2026F</x:v>
      </x:c>
      <x:c r="BL23" t="str">
        <x:v>2027F</x:v>
      </x:c>
      <x:c r="BM23" t="str">
        <x:v>비고</x:v>
      </x:c>
    </x:row>
    <x:row r="24">
      <x:c r="A24" s="187" t="str">
        <x:v>foreign_ownership</x:v>
      </x:c>
      <x:c r="B24" s="192" t="n">
        <x:v>0.1801</x:v>
      </x:c>
      <x:c r="C24" s="187" t="str">
        <x:v>%</x:v>
      </x:c>
      <x:c r="D24" s="187" t="str">
        <x:v>KRX</x:v>
      </x:c>
      <x:c r="E24" s="188" t="n">
        <x:v>46051</x:v>
      </x:c>
      <x:c r="F24" s="187" t="str">
        <x:v>LEGACY_REPORT_KRX</x:v>
      </x:c>
      <x:c r="G24" s="187" t="str">
        <x:v>EV-KRX-FOREIGN</x:v>
      </x:c>
      <x:c r="H24" s="187" t="str">
        <x:v>PENDING_REFRESH</x:v>
      </x:c>
      <x:c r="M24" s="188"/>
      <x:c r="N24" s="187"/>
      <x:c r="O24" s="189"/>
      <x:c r="P24" s="189"/>
      <x:c r="Q24" s="189"/>
      <x:c r="R24" s="189"/>
      <x:c r="S24" s="189"/>
      <x:c r="T24" s="189"/>
      <x:c r="U24" s="189"/>
      <x:c r="V24" s="187"/>
      <x:c r="X24" s="188"/>
      <x:c r="Y24" s="187"/>
      <x:c r="Z24" s="189"/>
      <x:c r="AA24" s="189"/>
      <x:c r="AB24" s="189"/>
      <x:c r="AC24" s="189"/>
      <x:c r="AD24" s="189"/>
      <x:c r="AE24" s="189"/>
      <x:c r="AF24" s="189"/>
      <x:c r="AG24" s="187"/>
      <x:c r="AI24" t="str">
        <x:v>매출액</x:v>
      </x:c>
      <x:c r="AJ24" t="n">
        <x:v>909.7</x:v>
      </x:c>
      <x:c r="AK24" t="n">
        <x:v>892.1</x:v>
      </x:c>
      <x:c r="AL24" t="n">
        <x:v>1065.3</x:v>
      </x:c>
      <x:c r="AM24" t="n">
        <x:v>1485.5</x:v>
      </x:c>
      <x:c r="AN24" t="n">
        <x:v>1633.3000000000002</x:v>
      </x:c>
      <x:c r="AO24"/>
      <x:c r="AQ24" t="str">
        <x:v>유동자산</x:v>
      </x:c>
      <x:c r="AR24" t="n">
        <x:v>433.1</x:v>
      </x:c>
      <x:c r="AS24" t="n">
        <x:v>465.9</x:v>
      </x:c>
      <x:c r="AT24" t="n">
        <x:v>667.7</x:v>
      </x:c>
      <x:c r="AU24" t="n">
        <x:v>893.2</x:v>
      </x:c>
      <x:c r="AV24" t="n">
        <x:v>1107.9</x:v>
      </x:c>
      <x:c r="AW24"/>
      <x:c r="AY24" t="str">
        <x:v>구분</x:v>
      </x:c>
      <x:c r="AZ24" t="str">
        <x:v>2023</x:v>
      </x:c>
      <x:c r="BA24" t="str">
        <x:v>2024</x:v>
      </x:c>
      <x:c r="BB24" t="str">
        <x:v>2025F</x:v>
      </x:c>
      <x:c r="BC24" t="str">
        <x:v>2026F</x:v>
      </x:c>
      <x:c r="BD24" t="str">
        <x:v>2027F</x:v>
      </x:c>
      <x:c r="BE24" t="str">
        <x:v>비고</x:v>
      </x:c>
      <x:c r="BG24" t="str">
        <x:v>영업활동 현금흐름</x:v>
      </x:c>
      <x:c r="BH24" t="n">
        <x:v>180.7</x:v>
      </x:c>
      <x:c r="BI24" t="n">
        <x:v>97.8</x:v>
      </x:c>
      <x:c r="BJ24" t="n">
        <x:v>182.9</x:v>
      </x:c>
      <x:c r="BK24" t="n">
        <x:v>262.9</x:v>
      </x:c>
      <x:c r="BL24" t="n">
        <x:v>282.1</x:v>
      </x:c>
      <x:c r="BM24"/>
    </x:row>
    <x:row r="25">
      <x:c r="M25" s="188"/>
      <x:c r="N25" s="187"/>
      <x:c r="O25" s="189"/>
      <x:c r="P25" s="189"/>
      <x:c r="Q25" s="189"/>
      <x:c r="R25" s="189"/>
      <x:c r="S25" s="189"/>
      <x:c r="T25" s="189"/>
      <x:c r="U25" s="189"/>
      <x:c r="V25" s="187"/>
      <x:c r="X25" s="188"/>
      <x:c r="Y25" s="187"/>
      <x:c r="Z25" s="189"/>
      <x:c r="AA25" s="189"/>
      <x:c r="AB25" s="189"/>
      <x:c r="AC25" s="189"/>
      <x:c r="AD25" s="189"/>
      <x:c r="AE25" s="189"/>
      <x:c r="AF25" s="189"/>
      <x:c r="AG25" s="187"/>
      <x:c r="AI25" t="str">
        <x:v>매출원가</x:v>
      </x:c>
      <x:c r="AJ25" t="n">
        <x:v>834.5</x:v>
      </x:c>
      <x:c r="AK25" t="n">
        <x:v>830.6</x:v>
      </x:c>
      <x:c r="AL25" t="n">
        <x:v>957.2</x:v>
      </x:c>
      <x:c r="AM25" t="n">
        <x:v>1242.2</x:v>
      </x:c>
      <x:c r="AN25" t="n">
        <x:v>1355.4</x:v>
      </x:c>
      <x:c r="AO25"/>
      <x:c r="AQ25" t="str">
        <x:v>  금융자산</x:v>
      </x:c>
      <x:c r="AR25" t="n">
        <x:v>203.2</x:v>
      </x:c>
      <x:c r="AS25" t="n">
        <x:v>221.2</x:v>
      </x:c>
      <x:c r="AT25" t="n">
        <x:v>305.3</x:v>
      </x:c>
      <x:c r="AU25" t="n">
        <x:v>432.8</x:v>
      </x:c>
      <x:c r="AV25" t="n">
        <x:v>601.8</x:v>
      </x:c>
      <x:c r="AW25"/>
      <x:c r="AY25" t="str">
        <x:v>EPS</x:v>
      </x:c>
      <x:c r="AZ25" t="n">
        <x:v>493</x:v>
      </x:c>
      <x:c r="BA25" t="n">
        <x:v>461</x:v>
      </x:c>
      <x:c r="BB25" t="n">
        <x:v>947</x:v>
      </x:c>
      <x:c r="BC25" t="n">
        <x:v>3033</x:v>
      </x:c>
      <x:c r="BD25" t="n">
        <x:v>3699</x:v>
      </x:c>
      <x:c r="BE25"/>
      <x:c r="BG25" t="str">
        <x:v>  당기순이익</x:v>
      </x:c>
      <x:c r="BH25" t="n">
        <x:v>25.4</x:v>
      </x:c>
      <x:c r="BI25" t="n">
        <x:v>23.8</x:v>
      </x:c>
      <x:c r="BJ25" t="n">
        <x:v>48.8</x:v>
      </x:c>
      <x:c r="BK25" t="n">
        <x:v>149.9</x:v>
      </x:c>
      <x:c r="BL25" t="n">
        <x:v>182.8</x:v>
      </x:c>
      <x:c r="BM25"/>
    </x:row>
    <x:row r="26">
      <x:c r="A26" s="176" t="str">
        <x:v>MAJOR SHAREHOLDERS — DART</x:v>
      </x:c>
      <x:c r="B26" s="176" t="str">
        <x:v>MAJOR SHAREHOLDERS — DART</x:v>
      </x:c>
      <x:c r="C26" s="176" t="str">
        <x:v>MAJOR SHAREHOLDERS — DART</x:v>
      </x:c>
      <x:c r="D26" s="176" t="str">
        <x:v>MAJOR SHAREHOLDERS — DART</x:v>
      </x:c>
      <x:c r="E26" s="176" t="str">
        <x:v>MAJOR SHAREHOLDERS — DART</x:v>
      </x:c>
      <x:c r="F26" s="176" t="str">
        <x:v>MAJOR SHAREHOLDERS — DART</x:v>
      </x:c>
      <x:c r="G26" s="176" t="str">
        <x:v>MAJOR SHAREHOLDERS — DART</x:v>
      </x:c>
      <x:c r="H26" s="176" t="str">
        <x:v>MAJOR SHAREHOLDERS — DART</x:v>
      </x:c>
      <x:c r="M26" s="188"/>
      <x:c r="N26" s="187"/>
      <x:c r="O26" s="189"/>
      <x:c r="P26" s="189"/>
      <x:c r="Q26" s="189"/>
      <x:c r="R26" s="189"/>
      <x:c r="S26" s="189"/>
      <x:c r="T26" s="189"/>
      <x:c r="U26" s="189"/>
      <x:c r="V26" s="187"/>
      <x:c r="X26" s="188"/>
      <x:c r="Y26" s="187"/>
      <x:c r="Z26" s="189"/>
      <x:c r="AA26" s="189"/>
      <x:c r="AB26" s="189"/>
      <x:c r="AC26" s="189"/>
      <x:c r="AD26" s="189"/>
      <x:c r="AE26" s="189"/>
      <x:c r="AF26" s="189"/>
      <x:c r="AG26" s="187"/>
      <x:c r="AI26" t="str">
        <x:v>매출총이익</x:v>
      </x:c>
      <x:c r="AJ26" t="n">
        <x:v>75.20000000000005</x:v>
      </x:c>
      <x:c r="AK26" t="n">
        <x:v>61.5</x:v>
      </x:c>
      <x:c r="AL26" t="n">
        <x:v>108.09999999999991</x:v>
      </x:c>
      <x:c r="AM26" t="n">
        <x:v>243.29999999999995</x:v>
      </x:c>
      <x:c r="AN26" t="n">
        <x:v>277.9000000000001</x:v>
      </x:c>
      <x:c r="AO26"/>
      <x:c r="AQ26" t="str">
        <x:v>    현금성자산</x:v>
      </x:c>
      <x:c r="AR26" t="n">
        <x:v>76.6</x:v>
      </x:c>
      <x:c r="AS26" t="n">
        <x:v>38.2</x:v>
      </x:c>
      <x:c r="AT26" t="n">
        <x:v>23.5</x:v>
      </x:c>
      <x:c r="AU26" t="n">
        <x:v>74.8</x:v>
      </x:c>
      <x:c r="AV26" t="n">
        <x:v>208.2</x:v>
      </x:c>
      <x:c r="AW26"/>
      <x:c r="AY26" t="str">
        <x:v>BPS</x:v>
      </x:c>
      <x:c r="AZ26" t="n">
        <x:v>16857</x:v>
      </x:c>
      <x:c r="BA26" t="n">
        <x:v>16996</x:v>
      </x:c>
      <x:c r="BB26" t="n">
        <x:v>17505</x:v>
      </x:c>
      <x:c r="BC26" t="n">
        <x:v>20014</x:v>
      </x:c>
      <x:c r="BD26" t="n">
        <x:v>23163</x:v>
      </x:c>
      <x:c r="BE26"/>
      <x:c r="BG26" t="str">
        <x:v>  조정</x:v>
      </x:c>
      <x:c r="BH26" t="n">
        <x:v>114.8</x:v>
      </x:c>
      <x:c r="BI26" t="n">
        <x:v>138.3</x:v>
      </x:c>
      <x:c r="BJ26" t="n">
        <x:v>131.1</x:v>
      </x:c>
      <x:c r="BK26" t="n">
        <x:v>94.2</x:v>
      </x:c>
      <x:c r="BL26" t="n">
        <x:v>90.5</x:v>
      </x:c>
      <x:c r="BM26"/>
    </x:row>
    <x:row r="27">
      <x:c r="A27" s="182" t="str">
        <x:v>Shareholder</x:v>
      </x:c>
      <x:c r="B27" s="182" t="str">
        <x:v>Ownership</x:v>
      </x:c>
      <x:c r="C27" s="182" t="str">
        <x:v>Unit</x:v>
      </x:c>
      <x:c r="D27" s="182" t="str">
        <x:v>Source Type</x:v>
      </x:c>
      <x:c r="E27" s="182" t="str">
        <x:v>As Of</x:v>
      </x:c>
      <x:c r="F27" s="182" t="str">
        <x:v>Source ID</x:v>
      </x:c>
      <x:c r="G27" s="182" t="str">
        <x:v>Evidence ID</x:v>
      </x:c>
      <x:c r="H27" s="182" t="str">
        <x:v>Validation</x:v>
      </x:c>
      <x:c r="M27" s="188"/>
      <x:c r="N27" s="187"/>
      <x:c r="O27" s="189"/>
      <x:c r="P27" s="189"/>
      <x:c r="Q27" s="189"/>
      <x:c r="R27" s="189"/>
      <x:c r="S27" s="189"/>
      <x:c r="T27" s="189"/>
      <x:c r="U27" s="189"/>
      <x:c r="V27" s="187"/>
      <x:c r="X27" s="188"/>
      <x:c r="Y27" s="187"/>
      <x:c r="Z27" s="189"/>
      <x:c r="AA27" s="189"/>
      <x:c r="AB27" s="189"/>
      <x:c r="AC27" s="189"/>
      <x:c r="AD27" s="189"/>
      <x:c r="AE27" s="189"/>
      <x:c r="AF27" s="189"/>
      <x:c r="AG27" s="187"/>
      <x:c r="AI27" t="str">
        <x:v>판관비</x:v>
      </x:c>
      <x:c r="AJ27" t="n">
        <x:v>51.4</x:v>
      </x:c>
      <x:c r="AK27" t="n">
        <x:v>50.3</x:v>
      </x:c>
      <x:c r="AL27" t="n">
        <x:v>59</x:v>
      </x:c>
      <x:c r="AM27" t="n">
        <x:v>63.3</x:v>
      </x:c>
      <x:c r="AN27" t="n">
        <x:v>59.5</x:v>
      </x:c>
      <x:c r="AO27"/>
      <x:c r="AQ27" t="str">
        <x:v>  매출채권</x:v>
      </x:c>
      <x:c r="AR27" t="n">
        <x:v>123.2</x:v>
      </x:c>
      <x:c r="AS27" t="n">
        <x:v>128.4</x:v>
      </x:c>
      <x:c r="AT27" t="n">
        <x:v>197.7</x:v>
      </x:c>
      <x:c r="AU27" t="n">
        <x:v>251.1</x:v>
      </x:c>
      <x:c r="AV27" t="n">
        <x:v>276.1</x:v>
      </x:c>
      <x:c r="AW27"/>
      <x:c r="AY27" t="str">
        <x:v>CFPS</x:v>
      </x:c>
      <x:c r="AZ27" t="n">
        <x:v>3645</x:v>
      </x:c>
      <x:c r="BA27" t="n">
        <x:v>3157</x:v>
      </x:c>
      <x:c r="BB27" t="n">
        <x:v>3451</x:v>
      </x:c>
      <x:c r="BC27" t="n">
        <x:v>5283</x:v>
      </x:c>
      <x:c r="BD27" t="n">
        <x:v>6193</x:v>
      </x:c>
      <x:c r="BE27"/>
      <x:c r="BG27" t="str">
        <x:v>    감가상각비</x:v>
      </x:c>
      <x:c r="BH27" t="n">
        <x:v>115</x:v>
      </x:c>
      <x:c r="BI27" t="n">
        <x:v>117.4</x:v>
      </x:c>
      <x:c r="BJ27" t="n">
        <x:v>101</x:v>
      </x:c>
      <x:c r="BK27" t="n">
        <x:v>94.2</x:v>
      </x:c>
      <x:c r="BL27" t="n">
        <x:v>90.5</x:v>
      </x:c>
      <x:c r="BM27"/>
    </x:row>
    <x:row r="28">
      <x:c r="A28" s="186" t="str">
        <x:v>대덕 외 5인</x:v>
      </x:c>
      <x:c r="B28" s="195" t="n">
        <x:v>0.3276</x:v>
      </x:c>
      <x:c r="C28" s="186" t="str">
        <x:v>%</x:v>
      </x:c>
      <x:c r="D28" s="186" t="str">
        <x:v>DART</x:v>
      </x:c>
      <x:c r="E28" s="194" t="n">
        <x:v>46051</x:v>
      </x:c>
      <x:c r="F28" s="186" t="str">
        <x:v>LEGACY_REPORT_DART</x:v>
      </x:c>
      <x:c r="G28" s="186" t="str">
        <x:v>EV-HOLDER-1</x:v>
      </x:c>
      <x:c r="H28" s="186" t="str">
        <x:v>PENDING_REFRESH</x:v>
      </x:c>
      <x:c r="M28" s="188"/>
      <x:c r="N28" s="187"/>
      <x:c r="O28" s="189"/>
      <x:c r="P28" s="189"/>
      <x:c r="Q28" s="189"/>
      <x:c r="R28" s="189"/>
      <x:c r="S28" s="189"/>
      <x:c r="T28" s="189"/>
      <x:c r="U28" s="189"/>
      <x:c r="V28" s="187"/>
      <x:c r="X28" s="188"/>
      <x:c r="Y28" s="187"/>
      <x:c r="Z28" s="189"/>
      <x:c r="AA28" s="189"/>
      <x:c r="AB28" s="189"/>
      <x:c r="AC28" s="189"/>
      <x:c r="AD28" s="189"/>
      <x:c r="AE28" s="189"/>
      <x:c r="AF28" s="189"/>
      <x:c r="AG28" s="187"/>
      <x:c r="AI28" t="str">
        <x:v>영업이익</x:v>
      </x:c>
      <x:c r="AJ28" t="n">
        <x:v>23.7</x:v>
      </x:c>
      <x:c r="AK28" t="n">
        <x:v>11.3</x:v>
      </x:c>
      <x:c r="AL28" t="n">
        <x:v>49.099999999999994</x:v>
      </x:c>
      <x:c r="AM28" t="n">
        <x:v>180</x:v>
      </x:c>
      <x:c r="AN28" t="n">
        <x:v>218.3</x:v>
      </x:c>
      <x:c r="AO28"/>
      <x:c r="AQ28" t="str">
        <x:v>  재고자산</x:v>
      </x:c>
      <x:c r="AR28" t="n">
        <x:v>90.6</x:v>
      </x:c>
      <x:c r="AS28" t="n">
        <x:v>100.5</x:v>
      </x:c>
      <x:c r="AT28" t="n">
        <x:v>140.4</x:v>
      </x:c>
      <x:c r="AU28" t="n">
        <x:v>178.4</x:v>
      </x:c>
      <x:c r="AV28" t="n">
        <x:v>196.1</x:v>
      </x:c>
      <x:c r="AW28"/>
      <x:c r="AY28" t="str">
        <x:v>EBITDAPS</x:v>
      </x:c>
      <x:c r="AZ28" t="n">
        <x:v>2694</x:v>
      </x:c>
      <x:c r="BA28" t="n">
        <x:v>2498</x:v>
      </x:c>
      <x:c r="BB28" t="n">
        <x:v>2914</x:v>
      </x:c>
      <x:c r="BC28" t="n">
        <x:v>5324</x:v>
      </x:c>
      <x:c r="BD28" t="n">
        <x:v>5995</x:v>
      </x:c>
      <x:c r="BE28"/>
      <x:c r="BG28" t="str">
        <x:v>    외환거래손익</x:v>
      </x:c>
      <x:c r="BH28" t="n">
        <x:v>1.7</x:v>
      </x:c>
      <x:c r="BI28" t="n">
        <x:v>-3.8</x:v>
      </x:c>
      <x:c r="BJ28" t="n">
        <x:v>-1</x:v>
      </x:c>
      <x:c r="BK28" t="n">
        <x:v>0</x:v>
      </x:c>
      <x:c r="BL28" t="n">
        <x:v>0</x:v>
      </x:c>
      <x:c r="BM28"/>
    </x:row>
    <x:row r="29">
      <x:c r="A29" s="187" t="str">
        <x:v>국민연금공단</x:v>
      </x:c>
      <x:c r="B29" s="192" t="n">
        <x:v>0.1203</x:v>
      </x:c>
      <x:c r="C29" s="187" t="str">
        <x:v>%</x:v>
      </x:c>
      <x:c r="D29" s="187" t="str">
        <x:v>DART</x:v>
      </x:c>
      <x:c r="E29" s="188" t="n">
        <x:v>46051</x:v>
      </x:c>
      <x:c r="F29" s="187" t="str">
        <x:v>LEGACY_REPORT_DART</x:v>
      </x:c>
      <x:c r="G29" s="187" t="str">
        <x:v>EV-HOLDER-2</x:v>
      </x:c>
      <x:c r="H29" s="187" t="str">
        <x:v>PENDING_REFRESH</x:v>
      </x:c>
      <x:c r="M29" s="188"/>
      <x:c r="N29" s="187"/>
      <x:c r="O29" s="189"/>
      <x:c r="P29" s="189"/>
      <x:c r="Q29" s="189"/>
      <x:c r="R29" s="189"/>
      <x:c r="S29" s="189"/>
      <x:c r="T29" s="189"/>
      <x:c r="U29" s="189"/>
      <x:c r="V29" s="187"/>
      <x:c r="X29" s="188"/>
      <x:c r="Y29" s="187"/>
      <x:c r="Z29" s="189"/>
      <x:c r="AA29" s="189"/>
      <x:c r="AB29" s="189"/>
      <x:c r="AC29" s="189"/>
      <x:c r="AD29" s="189"/>
      <x:c r="AE29" s="189"/>
      <x:c r="AF29" s="189"/>
      <x:c r="AG29" s="187"/>
      <x:c r="AI29" t="str">
        <x:v>금융손익</x:v>
      </x:c>
      <x:c r="AJ29" t="n">
        <x:v>9.1</x:v>
      </x:c>
      <x:c r="AK29" t="n">
        <x:v>17.1</x:v>
      </x:c>
      <x:c r="AL29" t="n">
        <x:v>0.7</x:v>
      </x:c>
      <x:c r="AM29" t="n">
        <x:v>9.4</x:v>
      </x:c>
      <x:c r="AN29" t="n">
        <x:v>9.1</x:v>
      </x:c>
      <x:c r="AO29"/>
      <x:c r="AQ29" t="str">
        <x:v>  기타유동자산</x:v>
      </x:c>
      <x:c r="AR29" t="n">
        <x:v>16.1</x:v>
      </x:c>
      <x:c r="AS29" t="n">
        <x:v>15.8</x:v>
      </x:c>
      <x:c r="AT29" t="n">
        <x:v>24.3</x:v>
      </x:c>
      <x:c r="AU29" t="n">
        <x:v>30.9</x:v>
      </x:c>
      <x:c r="AV29" t="n">
        <x:v>33.9</x:v>
      </x:c>
      <x:c r="AW29"/>
      <x:c r="AY29" t="str">
        <x:v>SPS</x:v>
      </x:c>
      <x:c r="AZ29" t="n">
        <x:v>17659</x:v>
      </x:c>
      <x:c r="BA29" t="n">
        <x:v>17319</x:v>
      </x:c>
      <x:c r="BB29" t="n">
        <x:v>20681</x:v>
      </x:c>
      <x:c r="BC29" t="n">
        <x:v>28840</x:v>
      </x:c>
      <x:c r="BD29" t="n">
        <x:v>31707</x:v>
      </x:c>
      <x:c r="BE29"/>
      <x:c r="BG29" t="str">
        <x:v>    지분법손익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/>
    </x:row>
    <x:row r="30">
      <x:c r="M30" s="188"/>
      <x:c r="N30" s="187"/>
      <x:c r="O30" s="189"/>
      <x:c r="P30" s="189"/>
      <x:c r="Q30" s="189"/>
      <x:c r="R30" s="189"/>
      <x:c r="S30" s="189"/>
      <x:c r="T30" s="189"/>
      <x:c r="U30" s="189"/>
      <x:c r="V30" s="187"/>
      <x:c r="X30" s="188"/>
      <x:c r="Y30" s="187"/>
      <x:c r="Z30" s="189"/>
      <x:c r="AA30" s="189"/>
      <x:c r="AB30" s="189"/>
      <x:c r="AC30" s="189"/>
      <x:c r="AD30" s="189"/>
      <x:c r="AE30" s="189"/>
      <x:c r="AF30" s="189"/>
      <x:c r="AG30" s="187"/>
      <x:c r="AI30" t="str">
        <x:v>종속/관계기업손익</x:v>
      </x:c>
      <x:c r="AJ30" t="n">
        <x:v>0</x:v>
      </x:c>
      <x:c r="AK30" t="n">
        <x:v>0</x:v>
      </x:c>
      <x:c r="AL30" t="n">
        <x:v>-1.8</x:v>
      </x:c>
      <x:c r="AM30" t="n">
        <x:v>-2.1</x:v>
      </x:c>
      <x:c r="AN30" t="n">
        <x:v>5.5</x:v>
      </x:c>
      <x:c r="AO30"/>
      <x:c r="AQ30" t="str">
        <x:v>비유동자산</x:v>
      </x:c>
      <x:c r="AR30" t="n">
        <x:v>694.5</x:v>
      </x:c>
      <x:c r="AS30" t="n">
        <x:v>622.9</x:v>
      </x:c>
      <x:c r="AT30" t="n">
        <x:v>582.9</x:v>
      </x:c>
      <x:c r="AU30" t="n">
        <x:v>567.7</x:v>
      </x:c>
      <x:c r="AV30" t="n">
        <x:v>546.3</x:v>
      </x:c>
      <x:c r="AW30"/>
      <x:c r="AY30" t="str">
        <x:v>DPS</x:v>
      </x:c>
      <x:c r="AZ30" t="n">
        <x:v>300</x:v>
      </x:c>
      <x:c r="BA30" t="n">
        <x:v>400</x:v>
      </x:c>
      <x:c r="BB30" t="n">
        <x:v>400</x:v>
      </x:c>
      <x:c r="BC30" t="n">
        <x:v>400</x:v>
      </x:c>
      <x:c r="BD30" t="n">
        <x:v>400</x:v>
      </x:c>
      <x:c r="BE30"/>
      <x:c r="BG30" t="str">
        <x:v>    기타</x:v>
      </x:c>
      <x:c r="BH30" t="n">
        <x:v>-1.9</x:v>
      </x:c>
      <x:c r="BI30" t="n">
        <x:v>24.7</x:v>
      </x:c>
      <x:c r="BJ30" t="n">
        <x:v>31.1</x:v>
      </x:c>
      <x:c r="BK30" t="n">
        <x:v>0</x:v>
      </x:c>
      <x:c r="BL30" t="n">
        <x:v>0</x:v>
      </x:c>
      <x:c r="BM30"/>
    </x:row>
    <x:row r="31">
      <x:c r="A31" s="176" t="str">
        <x:v>MARKET DAILY — KRX / TARGET PRICE TIMELINE</x:v>
      </x:c>
      <x:c r="B31" s="176" t="str">
        <x:v>MARKET DAILY — KRX / TARGET PRICE TIMELINE</x:v>
      </x:c>
      <x:c r="C31" s="176" t="str">
        <x:v>MARKET DAILY — KRX / TARGET PRICE TIMELINE</x:v>
      </x:c>
      <x:c r="D31" s="176" t="str">
        <x:v>MARKET DAILY — KRX / TARGET PRICE TIMELINE</x:v>
      </x:c>
      <x:c r="E31" s="176" t="str">
        <x:v>MARKET DAILY — KRX / TARGET PRICE TIMELINE</x:v>
      </x:c>
      <x:c r="F31" s="176" t="str">
        <x:v>MARKET DAILY — KRX / TARGET PRICE TIMELINE</x:v>
      </x:c>
      <x:c r="G31" s="176" t="str">
        <x:v>MARKET DAILY — KRX / TARGET PRICE TIMELINE</x:v>
      </x:c>
      <x:c r="H31" s="176" t="str">
        <x:v>MARKET DAILY — KRX / TARGET PRICE TIMELINE</x:v>
      </x:c>
      <x:c r="I31" s="176" t="str">
        <x:v>MARKET DAILY — KRX / TARGET PRICE TIMELINE</x:v>
      </x:c>
      <x:c r="J31" s="176" t="str">
        <x:v>MARKET DAILY — KRX / TARGET PRICE TIMELINE</x:v>
      </x:c>
      <x:c r="M31" s="188"/>
      <x:c r="N31" s="187"/>
      <x:c r="O31" s="189"/>
      <x:c r="P31" s="189"/>
      <x:c r="Q31" s="189"/>
      <x:c r="R31" s="189"/>
      <x:c r="S31" s="189"/>
      <x:c r="T31" s="189"/>
      <x:c r="U31" s="189"/>
      <x:c r="V31" s="187"/>
      <x:c r="X31" s="188"/>
      <x:c r="Y31" s="187"/>
      <x:c r="Z31" s="189"/>
      <x:c r="AA31" s="189"/>
      <x:c r="AB31" s="189"/>
      <x:c r="AC31" s="189"/>
      <x:c r="AD31" s="189"/>
      <x:c r="AE31" s="189"/>
      <x:c r="AF31" s="189"/>
      <x:c r="AG31" s="187"/>
      <x:c r="AI31" t="str">
        <x:v>기타영업외손익</x:v>
      </x:c>
      <x:c r="AJ31" t="n">
        <x:v>-4.5</x:v>
      </x:c>
      <x:c r="AK31" t="n">
        <x:v>1.8</x:v>
      </x:c>
      <x:c r="AL31" t="n">
        <x:v>5.5</x:v>
      </x:c>
      <x:c r="AM31" t="n">
        <x:v>0</x:v>
      </x:c>
      <x:c r="AN31" t="n">
        <x:v>-4.5</x:v>
      </x:c>
      <x:c r="AO31"/>
      <x:c r="AQ31" t="str">
        <x:v>  투자자산</x:v>
      </x:c>
      <x:c r="AR31" t="n">
        <x:v>7</x:v>
      </x:c>
      <x:c r="AS31" t="n">
        <x:v>7.3</x:v>
      </x:c>
      <x:c r="AT31" t="n">
        <x:v>6.8</x:v>
      </x:c>
      <x:c r="AU31" t="n">
        <x:v>6.9</x:v>
      </x:c>
      <x:c r="AV31" t="n">
        <x:v>6.9</x:v>
      </x:c>
      <x:c r="AW31"/>
      <x:c r="AY31" t="str">
        <x:v>  주가지표(배)</x:v>
      </x:c>
      <x:c r="AZ31"/>
      <x:c r="BA31"/>
      <x:c r="BB31"/>
      <x:c r="BC31"/>
      <x:c r="BD31"/>
      <x:c r="BE31"/>
      <x:c r="BG31" t="str">
        <x:v>영업활동자산부채변동</x:v>
      </x:c>
      <x:c r="BH31" t="n">
        <x:v>40.5</x:v>
      </x:c>
      <x:c r="BI31" t="n">
        <x:v>-64.3</x:v>
      </x:c>
      <x:c r="BJ31" t="n">
        <x:v>3</x:v>
      </x:c>
      <x:c r="BK31" t="n">
        <x:v>18.8</x:v>
      </x:c>
      <x:c r="BL31" t="n">
        <x:v>8.8</x:v>
      </x:c>
      <x:c r="BM31"/>
    </x:row>
    <x:row r="32">
      <x:c r="A32" s="182" t="str">
        <x:v>Date</x:v>
      </x:c>
      <x:c r="B32" s="182" t="str">
        <x:v>Date Label</x:v>
      </x:c>
      <x:c r="C32" s="182" t="str">
        <x:v>Close</x:v>
      </x:c>
      <x:c r="D32" s="182" t="str">
        <x:v>Adjusted Close</x:v>
      </x:c>
      <x:c r="E32" s="182" t="str">
        <x:v>KOSPI</x:v>
      </x:c>
      <x:c r="F32" s="182" t="str">
        <x:v>Stock Rebased</x:v>
      </x:c>
      <x:c r="G32" s="182" t="str">
        <x:v>KOSPI Rebased</x:v>
      </x:c>
      <x:c r="H32" s="182" t="str">
        <x:v>Target Price</x:v>
      </x:c>
      <x:c r="I32" s="182" t="str">
        <x:v>Source ID</x:v>
      </x:c>
      <x:c r="J32" s="182" t="str">
        <x:v>Validation</x:v>
      </x:c>
      <x:c r="M32" s="188"/>
      <x:c r="N32" s="187"/>
      <x:c r="O32" s="189"/>
      <x:c r="P32" s="189"/>
      <x:c r="Q32" s="189"/>
      <x:c r="R32" s="189"/>
      <x:c r="S32" s="189"/>
      <x:c r="T32" s="189"/>
      <x:c r="U32" s="189"/>
      <x:c r="V32" s="187"/>
      <x:c r="X32" s="188"/>
      <x:c r="Y32" s="187"/>
      <x:c r="Z32" s="189"/>
      <x:c r="AA32" s="189"/>
      <x:c r="AB32" s="189"/>
      <x:c r="AC32" s="189"/>
      <x:c r="AD32" s="189"/>
      <x:c r="AE32" s="189"/>
      <x:c r="AF32" s="189"/>
      <x:c r="AG32" s="187"/>
      <x:c r="AI32" t="str">
        <x:v>세전이익</x:v>
      </x:c>
      <x:c r="AJ32" t="n">
        <x:v>28.4</x:v>
      </x:c>
      <x:c r="AK32" t="n">
        <x:v>30.2</x:v>
      </x:c>
      <x:c r="AL32" t="n">
        <x:v>53.5</x:v>
      </x:c>
      <x:c r="AM32" t="n">
        <x:v>187.3</x:v>
      </x:c>
      <x:c r="AN32" t="n">
        <x:v>228.5</x:v>
      </x:c>
      <x:c r="AO32"/>
      <x:c r="AQ32" t="str">
        <x:v>    금융자산</x:v>
      </x:c>
      <x:c r="AR32" t="n">
        <x:v>7</x:v>
      </x:c>
      <x:c r="AS32" t="n">
        <x:v>7.3</x:v>
      </x:c>
      <x:c r="AT32" t="n">
        <x:v>6.8</x:v>
      </x:c>
      <x:c r="AU32" t="n">
        <x:v>6.9</x:v>
      </x:c>
      <x:c r="AV32" t="n">
        <x:v>6.9</x:v>
      </x:c>
      <x:c r="AW32"/>
      <x:c r="AY32" t="str">
        <x:v>구분</x:v>
      </x:c>
      <x:c r="AZ32" t="str">
        <x:v>2023</x:v>
      </x:c>
      <x:c r="BA32" t="str">
        <x:v>2024</x:v>
      </x:c>
      <x:c r="BB32" t="str">
        <x:v>2025F</x:v>
      </x:c>
      <x:c r="BC32" t="str">
        <x:v>2026F</x:v>
      </x:c>
      <x:c r="BD32" t="str">
        <x:v>2027F</x:v>
      </x:c>
      <x:c r="BE32" t="str">
        <x:v>비고</x:v>
      </x:c>
      <x:c r="BG32" t="str">
        <x:v>투자활동 현금흐름</x:v>
      </x:c>
      <x:c r="BH32" t="n">
        <x:v>-197.5</x:v>
      </x:c>
      <x:c r="BI32" t="n">
        <x:v>-116.1</x:v>
      </x:c>
      <x:c r="BJ32" t="n">
        <x:v>-161.9</x:v>
      </x:c>
      <x:c r="BK32" t="n">
        <x:v>-155.3</x:v>
      </x:c>
      <x:c r="BL32" t="n">
        <x:v>-104.6</x:v>
      </x:c>
      <x:c r="BM32"/>
    </x:row>
    <x:row r="33">
      <x:c r="A33" s="194" t="n">
        <x:v>46051</x:v>
      </x:c>
      <x:c r="B33" s="186" t="str">
        <x:v>2026-01</x:v>
      </x:c>
      <x:c r="C33" s="190" t="n">
        <x:v>52500</x:v>
      </x:c>
      <x:c r="D33" s="190" t="n">
        <x:v>52500</x:v>
      </x:c>
      <x:c r="E33" s="190" t="n">
        <x:v>5221.25</x:v>
      </x:c>
      <x:c r="F33" s="190" t="n">
        <x:v>100</x:v>
      </x:c>
      <x:c r="G33" s="190" t="n">
        <x:v>100</x:v>
      </x:c>
      <x:c r="H33" s="190" t="n">
        <x:v>81000</x:v>
      </x:c>
      <x:c r="I33" s="186" t="str">
        <x:v>LEGACY_REPORT_KRX</x:v>
      </x:c>
      <x:c r="J33" s="186" t="str">
        <x:v>PENDING_REFRESH</x:v>
      </x:c>
      <x:c r="M33" s="188"/>
      <x:c r="N33" s="187"/>
      <x:c r="O33" s="189"/>
      <x:c r="P33" s="189"/>
      <x:c r="Q33" s="189"/>
      <x:c r="R33" s="189"/>
      <x:c r="S33" s="189"/>
      <x:c r="T33" s="189"/>
      <x:c r="U33" s="189"/>
      <x:c r="V33" s="187"/>
      <x:c r="X33" s="188"/>
      <x:c r="Y33" s="187"/>
      <x:c r="Z33" s="189"/>
      <x:c r="AA33" s="189"/>
      <x:c r="AB33" s="189"/>
      <x:c r="AC33" s="189"/>
      <x:c r="AD33" s="189"/>
      <x:c r="AE33" s="189"/>
      <x:c r="AF33" s="189"/>
      <x:c r="AG33" s="187"/>
      <x:c r="AI33" t="str">
        <x:v>법인세</x:v>
      </x:c>
      <x:c r="AJ33" t="n">
        <x:v>3</x:v>
      </x:c>
      <x:c r="AK33" t="n">
        <x:v>6.4</x:v>
      </x:c>
      <x:c r="AL33" t="n">
        <x:v>4.7</x:v>
      </x:c>
      <x:c r="AM33" t="n">
        <x:v>37.5</x:v>
      </x:c>
      <x:c r="AN33" t="n">
        <x:v>45.7</x:v>
      </x:c>
      <x:c r="AO33"/>
      <x:c r="AQ33" t="str">
        <x:v>  유형자산</x:v>
      </x:c>
      <x:c r="AR33" t="n">
        <x:v>629.2</x:v>
      </x:c>
      <x:c r="AS33" t="n">
        <x:v>567.7</x:v>
      </x:c>
      <x:c r="AT33" t="n">
        <x:v>531.7</x:v>
      </x:c>
      <x:c r="AU33" t="n">
        <x:v>516.3</x:v>
      </x:c>
      <x:c r="AV33" t="n">
        <x:v>494.7</x:v>
      </x:c>
      <x:c r="AW33"/>
      <x:c r="AY33" t="str">
        <x:v>PER</x:v>
      </x:c>
      <x:c r="AZ33" t="n">
        <x:v>54.87</x:v>
      </x:c>
      <x:c r="BA33" t="n">
        <x:v>33.62</x:v>
      </x:c>
      <x:c r="BB33" t="n">
        <x:v>49.74</x:v>
      </x:c>
      <x:c r="BC33" t="n">
        <x:v>17.31</x:v>
      </x:c>
      <x:c r="BD33" t="n">
        <x:v>14.19</x:v>
      </x:c>
      <x:c r="BE33"/>
      <x:c r="BG33" t="str">
        <x:v>  투자자산감소(증가)</x:v>
      </x:c>
      <x:c r="BH33" t="n">
        <x:v>-1</x:v>
      </x:c>
      <x:c r="BI33" t="n">
        <x:v>-0.2</x:v>
      </x:c>
      <x:c r="BJ33" t="n">
        <x:v>0.5</x:v>
      </x:c>
      <x:c r="BK33" t="n">
        <x:v>-0.1</x:v>
      </x:c>
      <x:c r="BL33" t="n">
        <x:v>0</x:v>
      </x:c>
      <x:c r="BM33"/>
    </x:row>
    <x:row r="34">
      <x:c r="A34" s="188"/>
      <x:c r="B34" s="187"/>
      <x:c r="C34" s="191"/>
      <x:c r="D34" s="191"/>
      <x:c r="E34" s="191"/>
      <x:c r="F34" s="191"/>
      <x:c r="G34" s="191"/>
      <x:c r="H34" s="191"/>
      <x:c r="I34" s="187"/>
      <x:c r="J34" s="187"/>
      <x:c r="M34" s="188"/>
      <x:c r="N34" s="187"/>
      <x:c r="O34" s="189"/>
      <x:c r="P34" s="189"/>
      <x:c r="Q34" s="189"/>
      <x:c r="R34" s="189"/>
      <x:c r="S34" s="189"/>
      <x:c r="T34" s="189"/>
      <x:c r="U34" s="189"/>
      <x:c r="V34" s="187"/>
      <x:c r="AI34" t="str">
        <x:v>계속사업이익</x:v>
      </x:c>
      <x:c r="AJ34" t="n">
        <x:v>25.4</x:v>
      </x:c>
      <x:c r="AK34" t="n">
        <x:v>23.799999999999997</x:v>
      </x:c>
      <x:c r="AL34" t="n">
        <x:v>48.8</x:v>
      </x:c>
      <x:c r="AM34" t="n">
        <x:v>149.9</x:v>
      </x:c>
      <x:c r="AN34" t="n">
        <x:v>182.8</x:v>
      </x:c>
      <x:c r="AO34"/>
      <x:c r="AQ34" t="str">
        <x:v>  무형자산</x:v>
      </x:c>
      <x:c r="AR34" t="n">
        <x:v>12.8</x:v>
      </x:c>
      <x:c r="AS34" t="n">
        <x:v>11</x:v>
      </x:c>
      <x:c r="AT34" t="n">
        <x:v>10.5</x:v>
      </x:c>
      <x:c r="AU34" t="n">
        <x:v>10.6</x:v>
      </x:c>
      <x:c r="AV34" t="n">
        <x:v>10.8</x:v>
      </x:c>
      <x:c r="AW34"/>
      <x:c r="AY34" t="str">
        <x:v>PBR</x:v>
      </x:c>
      <x:c r="AZ34" t="n">
        <x:v>1.6</x:v>
      </x:c>
      <x:c r="BA34" t="n">
        <x:v>0.91</x:v>
      </x:c>
      <x:c r="BB34" t="n">
        <x:v>2.69</x:v>
      </x:c>
      <x:c r="BC34" t="n">
        <x:v>2.62</x:v>
      </x:c>
      <x:c r="BD34" t="n">
        <x:v>2.27</x:v>
      </x:c>
      <x:c r="BE34"/>
      <x:c r="BG34" t="str">
        <x:v>  자본증가(감소)</x:v>
      </x:c>
      <x:c r="BH34" t="n">
        <x:v>-117</x:v>
      </x:c>
      <x:c r="BI34" t="n">
        <x:v>-59.6</x:v>
      </x:c>
      <x:c r="BJ34" t="n">
        <x:v>-58.5</x:v>
      </x:c>
      <x:c r="BK34" t="n">
        <x:v>-75</x:v>
      </x:c>
      <x:c r="BL34" t="n">
        <x:v>-65</x:v>
      </x:c>
      <x:c r="BM34"/>
    </x:row>
    <x:row r="35">
      <x:c r="A35" s="188"/>
      <x:c r="B35" s="187"/>
      <x:c r="C35" s="191"/>
      <x:c r="D35" s="191"/>
      <x:c r="E35" s="191"/>
      <x:c r="F35" s="191"/>
      <x:c r="G35" s="191"/>
      <x:c r="H35" s="191"/>
      <x:c r="I35" s="187"/>
      <x:c r="J35" s="187"/>
      <x:c r="M35" s="188"/>
      <x:c r="N35" s="187"/>
      <x:c r="O35" s="189"/>
      <x:c r="P35" s="189"/>
      <x:c r="Q35" s="189"/>
      <x:c r="R35" s="189"/>
      <x:c r="S35" s="189"/>
      <x:c r="T35" s="189"/>
      <x:c r="U35" s="189"/>
      <x:c r="V35" s="187"/>
      <x:c r="AI35" t="str">
        <x:v>중단사업이익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/>
      <x:c r="AQ35" t="str">
        <x:v>  기타비유동자산</x:v>
      </x:c>
      <x:c r="AR35" t="n">
        <x:v>45.5</x:v>
      </x:c>
      <x:c r="AS35" t="n">
        <x:v>36.9</x:v>
      </x:c>
      <x:c r="AT35" t="n">
        <x:v>33.9</x:v>
      </x:c>
      <x:c r="AU35" t="n">
        <x:v>33.9</x:v>
      </x:c>
      <x:c r="AV35" t="n">
        <x:v>33.9</x:v>
      </x:c>
      <x:c r="AW35"/>
      <x:c r="AY35" t="str">
        <x:v>PCFR</x:v>
      </x:c>
      <x:c r="AZ35" t="n">
        <x:v>7.42</x:v>
      </x:c>
      <x:c r="BA35" t="n">
        <x:v>4.91</x:v>
      </x:c>
      <x:c r="BB35" t="n">
        <x:v>13.65</x:v>
      </x:c>
      <x:c r="BC35" t="n">
        <x:v>9.94</x:v>
      </x:c>
      <x:c r="BD35" t="n">
        <x:v>8.48</x:v>
      </x:c>
      <x:c r="BE35"/>
      <x:c r="BG35" t="str">
        <x:v>  기타</x:v>
      </x:c>
      <x:c r="BH35" t="n">
        <x:v>-79.5</x:v>
      </x:c>
      <x:c r="BI35" t="n">
        <x:v>-56.3</x:v>
      </x:c>
      <x:c r="BJ35" t="n">
        <x:v>-103.9</x:v>
      </x:c>
      <x:c r="BK35" t="n">
        <x:v>-80.2</x:v>
      </x:c>
      <x:c r="BL35" t="n">
        <x:v>-39.6</x:v>
      </x:c>
      <x:c r="BM35"/>
    </x:row>
    <x:row r="36">
      <x:c r="A36" s="188"/>
      <x:c r="B36" s="187"/>
      <x:c r="C36" s="191"/>
      <x:c r="D36" s="191"/>
      <x:c r="E36" s="191"/>
      <x:c r="F36" s="191"/>
      <x:c r="G36" s="191"/>
      <x:c r="H36" s="191"/>
      <x:c r="I36" s="187"/>
      <x:c r="J36" s="187"/>
      <x:c r="M36" s="188"/>
      <x:c r="N36" s="187"/>
      <x:c r="O36" s="189"/>
      <x:c r="P36" s="189"/>
      <x:c r="Q36" s="189"/>
      <x:c r="R36" s="189"/>
      <x:c r="S36" s="189"/>
      <x:c r="T36" s="189"/>
      <x:c r="U36" s="189"/>
      <x:c r="V36" s="187"/>
      <x:c r="AI36" t="str">
        <x:v>당기순이익</x:v>
      </x:c>
      <x:c r="AJ36" t="n">
        <x:v>25.4</x:v>
      </x:c>
      <x:c r="AK36" t="n">
        <x:v>23.799999999999997</x:v>
      </x:c>
      <x:c r="AL36" t="n">
        <x:v>48.8</x:v>
      </x:c>
      <x:c r="AM36" t="n">
        <x:v>149.9</x:v>
      </x:c>
      <x:c r="AN36" t="n">
        <x:v>182.8</x:v>
      </x:c>
      <x:c r="AO36"/>
      <x:c r="AQ36" t="str">
        <x:v>자산총계</x:v>
      </x:c>
      <x:c r="AR36" t="n">
        <x:v>1127.5</x:v>
      </x:c>
      <x:c r="AS36" t="n">
        <x:v>1088.7</x:v>
      </x:c>
      <x:c r="AT36" t="n">
        <x:v>1250.6</x:v>
      </x:c>
      <x:c r="AU36" t="n">
        <x:v>1460.9</x:v>
      </x:c>
      <x:c r="AV36" t="n">
        <x:v>1654.2</x:v>
      </x:c>
      <x:c r="AW36"/>
      <x:c r="AY36" t="str">
        <x:v>EV/EBITDA</x:v>
      </x:c>
      <x:c r="AZ36" t="n">
        <x:v>8.47</x:v>
      </x:c>
      <x:c r="BA36" t="n">
        <x:v>4.49</x:v>
      </x:c>
      <x:c r="BB36" t="n">
        <x:v>13.96</x:v>
      </x:c>
      <x:c r="BC36" t="n">
        <x:v>8.16</x:v>
      </x:c>
      <x:c r="BD36" t="n">
        <x:v>6.68</x:v>
      </x:c>
      <x:c r="BE36"/>
      <x:c r="BG36" t="str">
        <x:v>재무활동 현금흐름</x:v>
      </x:c>
      <x:c r="BH36" t="n">
        <x:v>-27.8</x:v>
      </x:c>
      <x:c r="BI36" t="n">
        <x:v>-19.6</x:v>
      </x:c>
      <x:c r="BJ36" t="n">
        <x:v>6.1</x:v>
      </x:c>
      <x:c r="BK36" t="n">
        <x:v>-20.5</x:v>
      </x:c>
      <x:c r="BL36" t="n">
        <x:v>-27.4</x:v>
      </x:c>
      <x:c r="BM36"/>
    </x:row>
    <x:row r="37">
      <x:c r="A37" s="188"/>
      <x:c r="B37" s="187"/>
      <x:c r="C37" s="191"/>
      <x:c r="D37" s="191"/>
      <x:c r="E37" s="191"/>
      <x:c r="F37" s="191"/>
      <x:c r="G37" s="191"/>
      <x:c r="H37" s="191"/>
      <x:c r="I37" s="187"/>
      <x:c r="J37" s="187"/>
      <x:c r="M37" s="188"/>
      <x:c r="N37" s="187"/>
      <x:c r="O37" s="189"/>
      <x:c r="P37" s="189"/>
      <x:c r="Q37" s="189"/>
      <x:c r="R37" s="189"/>
      <x:c r="S37" s="189"/>
      <x:c r="T37" s="189"/>
      <x:c r="U37" s="189"/>
      <x:c r="V37" s="187"/>
      <x:c r="AI37" t="str">
        <x:v>비지배주주지분순이익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/>
      <x:c r="AQ37" t="str">
        <x:v>유동부채</x:v>
      </x:c>
      <x:c r="AR37" t="n">
        <x:v>176.7</x:v>
      </x:c>
      <x:c r="AS37" t="n">
        <x:v>159.7</x:v>
      </x:c>
      <x:c r="AT37" t="n">
        <x:v>275</x:v>
      </x:c>
      <x:c r="AU37" t="n">
        <x:v>336.5</x:v>
      </x:c>
      <x:c r="AV37" t="n">
        <x:v>358.5</x:v>
      </x:c>
      <x:c r="AW37"/>
      <x:c r="AY37" t="str">
        <x:v>PSR</x:v>
      </x:c>
      <x:c r="AZ37" t="n">
        <x:v>1.53</x:v>
      </x:c>
      <x:c r="BA37" t="n">
        <x:v>0.89</x:v>
      </x:c>
      <x:c r="BB37" t="n">
        <x:v>2.28</x:v>
      </x:c>
      <x:c r="BC37" t="n">
        <x:v>1.82</x:v>
      </x:c>
      <x:c r="BD37" t="n">
        <x:v>1.66</x:v>
      </x:c>
      <x:c r="BE37"/>
      <x:c r="BG37" t="str">
        <x:v>  금융부채증가(감소)</x:v>
      </x:c>
      <x:c r="BH37" t="n">
        <x:v>-7.2</x:v>
      </x:c>
      <x:c r="BI37" t="n">
        <x:v>-4.2</x:v>
      </x:c>
      <x:c r="BJ37" t="n">
        <x:v>27</x:v>
      </x:c>
      <x:c r="BK37" t="n">
        <x:v>0.1</x:v>
      </x:c>
      <x:c r="BL37" t="n">
        <x:v>-6.8</x:v>
      </x:c>
      <x:c r="BM37"/>
    </x:row>
    <x:row r="38">
      <x:c r="A38" s="188"/>
      <x:c r="B38" s="187"/>
      <x:c r="C38" s="191"/>
      <x:c r="D38" s="191"/>
      <x:c r="E38" s="191"/>
      <x:c r="F38" s="191"/>
      <x:c r="G38" s="191"/>
      <x:c r="H38" s="191"/>
      <x:c r="I38" s="187"/>
      <x:c r="J38" s="187"/>
      <x:c r="M38" s="188"/>
      <x:c r="N38" s="187"/>
      <x:c r="O38" s="189"/>
      <x:c r="P38" s="189"/>
      <x:c r="Q38" s="189"/>
      <x:c r="R38" s="189"/>
      <x:c r="S38" s="189"/>
      <x:c r="T38" s="189"/>
      <x:c r="U38" s="189"/>
      <x:c r="V38" s="187"/>
      <x:c r="AI38" t="str">
        <x:v>지배주주순이익</x:v>
      </x:c>
      <x:c r="AJ38" t="n">
        <x:v>25.4</x:v>
      </x:c>
      <x:c r="AK38" t="n">
        <x:v>23.8</x:v>
      </x:c>
      <x:c r="AL38" t="n">
        <x:v>48.8</x:v>
      </x:c>
      <x:c r="AM38" t="n">
        <x:v>149.9</x:v>
      </x:c>
      <x:c r="AN38" t="n">
        <x:v>182.8</x:v>
      </x:c>
      <x:c r="AO38"/>
      <x:c r="AQ38" t="str">
        <x:v>  금융부채</x:v>
      </x:c>
      <x:c r="AR38" t="n">
        <x:v>7.1</x:v>
      </x:c>
      <x:c r="AS38" t="n">
        <x:v>9.3</x:v>
      </x:c>
      <x:c r="AT38" t="n">
        <x:v>41.2</x:v>
      </x:c>
      <x:c r="AU38" t="n">
        <x:v>41.3</x:v>
      </x:c>
      <x:c r="AV38" t="n">
        <x:v>34.5</x:v>
      </x:c>
      <x:c r="AW38"/>
      <x:c r="AY38" t="str">
        <x:v>  재무비율(%)</x:v>
      </x:c>
      <x:c r="AZ38"/>
      <x:c r="BA38"/>
      <x:c r="BB38"/>
      <x:c r="BC38"/>
      <x:c r="BD38"/>
      <x:c r="BE38"/>
      <x:c r="BG38" t="str">
        <x:v>  자본증가(감소)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/>
    </x:row>
    <x:row r="39">
      <x:c r="A39" s="188"/>
      <x:c r="B39" s="187"/>
      <x:c r="C39" s="191"/>
      <x:c r="D39" s="191"/>
      <x:c r="E39" s="191"/>
      <x:c r="F39" s="191"/>
      <x:c r="G39" s="191"/>
      <x:c r="H39" s="191"/>
      <x:c r="I39" s="187"/>
      <x:c r="J39" s="187"/>
      <x:c r="M39" s="188"/>
      <x:c r="N39" s="187"/>
      <x:c r="O39" s="189"/>
      <x:c r="P39" s="189"/>
      <x:c r="Q39" s="189"/>
      <x:c r="R39" s="189"/>
      <x:c r="S39" s="189"/>
      <x:c r="T39" s="189"/>
      <x:c r="U39" s="189"/>
      <x:c r="V39" s="187"/>
      <x:c r="AI39" t="str">
        <x:v>지배주주지분포괄이익</x:v>
      </x:c>
      <x:c r="AJ39" t="n">
        <x:v>34</x:v>
      </x:c>
      <x:c r="AK39" t="n">
        <x:v>22.6</x:v>
      </x:c>
      <x:c r="AL39" t="n">
        <x:v>46.8</x:v>
      </x:c>
      <x:c r="AM39" t="n">
        <x:v>149.9</x:v>
      </x:c>
      <x:c r="AN39" t="n">
        <x:v>182.8</x:v>
      </x:c>
      <x:c r="AO39"/>
      <x:c r="AQ39" t="str">
        <x:v>  매입채무</x:v>
      </x:c>
      <x:c r="AR39" t="n">
        <x:v>46.2</x:v>
      </x:c>
      <x:c r="AS39" t="n">
        <x:v>42.4</x:v>
      </x:c>
      <x:c r="AT39" t="n">
        <x:v>65.3</x:v>
      </x:c>
      <x:c r="AU39" t="n">
        <x:v>83</x:v>
      </x:c>
      <x:c r="AV39" t="n">
        <x:v>91.2</x:v>
      </x:c>
      <x:c r="AW39"/>
      <x:c r="AY39" t="str">
        <x:v>구분</x:v>
      </x:c>
      <x:c r="AZ39" t="str">
        <x:v>2023</x:v>
      </x:c>
      <x:c r="BA39" t="str">
        <x:v>2024</x:v>
      </x:c>
      <x:c r="BB39" t="str">
        <x:v>2025F</x:v>
      </x:c>
      <x:c r="BC39" t="str">
        <x:v>2026F</x:v>
      </x:c>
      <x:c r="BD39" t="str">
        <x:v>2027F</x:v>
      </x:c>
      <x:c r="BE39" t="str">
        <x:v>비고</x:v>
      </x:c>
      <x:c r="BG39" t="str">
        <x:v>  기타재무활동</x:v>
      </x:c>
      <x:c r="BH39" t="n">
        <x:v>0</x:v>
      </x:c>
      <x:c r="BI39" t="n">
        <x:v>0.1</x:v>
      </x:c>
      <x:c r="BJ39" t="n">
        <x:v>-0.3</x:v>
      </x:c>
      <x:c r="BK39" t="n">
        <x:v>0</x:v>
      </x:c>
      <x:c r="BL39" t="n">
        <x:v>0</x:v>
      </x:c>
      <x:c r="BM39"/>
    </x:row>
    <x:row r="40">
      <x:c r="A40" s="188"/>
      <x:c r="B40" s="187"/>
      <x:c r="C40" s="191"/>
      <x:c r="D40" s="191"/>
      <x:c r="E40" s="191"/>
      <x:c r="F40" s="191"/>
      <x:c r="G40" s="191"/>
      <x:c r="H40" s="191"/>
      <x:c r="I40" s="187"/>
      <x:c r="J40" s="187"/>
      <x:c r="M40" s="188"/>
      <x:c r="N40" s="187"/>
      <x:c r="O40" s="189"/>
      <x:c r="P40" s="189"/>
      <x:c r="Q40" s="189"/>
      <x:c r="R40" s="189"/>
      <x:c r="S40" s="189"/>
      <x:c r="T40" s="189"/>
      <x:c r="U40" s="189"/>
      <x:c r="V40" s="187"/>
      <x:c r="AI40" t="str">
        <x:v>NOPAT</x:v>
      </x:c>
      <x:c r="AJ40" t="n">
        <x:v>21.2</x:v>
      </x:c>
      <x:c r="AK40" t="n">
        <x:v>8.9</x:v>
      </x:c>
      <x:c r="AL40" t="n">
        <x:v>44.8</x:v>
      </x:c>
      <x:c r="AM40" t="n">
        <x:v>144</x:v>
      </x:c>
      <x:c r="AN40" t="n">
        <x:v>174.7</x:v>
      </x:c>
      <x:c r="AO40"/>
      <x:c r="AQ40" t="str">
        <x:v>  기타유동부채</x:v>
      </x:c>
      <x:c r="AR40" t="n">
        <x:v>123.4</x:v>
      </x:c>
      <x:c r="AS40" t="n">
        <x:v>108</x:v>
      </x:c>
      <x:c r="AT40" t="n">
        <x:v>168.5</x:v>
      </x:c>
      <x:c r="AU40" t="n">
        <x:v>212.2</x:v>
      </x:c>
      <x:c r="AV40" t="n">
        <x:v>232.8</x:v>
      </x:c>
      <x:c r="AW40"/>
      <x:c r="AY40" t="str">
        <x:v>ROE</x:v>
      </x:c>
      <x:c r="AZ40" t="n">
        <x:v>0.0295</x:v>
      </x:c>
      <x:c r="BA40" t="n">
        <x:v>0.0273</x:v>
      </x:c>
      <x:c r="BB40" t="n">
        <x:v>0.0549</x:v>
      </x:c>
      <x:c r="BC40" t="n">
        <x:v>0.1551</x:v>
      </x:c>
      <x:c r="BD40" t="n">
        <x:v>0.1644</x:v>
      </x:c>
      <x:c r="BE40"/>
      <x:c r="BG40" t="str">
        <x:v>  배당지급</x:v>
      </x:c>
      <x:c r="BH40" t="n">
        <x:v>-20.6</x:v>
      </x:c>
      <x:c r="BI40" t="n">
        <x:v>-15.5</x:v>
      </x:c>
      <x:c r="BJ40" t="n">
        <x:v>-20.6</x:v>
      </x:c>
      <x:c r="BK40" t="n">
        <x:v>-20.6</x:v>
      </x:c>
      <x:c r="BL40" t="n">
        <x:v>-20.6</x:v>
      </x:c>
      <x:c r="BM40"/>
    </x:row>
    <x:row r="41">
      <x:c r="A41" s="188"/>
      <x:c r="B41" s="187"/>
      <x:c r="C41" s="191"/>
      <x:c r="D41" s="191"/>
      <x:c r="E41" s="191"/>
      <x:c r="F41" s="191"/>
      <x:c r="G41" s="191"/>
      <x:c r="H41" s="191"/>
      <x:c r="I41" s="187"/>
      <x:c r="J41" s="187"/>
      <x:c r="M41" s="188"/>
      <x:c r="N41" s="187"/>
      <x:c r="O41" s="189"/>
      <x:c r="P41" s="189"/>
      <x:c r="Q41" s="189"/>
      <x:c r="R41" s="189"/>
      <x:c r="S41" s="189"/>
      <x:c r="T41" s="189"/>
      <x:c r="U41" s="189"/>
      <x:c r="V41" s="187"/>
      <x:c r="AI41" t="str">
        <x:v>EBITDA</x:v>
      </x:c>
      <x:c r="AJ41" t="n">
        <x:v>138.8</x:v>
      </x:c>
      <x:c r="AK41" t="n">
        <x:v>128.7</x:v>
      </x:c>
      <x:c r="AL41" t="n">
        <x:v>150.1</x:v>
      </x:c>
      <x:c r="AM41" t="n">
        <x:v>274.3</x:v>
      </x:c>
      <x:c r="AN41" t="n">
        <x:v>308.8</x:v>
      </x:c>
      <x:c r="AO41"/>
      <x:c r="AQ41" t="str">
        <x:v>비유동부채</x:v>
      </x:c>
      <x:c r="AR41" t="n">
        <x:v>82.5</x:v>
      </x:c>
      <x:c r="AS41" t="n">
        <x:v>53.5</x:v>
      </x:c>
      <x:c r="AT41" t="n">
        <x:v>73.9</x:v>
      </x:c>
      <x:c r="AU41" t="n">
        <x:v>93.4</x:v>
      </x:c>
      <x:c r="AV41" t="n">
        <x:v>102.5</x:v>
      </x:c>
      <x:c r="AW41"/>
      <x:c r="AY41" t="str">
        <x:v>ROA</x:v>
      </x:c>
      <x:c r="AZ41" t="n">
        <x:v>0.0219</x:v>
      </x:c>
      <x:c r="BA41" t="n">
        <x:v>0.0214</x:v>
      </x:c>
      <x:c r="BB41" t="n">
        <x:v>0.0417</x:v>
      </x:c>
      <x:c r="BC41" t="n">
        <x:v>0.1105</x:v>
      </x:c>
      <x:c r="BD41" t="n">
        <x:v>0.1174</x:v>
      </x:c>
      <x:c r="BE41"/>
      <x:c r="BG41" t="str">
        <x:v>현금의 증감</x:v>
      </x:c>
      <x:c r="BH41" t="n">
        <x:v>-44.5</x:v>
      </x:c>
      <x:c r="BI41" t="n">
        <x:v>-37.9</x:v>
      </x:c>
      <x:c r="BJ41" t="n">
        <x:v>14.2</x:v>
      </x:c>
      <x:c r="BK41" t="n">
        <x:v>51.3</x:v>
      </x:c>
      <x:c r="BL41" t="n">
        <x:v>133.3</x:v>
      </x:c>
      <x:c r="BM41"/>
    </x:row>
    <x:row r="42">
      <x:c r="A42" s="188"/>
      <x:c r="B42" s="187"/>
      <x:c r="C42" s="191"/>
      <x:c r="D42" s="191"/>
      <x:c r="E42" s="191"/>
      <x:c r="F42" s="191"/>
      <x:c r="G42" s="191"/>
      <x:c r="H42" s="191"/>
      <x:c r="I42" s="187"/>
      <x:c r="J42" s="187"/>
      <x:c r="M42" s="188"/>
      <x:c r="N42" s="187"/>
      <x:c r="O42" s="189"/>
      <x:c r="P42" s="189"/>
      <x:c r="Q42" s="189"/>
      <x:c r="R42" s="189"/>
      <x:c r="S42" s="189"/>
      <x:c r="T42" s="189"/>
      <x:c r="U42" s="189"/>
      <x:c r="V42" s="187"/>
      <x:c r="AI42"/>
      <x:c r="AJ42"/>
      <x:c r="AK42"/>
      <x:c r="AL42"/>
      <x:c r="AM42"/>
      <x:c r="AN42"/>
      <x:c r="AO42"/>
      <x:c r="AQ42" t="str">
        <x:v>  금융부채</x:v>
      </x:c>
      <x:c r="AR42" t="n">
        <x:v>13</x:v>
      </x:c>
      <x:c r="AS42" t="n">
        <x:v>6.6</x:v>
      </x:c>
      <x:c r="AT42" t="n">
        <x:v>1.7</x:v>
      </x:c>
      <x:c r="AU42" t="n">
        <x:v>1.7</x:v>
      </x:c>
      <x:c r="AV42" t="n">
        <x:v>1.7</x:v>
      </x:c>
      <x:c r="AW42"/>
      <x:c r="AY42" t="str">
        <x:v>ROIC</x:v>
      </x:c>
      <x:c r="AZ42" t="n">
        <x:v>0.0321</x:v>
      </x:c>
      <x:c r="BA42" t="n">
        <x:v>0.0138</x:v>
      </x:c>
      <x:c r="BB42" t="n">
        <x:v>0.0757</x:v>
      </x:c>
      <x:c r="BC42" t="n">
        <x:v>0.256</x:v>
      </x:c>
      <x:c r="BD42" t="n">
        <x:v>0.3194</x:v>
      </x:c>
      <x:c r="BE42"/>
      <x:c r="BG42" t="str">
        <x:v>Unlevered CFO</x:v>
      </x:c>
      <x:c r="BH42" t="n">
        <x:v>187.8</x:v>
      </x:c>
      <x:c r="BI42" t="n">
        <x:v>162.6</x:v>
      </x:c>
      <x:c r="BJ42" t="n">
        <x:v>177.8</x:v>
      </x:c>
      <x:c r="BK42" t="n">
        <x:v>272.1</x:v>
      </x:c>
      <x:c r="BL42" t="n">
        <x:v>319</x:v>
      </x:c>
      <x:c r="BM42"/>
    </x:row>
    <x:row r="43">
      <x:c r="A43" s="188"/>
      <x:c r="B43" s="187"/>
      <x:c r="C43" s="191"/>
      <x:c r="D43" s="191"/>
      <x:c r="E43" s="191"/>
      <x:c r="F43" s="191"/>
      <x:c r="G43" s="191"/>
      <x:c r="H43" s="191"/>
      <x:c r="I43" s="187"/>
      <x:c r="J43" s="187"/>
      <x:c r="M43" s="188"/>
      <x:c r="N43" s="187"/>
      <x:c r="O43" s="189"/>
      <x:c r="P43" s="189"/>
      <x:c r="Q43" s="189"/>
      <x:c r="R43" s="189"/>
      <x:c r="S43" s="189"/>
      <x:c r="T43" s="189"/>
      <x:c r="U43" s="189"/>
      <x:c r="V43" s="187"/>
      <x:c r="AI43" t="str">
        <x:v>  성장성 (%)</x:v>
      </x:c>
      <x:c r="AJ43"/>
      <x:c r="AK43"/>
      <x:c r="AL43"/>
      <x:c r="AM43"/>
      <x:c r="AN43"/>
      <x:c r="AO43"/>
      <x:c r="AQ43" t="str">
        <x:v>  기타비유동부채</x:v>
      </x:c>
      <x:c r="AR43" t="n">
        <x:v>69.5</x:v>
      </x:c>
      <x:c r="AS43" t="n">
        <x:v>46.9</x:v>
      </x:c>
      <x:c r="AT43" t="n">
        <x:v>72.2</x:v>
      </x:c>
      <x:c r="AU43" t="n">
        <x:v>91.7</x:v>
      </x:c>
      <x:c r="AV43" t="n">
        <x:v>100.8</x:v>
      </x:c>
      <x:c r="AW43"/>
      <x:c r="AY43" t="str">
        <x:v>부채비율</x:v>
      </x:c>
      <x:c r="AZ43" t="n">
        <x:v>0.2985</x:v>
      </x:c>
      <x:c r="BA43" t="n">
        <x:v>0.2435</x:v>
      </x:c>
      <x:c r="BB43" t="n">
        <x:v>0.3869</x:v>
      </x:c>
      <x:c r="BC43" t="n">
        <x:v>0.417</x:v>
      </x:c>
      <x:c r="BD43" t="n">
        <x:v>0.3863</x:v>
      </x:c>
      <x:c r="BE43"/>
      <x:c r="BG43" t="str">
        <x:v>Free Cash Flow</x:v>
      </x:c>
      <x:c r="BH43" t="n">
        <x:v>63.7</x:v>
      </x:c>
      <x:c r="BI43" t="n">
        <x:v>38.2</x:v>
      </x:c>
      <x:c r="BJ43" t="n">
        <x:v>124</x:v>
      </x:c>
      <x:c r="BK43" t="n">
        <x:v>187.9</x:v>
      </x:c>
      <x:c r="BL43" t="n">
        <x:v>217.1</x:v>
      </x:c>
      <x:c r="BM43"/>
    </x:row>
    <x:row r="44">
      <x:c r="A44" s="188"/>
      <x:c r="B44" s="187"/>
      <x:c r="C44" s="191"/>
      <x:c r="D44" s="191"/>
      <x:c r="E44" s="191"/>
      <x:c r="F44" s="191"/>
      <x:c r="G44" s="191"/>
      <x:c r="H44" s="191"/>
      <x:c r="I44" s="187"/>
      <x:c r="J44" s="187"/>
      <x:c r="M44" s="188"/>
      <x:c r="N44" s="187"/>
      <x:c r="O44" s="189"/>
      <x:c r="P44" s="189"/>
      <x:c r="Q44" s="189"/>
      <x:c r="R44" s="189"/>
      <x:c r="S44" s="189"/>
      <x:c r="T44" s="189"/>
      <x:c r="U44" s="189"/>
      <x:c r="V44" s="187"/>
      <x:c r="AI44" t="str">
        <x:v>매출액증가율</x:v>
      </x:c>
      <x:c r="AJ44" t="n">
        <x:v>-0.3088</x:v>
      </x:c>
      <x:c r="AK44" t="n">
        <x:v>-0.0193</x:v>
      </x:c>
      <x:c r="AL44" t="n">
        <x:v>0.1941</x:v>
      </x:c>
      <x:c r="AM44" t="n">
        <x:v>0.3945</x:v>
      </x:c>
      <x:c r="AN44" t="n">
        <x:v>0.0994</x:v>
      </x:c>
      <x:c r="AO44"/>
      <x:c r="AQ44" t="str">
        <x:v>부채총계</x:v>
      </x:c>
      <x:c r="AR44" t="n">
        <x:v>259.2</x:v>
      </x:c>
      <x:c r="AS44" t="n">
        <x:v>213.2</x:v>
      </x:c>
      <x:c r="AT44" t="n">
        <x:v>348.8</x:v>
      </x:c>
      <x:c r="AU44" t="n">
        <x:v>429.9</x:v>
      </x:c>
      <x:c r="AV44" t="n">
        <x:v>461</x:v>
      </x:c>
      <x:c r="AW44"/>
      <x:c r="AY44" t="str">
        <x:v>순부채비율</x:v>
      </x:c>
      <x:c r="AZ44" t="n">
        <x:v>-0.2108</x:v>
      </x:c>
      <x:c r="BA44" t="n">
        <x:v>-0.2344</x:v>
      </x:c>
      <x:c r="BB44" t="n">
        <x:v>-0.291</x:v>
      </x:c>
      <x:c r="BC44" t="n">
        <x:v>-0.3781</x:v>
      </x:c>
      <x:c r="BD44" t="n">
        <x:v>-0.474</x:v>
      </x:c>
      <x:c r="BE44"/>
      <x:c r="BG44"/>
      <x:c r="BH44"/>
      <x:c r="BI44"/>
      <x:c r="BJ44"/>
      <x:c r="BK44"/>
      <x:c r="BL44"/>
      <x:c r="BM44"/>
    </x:row>
    <x:row r="45">
      <x:c r="A45" s="188"/>
      <x:c r="B45" s="187"/>
      <x:c r="C45" s="191"/>
      <x:c r="D45" s="191"/>
      <x:c r="E45" s="191"/>
      <x:c r="F45" s="191"/>
      <x:c r="G45" s="191"/>
      <x:c r="H45" s="191"/>
      <x:c r="I45" s="187"/>
      <x:c r="J45" s="187"/>
      <x:c r="M45" s="188"/>
      <x:c r="N45" s="187"/>
      <x:c r="O45" s="189"/>
      <x:c r="P45" s="189"/>
      <x:c r="Q45" s="189"/>
      <x:c r="R45" s="189"/>
      <x:c r="S45" s="189"/>
      <x:c r="T45" s="189"/>
      <x:c r="U45" s="189"/>
      <x:c r="V45" s="187"/>
      <x:c r="AI45" t="str">
        <x:v>NOPAT증가율</x:v>
      </x:c>
      <x:c r="AJ45" t="n">
        <x:v>-0.8788</x:v>
      </x:c>
      <x:c r="AK45" t="n">
        <x:v>-0.5802</x:v>
      </x:c>
      <x:c r="AL45" t="n">
        <x:v>4.0337</x:v>
      </x:c>
      <x:c r="AM45" t="n">
        <x:v>2.2143</x:v>
      </x:c>
      <x:c r="AN45" t="n">
        <x:v>0.2132</x:v>
      </x:c>
      <x:c r="AO45"/>
      <x:c r="AQ45" t="str">
        <x:v>지배주주지분</x:v>
      </x:c>
      <x:c r="AR45" t="n">
        <x:v>868.3</x:v>
      </x:c>
      <x:c r="AS45" t="n">
        <x:v>875.5</x:v>
      </x:c>
      <x:c r="AT45" t="n">
        <x:v>901.7</x:v>
      </x:c>
      <x:c r="AU45" t="n">
        <x:v>1031</x:v>
      </x:c>
      <x:c r="AV45" t="n">
        <x:v>1193.2</x:v>
      </x:c>
      <x:c r="AW45"/>
      <x:c r="AY45" t="str">
        <x:v>이자보상배율(배)</x:v>
      </x:c>
      <x:c r="AZ45" t="n">
        <x:v>25.76</x:v>
      </x:c>
      <x:c r="BA45" t="n">
        <x:v>16.49</x:v>
      </x:c>
      <x:c r="BB45" t="n">
        <x:v>39.53</x:v>
      </x:c>
      <x:c r="BC45" t="n">
        <x:v>134.63</x:v>
      </x:c>
      <x:c r="BD45" t="n">
        <x:v>0</x:v>
      </x:c>
      <x:c r="BE45"/>
      <x:c r="BG45" t="str">
        <x:v>자료: 하나증권</x:v>
      </x:c>
      <x:c r="BH45"/>
      <x:c r="BI45"/>
      <x:c r="BJ45"/>
      <x:c r="BK45"/>
      <x:c r="BL45"/>
      <x:c r="BM45"/>
    </x:row>
    <x:row r="46">
      <x:c r="A46" s="188"/>
      <x:c r="B46" s="187"/>
      <x:c r="C46" s="191"/>
      <x:c r="D46" s="191"/>
      <x:c r="E46" s="191"/>
      <x:c r="F46" s="191"/>
      <x:c r="G46" s="191"/>
      <x:c r="H46" s="191"/>
      <x:c r="I46" s="187"/>
      <x:c r="J46" s="187"/>
      <x:c r="M46" s="188"/>
      <x:c r="N46" s="187"/>
      <x:c r="O46" s="189"/>
      <x:c r="P46" s="189"/>
      <x:c r="Q46" s="189"/>
      <x:c r="R46" s="189"/>
      <x:c r="S46" s="189"/>
      <x:c r="T46" s="189"/>
      <x:c r="U46" s="189"/>
      <x:c r="V46" s="187"/>
      <x:c r="AI46" t="str">
        <x:v>EBITDA증가율</x:v>
      </x:c>
      <x:c r="AJ46" t="n">
        <x:v>-0.5885</x:v>
      </x:c>
      <x:c r="AK46" t="n">
        <x:v>-0.0728</x:v>
      </x:c>
      <x:c r="AL46" t="n">
        <x:v>0.1663</x:v>
      </x:c>
      <x:c r="AM46" t="n">
        <x:v>0.8274</x:v>
      </x:c>
      <x:c r="AN46" t="n">
        <x:v>0.1258</x:v>
      </x:c>
      <x:c r="AO46"/>
      <x:c r="AQ46" t="str">
        <x:v>  자본금</x:v>
      </x:c>
      <x:c r="AR46" t="n">
        <x:v>25.8</x:v>
      </x:c>
      <x:c r="AS46" t="n">
        <x:v>25.8</x:v>
      </x:c>
      <x:c r="AT46" t="n">
        <x:v>25.8</x:v>
      </x:c>
      <x:c r="AU46" t="n">
        <x:v>25.8</x:v>
      </x:c>
      <x:c r="AV46" t="n">
        <x:v>25.8</x:v>
      </x:c>
      <x:c r="AW46"/>
      <x:c r="AY46"/>
      <x:c r="AZ46"/>
      <x:c r="BA46"/>
      <x:c r="BB46"/>
      <x:c r="BC46"/>
      <x:c r="BD46"/>
      <x:c r="BE46"/>
      <x:c r="BG46"/>
      <x:c r="BH46"/>
      <x:c r="BI46"/>
      <x:c r="BJ46"/>
      <x:c r="BK46"/>
      <x:c r="BL46"/>
      <x:c r="BM46"/>
    </x:row>
    <x:row r="47">
      <x:c r="A47" s="188"/>
      <x:c r="B47" s="187"/>
      <x:c r="C47" s="191"/>
      <x:c r="D47" s="191"/>
      <x:c r="E47" s="191"/>
      <x:c r="F47" s="191"/>
      <x:c r="G47" s="191"/>
      <x:c r="H47" s="191"/>
      <x:c r="I47" s="187"/>
      <x:c r="J47" s="187"/>
      <x:c r="M47" s="188"/>
      <x:c r="N47" s="187"/>
      <x:c r="O47" s="189"/>
      <x:c r="P47" s="189"/>
      <x:c r="Q47" s="189"/>
      <x:c r="R47" s="189"/>
      <x:c r="S47" s="189"/>
      <x:c r="T47" s="189"/>
      <x:c r="U47" s="189"/>
      <x:c r="V47" s="187"/>
      <x:c r="AI47" t="str">
        <x:v>영업이익증가율</x:v>
      </x:c>
      <x:c r="AJ47" t="n">
        <x:v>-0.8981</x:v>
      </x:c>
      <x:c r="AK47" t="n">
        <x:v>-0.5232</x:v>
      </x:c>
      <x:c r="AL47" t="n">
        <x:v>3.354</x:v>
      </x:c>
      <x:c r="AM47" t="n">
        <x:v>2.6585</x:v>
      </x:c>
      <x:c r="AN47" t="n">
        <x:v>0.2128</x:v>
      </x:c>
      <x:c r="AO47"/>
      <x:c r="AQ47" t="str">
        <x:v>  자본잉여금</x:v>
      </x:c>
      <x:c r="AR47" t="n">
        <x:v>545.1</x:v>
      </x:c>
      <x:c r="AS47" t="n">
        <x:v>545.1</x:v>
      </x:c>
      <x:c r="AT47" t="n">
        <x:v>545.1</x:v>
      </x:c>
      <x:c r="AU47" t="n">
        <x:v>545.1</x:v>
      </x:c>
      <x:c r="AV47" t="n">
        <x:v>545.1</x:v>
      </x:c>
      <x:c r="AW47"/>
      <x:c r="AY47" t="str">
        <x:v>자료: 하나증권</x:v>
      </x:c>
      <x:c r="AZ47"/>
      <x:c r="BA47"/>
      <x:c r="BB47"/>
      <x:c r="BC47"/>
      <x:c r="BD47"/>
      <x:c r="BE47"/>
      <x:c r="BG47" t="str">
        <x:v>  정합성 체크 (원문 수치를 수식으로 재계산)</x:v>
      </x:c>
      <x:c r="BH47"/>
      <x:c r="BI47"/>
      <x:c r="BJ47"/>
      <x:c r="BK47"/>
      <x:c r="BL47"/>
      <x:c r="BM47"/>
    </x:row>
    <x:row r="48">
      <x:c r="A48" s="188"/>
      <x:c r="B48" s="187"/>
      <x:c r="C48" s="191"/>
      <x:c r="D48" s="191"/>
      <x:c r="E48" s="191"/>
      <x:c r="F48" s="191"/>
      <x:c r="G48" s="191"/>
      <x:c r="H48" s="191"/>
      <x:c r="I48" s="187"/>
      <x:c r="J48" s="187"/>
      <x:c r="M48" s="188"/>
      <x:c r="N48" s="187"/>
      <x:c r="O48" s="189"/>
      <x:c r="P48" s="189"/>
      <x:c r="Q48" s="189"/>
      <x:c r="R48" s="189"/>
      <x:c r="S48" s="189"/>
      <x:c r="T48" s="189"/>
      <x:c r="U48" s="189"/>
      <x:c r="V48" s="187"/>
      <x:c r="AI48" t="str">
        <x:v>(지배주주)순익증가율</x:v>
      </x:c>
      <x:c r="AJ48" t="n">
        <x:v>-0.8619</x:v>
      </x:c>
      <x:c r="AK48" t="n">
        <x:v>-0.063</x:v>
      </x:c>
      <x:c r="AL48" t="n">
        <x:v>1.0504</x:v>
      </x:c>
      <x:c r="AM48" t="n">
        <x:v>2.0717</x:v>
      </x:c>
      <x:c r="AN48" t="n">
        <x:v>0.2195</x:v>
      </x:c>
      <x:c r="AO48"/>
      <x:c r="AQ48" t="str">
        <x:v>  자본조정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/>
      <x:c r="AY48"/>
      <x:c r="AZ48"/>
      <x:c r="BA48"/>
      <x:c r="BB48"/>
      <x:c r="BC48"/>
      <x:c r="BD48"/>
      <x:c r="BE48"/>
      <x:c r="BG48" t="str">
        <x:v>체크 항목</x:v>
      </x:c>
      <x:c r="BH48" t="str">
        <x:v>2023</x:v>
      </x:c>
      <x:c r="BI48" t="str">
        <x:v>2024</x:v>
      </x:c>
      <x:c r="BJ48" t="str">
        <x:v>2025F</x:v>
      </x:c>
      <x:c r="BK48" t="str">
        <x:v>2026F</x:v>
      </x:c>
      <x:c r="BL48" t="str">
        <x:v>2027F</x:v>
      </x:c>
      <x:c r="BM48" t="str">
        <x:v>비고</x:v>
      </x:c>
    </x:row>
    <x:row r="49">
      <x:c r="A49" s="188"/>
      <x:c r="B49" s="187"/>
      <x:c r="C49" s="191"/>
      <x:c r="D49" s="191"/>
      <x:c r="E49" s="191"/>
      <x:c r="F49" s="191"/>
      <x:c r="G49" s="191"/>
      <x:c r="H49" s="191"/>
      <x:c r="I49" s="187"/>
      <x:c r="J49" s="187"/>
      <x:c r="M49" s="188"/>
      <x:c r="N49" s="187"/>
      <x:c r="O49" s="189"/>
      <x:c r="P49" s="189"/>
      <x:c r="Q49" s="189"/>
      <x:c r="R49" s="189"/>
      <x:c r="S49" s="189"/>
      <x:c r="T49" s="189"/>
      <x:c r="U49" s="189"/>
      <x:c r="V49" s="187"/>
      <x:c r="AI49" t="str">
        <x:v>EPS증가율</x:v>
      </x:c>
      <x:c r="AJ49" t="n">
        <x:v>-0.8619</x:v>
      </x:c>
      <x:c r="AK49" t="n">
        <x:v>-0.0649</x:v>
      </x:c>
      <x:c r="AL49" t="n">
        <x:v>1.0542</x:v>
      </x:c>
      <x:c r="AM49" t="n">
        <x:v>2.2027</x:v>
      </x:c>
      <x:c r="AN49" t="n">
        <x:v>0.2196</x:v>
      </x:c>
      <x:c r="AO49"/>
      <x:c r="AQ49" t="str">
        <x:v>  기타포괄이익누계액</x:v>
      </x:c>
      <x:c r="AR49" t="n">
        <x:v>0.8</x:v>
      </x:c>
      <x:c r="AS49" t="n">
        <x:v>3.1</x:v>
      </x:c>
      <x:c r="AT49" t="n">
        <x:v>0.7</x:v>
      </x:c>
      <x:c r="AU49" t="n">
        <x:v>0.7</x:v>
      </x:c>
      <x:c r="AV49" t="n">
        <x:v>0.7</x:v>
      </x:c>
      <x:c r="AW49"/>
      <x:c r="AY49" t="str">
        <x:v>  정합성 체크 (원문 수치를 수식으로 재계산)</x:v>
      </x:c>
      <x:c r="AZ49"/>
      <x:c r="BA49"/>
      <x:c r="BB49"/>
      <x:c r="BC49"/>
      <x:c r="BD49"/>
      <x:c r="BE49"/>
      <x:c r="BG49" t="str">
        <x:v>영업+투자+재무−현금증감 (미표시 조정)</x:v>
      </x:c>
      <x:c r="BH49" t="n">
        <x:v>-0.10000000000000853</x:v>
      </x:c>
      <x:c r="BI49" t="n">
        <x:v>0</x:v>
      </x:c>
      <x:c r="BJ49" t="n">
        <x:v>12.900000000000002</x:v>
      </x:c>
      <x:c r="BK49" t="n">
        <x:v>35.79999999999997</x:v>
      </x:c>
      <x:c r="BL49" t="n">
        <x:v>16.80000000000001</x:v>
      </x:c>
      <x:c r="BM49" t="str">
        <x:v>환율·현금성자산 분류 등 원문 미표시 조정액</x:v>
      </x:c>
    </x:row>
    <x:row r="50">
      <x:c r="A50" s="188"/>
      <x:c r="B50" s="187"/>
      <x:c r="C50" s="191"/>
      <x:c r="D50" s="191"/>
      <x:c r="E50" s="191"/>
      <x:c r="F50" s="191"/>
      <x:c r="G50" s="191"/>
      <x:c r="H50" s="191"/>
      <x:c r="I50" s="187"/>
      <x:c r="J50" s="187"/>
      <x:c r="M50" s="188"/>
      <x:c r="N50" s="187"/>
      <x:c r="O50" s="189"/>
      <x:c r="P50" s="189"/>
      <x:c r="Q50" s="189"/>
      <x:c r="R50" s="189"/>
      <x:c r="S50" s="189"/>
      <x:c r="T50" s="189"/>
      <x:c r="U50" s="189"/>
      <x:c r="V50" s="187"/>
      <x:c r="AI50" t="str">
        <x:v>  수익성 (%)</x:v>
      </x:c>
      <x:c r="AJ50"/>
      <x:c r="AK50"/>
      <x:c r="AL50"/>
      <x:c r="AM50"/>
      <x:c r="AN50"/>
      <x:c r="AO50"/>
      <x:c r="AQ50" t="str">
        <x:v>  이익잉여금</x:v>
      </x:c>
      <x:c r="AR50" t="n">
        <x:v>296.7</x:v>
      </x:c>
      <x:c r="AS50" t="n">
        <x:v>301.6</x:v>
      </x:c>
      <x:c r="AT50" t="n">
        <x:v>330.2</x:v>
      </x:c>
      <x:c r="AU50" t="n">
        <x:v>459.5</x:v>
      </x:c>
      <x:c r="AV50" t="n">
        <x:v>621.7</x:v>
      </x:c>
      <x:c r="AW50"/>
      <x:c r="AY50" t="str">
        <x:v>체크 항목</x:v>
      </x:c>
      <x:c r="AZ50" t="str">
        <x:v>2023</x:v>
      </x:c>
      <x:c r="BA50" t="str">
        <x:v>2024</x:v>
      </x:c>
      <x:c r="BB50" t="str">
        <x:v>2025F</x:v>
      </x:c>
      <x:c r="BC50" t="str">
        <x:v>2026F</x:v>
      </x:c>
      <x:c r="BD50" t="str">
        <x:v>2027F</x:v>
      </x:c>
      <x:c r="BE50" t="str">
        <x:v>비고</x:v>
      </x:c>
      <x:c r="BG50"/>
      <x:c r="BH50"/>
      <x:c r="BI50"/>
      <x:c r="BJ50"/>
      <x:c r="BK50"/>
      <x:c r="BL50"/>
      <x:c r="BM50"/>
    </x:row>
    <x:row r="51">
      <x:c r="A51" s="188"/>
      <x:c r="B51" s="187"/>
      <x:c r="C51" s="191"/>
      <x:c r="D51" s="191"/>
      <x:c r="E51" s="191"/>
      <x:c r="F51" s="191"/>
      <x:c r="G51" s="191"/>
      <x:c r="H51" s="191"/>
      <x:c r="I51" s="187"/>
      <x:c r="J51" s="187"/>
      <x:c r="M51" s="188"/>
      <x:c r="N51" s="187"/>
      <x:c r="O51" s="189"/>
      <x:c r="P51" s="189"/>
      <x:c r="Q51" s="189"/>
      <x:c r="R51" s="189"/>
      <x:c r="S51" s="189"/>
      <x:c r="T51" s="189"/>
      <x:c r="U51" s="189"/>
      <x:c r="V51" s="187"/>
      <x:c r="AI51" t="str">
        <x:v>매출총이익률</x:v>
      </x:c>
      <x:c r="AJ51" t="n">
        <x:v>0.0827</x:v>
      </x:c>
      <x:c r="AK51" t="n">
        <x:v>0.0689</x:v>
      </x:c>
      <x:c r="AL51" t="n">
        <x:v>0.1015</x:v>
      </x:c>
      <x:c r="AM51" t="n">
        <x:v>0.1638</x:v>
      </x:c>
      <x:c r="AN51" t="n">
        <x:v>0.1701</x:v>
      </x:c>
      <x:c r="AO51"/>
      <x:c r="AQ51" t="str">
        <x:v>비지배주주지분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/>
      <x:c r="AY51" t="str">
        <x:v>PER 재계산 = 현재주가/EPS (2026F)</x:v>
      </x:c>
      <x:c r="AZ51"/>
      <x:c r="BA51"/>
      <x:c r="BB51"/>
      <x:c r="BC51" t="n">
        <x:v>17.309594460929773</x:v>
      </x:c>
      <x:c r="BD51" t="str">
        <x:v>현재주가 52,500원 기준 (전망년도는 원문 표기 그대로)</x:v>
      </x:c>
      <x:c r="BE51"/>
      <x:c r="BG51" t="str">
        <x:v>주) 원문 표에는 환율효과·현금성자산 분류 조정 등 일부 조정항목이 별도 표시되지 않아 영업·투자·재무활동 합계와 현금증감 간 차이가 발생할 수 있습니다.</x:v>
      </x:c>
      <x:c r="BH51"/>
      <x:c r="BI51"/>
      <x:c r="BJ51"/>
      <x:c r="BK51"/>
      <x:c r="BL51"/>
      <x:c r="BM51"/>
    </x:row>
    <x:row r="52">
      <x:c r="A52" s="188"/>
      <x:c r="B52" s="187"/>
      <x:c r="C52" s="191"/>
      <x:c r="D52" s="191"/>
      <x:c r="E52" s="191"/>
      <x:c r="F52" s="191"/>
      <x:c r="G52" s="191"/>
      <x:c r="H52" s="191"/>
      <x:c r="I52" s="187"/>
      <x:c r="J52" s="187"/>
      <x:c r="M52" s="188"/>
      <x:c r="N52" s="187"/>
      <x:c r="O52" s="189"/>
      <x:c r="P52" s="189"/>
      <x:c r="Q52" s="189"/>
      <x:c r="R52" s="189"/>
      <x:c r="S52" s="189"/>
      <x:c r="T52" s="189"/>
      <x:c r="U52" s="189"/>
      <x:c r="V52" s="187"/>
      <x:c r="AI52" t="str">
        <x:v>EBITDA이익률</x:v>
      </x:c>
      <x:c r="AJ52" t="n">
        <x:v>0.1526</x:v>
      </x:c>
      <x:c r="AK52" t="n">
        <x:v>0.1443</x:v>
      </x:c>
      <x:c r="AL52" t="n">
        <x:v>0.1409</x:v>
      </x:c>
      <x:c r="AM52" t="n">
        <x:v>0.1846</x:v>
      </x:c>
      <x:c r="AN52" t="n">
        <x:v>0.1891</x:v>
      </x:c>
      <x:c r="AO52"/>
      <x:c r="AQ52" t="str">
        <x:v>자본총계</x:v>
      </x:c>
      <x:c r="AR52" t="n">
        <x:v>868.3</x:v>
      </x:c>
      <x:c r="AS52" t="n">
        <x:v>875.5</x:v>
      </x:c>
      <x:c r="AT52" t="n">
        <x:v>901.7</x:v>
      </x:c>
      <x:c r="AU52" t="n">
        <x:v>1031</x:v>
      </x:c>
      <x:c r="AV52" t="n">
        <x:v>1193.2</x:v>
      </x:c>
      <x:c r="AW52"/>
      <x:c r="AY52" t="str">
        <x:v>PBR 재계산 = 현재주가/BPS (2026F)</x:v>
      </x:c>
      <x:c r="AZ52"/>
      <x:c r="BA52"/>
      <x:c r="BB52"/>
      <x:c r="BC52" t="n">
        <x:v>2.623163785350255</x:v>
      </x:c>
      <x:c r="BD52"/>
      <x:c r="BE52"/>
    </x:row>
    <x:row r="53">
      <x:c r="A53" s="188"/>
      <x:c r="B53" s="187"/>
      <x:c r="C53" s="191"/>
      <x:c r="D53" s="191"/>
      <x:c r="E53" s="191"/>
      <x:c r="F53" s="191"/>
      <x:c r="G53" s="191"/>
      <x:c r="H53" s="191"/>
      <x:c r="I53" s="187"/>
      <x:c r="J53" s="187"/>
      <x:c r="M53" s="188"/>
      <x:c r="N53" s="187"/>
      <x:c r="O53" s="189"/>
      <x:c r="P53" s="189"/>
      <x:c r="Q53" s="189"/>
      <x:c r="R53" s="189"/>
      <x:c r="S53" s="189"/>
      <x:c r="T53" s="189"/>
      <x:c r="U53" s="189"/>
      <x:c r="V53" s="187"/>
      <x:c r="AI53" t="str">
        <x:v>영업이익률</x:v>
      </x:c>
      <x:c r="AJ53" t="n">
        <x:v>0.0261</x:v>
      </x:c>
      <x:c r="AK53" t="n">
        <x:v>0.0127</x:v>
      </x:c>
      <x:c r="AL53" t="n">
        <x:v>0.0462</x:v>
      </x:c>
      <x:c r="AM53" t="n">
        <x:v>0.1212</x:v>
      </x:c>
      <x:c r="AN53" t="n">
        <x:v>0.1337</x:v>
      </x:c>
      <x:c r="AO53"/>
      <x:c r="AQ53" t="str">
        <x:v>순금융부채</x:v>
      </x:c>
      <x:c r="AR53" t="n">
        <x:v>-183</x:v>
      </x:c>
      <x:c r="AS53" t="n">
        <x:v>-205.2</x:v>
      </x:c>
      <x:c r="AT53" t="n">
        <x:v>-262.4</x:v>
      </x:c>
      <x:c r="AU53" t="n">
        <x:v>-389.8</x:v>
      </x:c>
      <x:c r="AV53" t="n">
        <x:v>-565.5</x:v>
      </x:c>
      <x:c r="AW53"/>
      <x:c r="AY53" t="str">
        <x:v>ROE 재계산 = EPS/BPS(전기)</x:v>
      </x:c>
      <x:c r="AZ53"/>
      <x:c r="BA53" t="n">
        <x:v>0.027347689387198195</x:v>
      </x:c>
      <x:c r="BB53" t="n">
        <x:v>0.055718992704165686</x:v>
      </x:c>
      <x:c r="BC53" t="n">
        <x:v>0.17326478149100258</x:v>
      </x:c>
      <x:c r="BD53" t="n">
        <x:v>0.18482062556210652</x:v>
      </x:c>
      <x:c r="BE53"/>
    </x:row>
    <x:row r="54">
      <x:c r="A54" s="188"/>
      <x:c r="B54" s="187"/>
      <x:c r="C54" s="191"/>
      <x:c r="D54" s="191"/>
      <x:c r="E54" s="191"/>
      <x:c r="F54" s="191"/>
      <x:c r="G54" s="191"/>
      <x:c r="H54" s="191"/>
      <x:c r="I54" s="187"/>
      <x:c r="J54" s="187"/>
      <x:c r="M54" s="188"/>
      <x:c r="N54" s="187"/>
      <x:c r="O54" s="189"/>
      <x:c r="P54" s="189"/>
      <x:c r="Q54" s="189"/>
      <x:c r="R54" s="189"/>
      <x:c r="S54" s="189"/>
      <x:c r="T54" s="189"/>
      <x:c r="U54" s="189"/>
      <x:c r="V54" s="187"/>
      <x:c r="AI54" t="str">
        <x:v>계속사업이익률</x:v>
      </x:c>
      <x:c r="AJ54" t="n">
        <x:v>0.0279</x:v>
      </x:c>
      <x:c r="AK54" t="n">
        <x:v>0.0267</x:v>
      </x:c>
      <x:c r="AL54" t="n">
        <x:v>0.0458</x:v>
      </x:c>
      <x:c r="AM54" t="n">
        <x:v>0.1009</x:v>
      </x:c>
      <x:c r="AN54" t="n">
        <x:v>0.1119</x:v>
      </x:c>
      <x:c r="AO54"/>
      <x:c r="AQ54"/>
      <x:c r="AR54"/>
      <x:c r="AS54"/>
      <x:c r="AT54"/>
      <x:c r="AU54"/>
      <x:c r="AV54"/>
      <x:c r="AW54"/>
      <x:c r="AY54"/>
      <x:c r="AZ54"/>
      <x:c r="BA54"/>
      <x:c r="BB54"/>
      <x:c r="BC54"/>
      <x:c r="BD54"/>
      <x:c r="BE54"/>
    </x:row>
    <x:row r="55">
      <x:c r="A55" s="188"/>
      <x:c r="B55" s="187"/>
      <x:c r="C55" s="191"/>
      <x:c r="D55" s="191"/>
      <x:c r="E55" s="191"/>
      <x:c r="F55" s="191"/>
      <x:c r="G55" s="191"/>
      <x:c r="H55" s="191"/>
      <x:c r="I55" s="187"/>
      <x:c r="J55" s="187"/>
      <x:c r="M55" s="188"/>
      <x:c r="N55" s="187"/>
      <x:c r="O55" s="189"/>
      <x:c r="P55" s="189"/>
      <x:c r="Q55" s="189"/>
      <x:c r="R55" s="189"/>
      <x:c r="S55" s="189"/>
      <x:c r="T55" s="189"/>
      <x:c r="U55" s="189"/>
      <x:c r="V55" s="187"/>
      <x:c r="AI55"/>
      <x:c r="AJ55"/>
      <x:c r="AK55"/>
      <x:c r="AL55"/>
      <x:c r="AM55"/>
      <x:c r="AN55"/>
      <x:c r="AO55"/>
      <x:c r="AQ55" t="str">
        <x:v>자료: 하나증권</x:v>
      </x:c>
      <x:c r="AR55"/>
      <x:c r="AS55"/>
      <x:c r="AT55"/>
      <x:c r="AU55"/>
      <x:c r="AV55"/>
      <x:c r="AW55"/>
      <x:c r="AY55" t="str">
        <x:v>주) PER·PBR 원문값은 각 연도 예상 실적 기준으로 산출되어 현재주가 역산값과 정확히 일치하지 않을 수 있습니다 (미래 연도 PER·PBR은 현재주가 기준으로 계산된 것으로 추정됩니다).</x:v>
      </x:c>
      <x:c r="AZ55"/>
      <x:c r="BA55"/>
      <x:c r="BB55"/>
      <x:c r="BC55"/>
      <x:c r="BD55"/>
      <x:c r="BE55"/>
    </x:row>
    <x:row r="56">
      <x:c r="A56" s="188"/>
      <x:c r="B56" s="187"/>
      <x:c r="C56" s="191"/>
      <x:c r="D56" s="191"/>
      <x:c r="E56" s="191"/>
      <x:c r="F56" s="191"/>
      <x:c r="G56" s="191"/>
      <x:c r="H56" s="191"/>
      <x:c r="I56" s="187"/>
      <x:c r="J56" s="187"/>
      <x:c r="M56" s="188"/>
      <x:c r="N56" s="187"/>
      <x:c r="O56" s="189"/>
      <x:c r="P56" s="189"/>
      <x:c r="Q56" s="189"/>
      <x:c r="R56" s="189"/>
      <x:c r="S56" s="189"/>
      <x:c r="T56" s="189"/>
      <x:c r="U56" s="189"/>
      <x:c r="V56" s="187"/>
      <x:c r="AI56" t="str">
        <x:v>자료: 하나증권</x:v>
      </x:c>
      <x:c r="AJ56"/>
      <x:c r="AK56"/>
      <x:c r="AL56"/>
      <x:c r="AM56"/>
      <x:c r="AN56"/>
      <x:c r="AO56"/>
      <x:c r="AQ56"/>
      <x:c r="AR56"/>
      <x:c r="AS56"/>
      <x:c r="AT56"/>
      <x:c r="AU56"/>
      <x:c r="AV56"/>
      <x:c r="AW56"/>
    </x:row>
    <x:row r="57">
      <x:c r="A57" s="188"/>
      <x:c r="B57" s="187"/>
      <x:c r="C57" s="191"/>
      <x:c r="D57" s="191"/>
      <x:c r="E57" s="191"/>
      <x:c r="F57" s="191"/>
      <x:c r="G57" s="191"/>
      <x:c r="H57" s="191"/>
      <x:c r="I57" s="187"/>
      <x:c r="J57" s="187"/>
      <x:c r="M57" s="188"/>
      <x:c r="N57" s="187"/>
      <x:c r="O57" s="189"/>
      <x:c r="P57" s="189"/>
      <x:c r="Q57" s="189"/>
      <x:c r="R57" s="189"/>
      <x:c r="S57" s="189"/>
      <x:c r="T57" s="189"/>
      <x:c r="U57" s="189"/>
      <x:c r="V57" s="187"/>
      <x:c r="AI57"/>
      <x:c r="AJ57"/>
      <x:c r="AK57"/>
      <x:c r="AL57"/>
      <x:c r="AM57"/>
      <x:c r="AN57"/>
      <x:c r="AO57"/>
      <x:c r="AQ57" t="str">
        <x:v>  정합성 체크 (원문 수치를 수식으로 재계산)</x:v>
      </x:c>
      <x:c r="AR57"/>
      <x:c r="AS57"/>
      <x:c r="AT57"/>
      <x:c r="AU57"/>
      <x:c r="AV57"/>
      <x:c r="AW57"/>
    </x:row>
    <x:row r="58">
      <x:c r="A58" s="188"/>
      <x:c r="B58" s="187"/>
      <x:c r="C58" s="191"/>
      <x:c r="D58" s="191"/>
      <x:c r="E58" s="191"/>
      <x:c r="F58" s="191"/>
      <x:c r="G58" s="191"/>
      <x:c r="H58" s="191"/>
      <x:c r="I58" s="187"/>
      <x:c r="J58" s="187"/>
      <x:c r="M58" s="188"/>
      <x:c r="N58" s="187"/>
      <x:c r="O58" s="189"/>
      <x:c r="P58" s="189"/>
      <x:c r="Q58" s="189"/>
      <x:c r="R58" s="189"/>
      <x:c r="S58" s="189"/>
      <x:c r="T58" s="189"/>
      <x:c r="U58" s="189"/>
      <x:c r="V58" s="187"/>
      <x:c r="AI58" t="str">
        <x:v>  정합성 체크 (원문 수치를 수식으로 재계산)</x:v>
      </x:c>
      <x:c r="AJ58"/>
      <x:c r="AK58"/>
      <x:c r="AL58"/>
      <x:c r="AM58"/>
      <x:c r="AN58"/>
      <x:c r="AO58"/>
      <x:c r="AQ58" t="str">
        <x:v>체크 항목</x:v>
      </x:c>
      <x:c r="AR58" t="str">
        <x:v>2023</x:v>
      </x:c>
      <x:c r="AS58" t="str">
        <x:v>2024</x:v>
      </x:c>
      <x:c r="AT58" t="str">
        <x:v>2025F</x:v>
      </x:c>
      <x:c r="AU58" t="str">
        <x:v>2026F</x:v>
      </x:c>
      <x:c r="AV58" t="str">
        <x:v>2027F</x:v>
      </x:c>
      <x:c r="AW58" t="str">
        <x:v>비고</x:v>
      </x:c>
    </x:row>
    <x:row r="59">
      <x:c r="A59" s="188"/>
      <x:c r="B59" s="187"/>
      <x:c r="C59" s="191"/>
      <x:c r="D59" s="191"/>
      <x:c r="E59" s="191"/>
      <x:c r="F59" s="191"/>
      <x:c r="G59" s="191"/>
      <x:c r="H59" s="191"/>
      <x:c r="I59" s="187"/>
      <x:c r="J59" s="187"/>
      <x:c r="M59" s="188"/>
      <x:c r="N59" s="187"/>
      <x:c r="O59" s="189"/>
      <x:c r="P59" s="189"/>
      <x:c r="Q59" s="189"/>
      <x:c r="R59" s="189"/>
      <x:c r="S59" s="189"/>
      <x:c r="T59" s="189"/>
      <x:c r="U59" s="189"/>
      <x:c r="V59" s="187"/>
      <x:c r="AI59" t="str">
        <x:v>체크 항목</x:v>
      </x:c>
      <x:c r="AJ59" t="str">
        <x:v>2023</x:v>
      </x:c>
      <x:c r="AK59" t="str">
        <x:v>2024</x:v>
      </x:c>
      <x:c r="AL59" t="str">
        <x:v>2025F</x:v>
      </x:c>
      <x:c r="AM59" t="str">
        <x:v>2026F</x:v>
      </x:c>
      <x:c r="AN59" t="str">
        <x:v>2027F</x:v>
      </x:c>
      <x:c r="AO59" t="str">
        <x:v>비고</x:v>
      </x:c>
      <x:c r="AQ59" t="str">
        <x:v>자산총계 = 유동자산 + 비유동자산</x:v>
      </x:c>
      <x:c r="AR59" t="n">
        <x:v>1127.6</x:v>
      </x:c>
      <x:c r="AS59" t="n">
        <x:v>1088.8</x:v>
      </x:c>
      <x:c r="AT59" t="n">
        <x:v>1250.6</x:v>
      </x:c>
      <x:c r="AU59" t="n">
        <x:v>1460.9</x:v>
      </x:c>
      <x:c r="AV59" t="n">
        <x:v>1654.2</x:v>
      </x:c>
      <x:c r="AW59"/>
    </x:row>
    <x:row r="60">
      <x:c r="A60" s="188"/>
      <x:c r="B60" s="187"/>
      <x:c r="C60" s="191"/>
      <x:c r="D60" s="191"/>
      <x:c r="E60" s="191"/>
      <x:c r="F60" s="191"/>
      <x:c r="G60" s="191"/>
      <x:c r="H60" s="191"/>
      <x:c r="I60" s="187"/>
      <x:c r="J60" s="187"/>
      <x:c r="M60" s="188"/>
      <x:c r="N60" s="187"/>
      <x:c r="O60" s="189"/>
      <x:c r="P60" s="189"/>
      <x:c r="Q60" s="189"/>
      <x:c r="R60" s="189"/>
      <x:c r="S60" s="189"/>
      <x:c r="T60" s="189"/>
      <x:c r="U60" s="189"/>
      <x:c r="V60" s="187"/>
      <x:c r="AI60" t="str">
        <x:v>매출총이익 = 매출액 − 매출원가</x:v>
      </x:c>
      <x:c r="AJ60" t="n">
        <x:v>75.20000000000005</x:v>
      </x:c>
      <x:c r="AK60" t="n">
        <x:v>61.5</x:v>
      </x:c>
      <x:c r="AL60" t="n">
        <x:v>108.09999999999991</x:v>
      </x:c>
      <x:c r="AM60" t="n">
        <x:v>243.29999999999995</x:v>
      </x:c>
      <x:c r="AN60" t="n">
        <x:v>277.9000000000001</x:v>
      </x:c>
      <x:c r="AO60" t="str">
        <x:v>원문 매출총이익과 대조</x:v>
      </x:c>
      <x:c r="AQ60" t="str">
        <x:v>부채총계 = 유동부채 + 비유동부채</x:v>
      </x:c>
      <x:c r="AR60" t="n">
        <x:v>259.2</x:v>
      </x:c>
      <x:c r="AS60" t="n">
        <x:v>213.2</x:v>
      </x:c>
      <x:c r="AT60" t="n">
        <x:v>348.9</x:v>
      </x:c>
      <x:c r="AU60" t="n">
        <x:v>429.9</x:v>
      </x:c>
      <x:c r="AV60" t="n">
        <x:v>461</x:v>
      </x:c>
      <x:c r="AW60"/>
    </x:row>
    <x:row r="61">
      <x:c r="A61" s="188"/>
      <x:c r="B61" s="187"/>
      <x:c r="C61" s="191"/>
      <x:c r="D61" s="191"/>
      <x:c r="E61" s="191"/>
      <x:c r="F61" s="191"/>
      <x:c r="G61" s="191"/>
      <x:c r="H61" s="191"/>
      <x:c r="I61" s="187"/>
      <x:c r="J61" s="187"/>
      <x:c r="M61" s="188"/>
      <x:c r="N61" s="187"/>
      <x:c r="O61" s="189"/>
      <x:c r="P61" s="189"/>
      <x:c r="Q61" s="189"/>
      <x:c r="R61" s="189"/>
      <x:c r="S61" s="189"/>
      <x:c r="T61" s="189"/>
      <x:c r="U61" s="189"/>
      <x:c r="V61" s="187"/>
      <x:c r="AI61" t="str">
        <x:v>영업이익 = 매출총이익 − 판관비</x:v>
      </x:c>
      <x:c r="AJ61" t="n">
        <x:v>23.800000000000047</x:v>
      </x:c>
      <x:c r="AK61" t="n">
        <x:v>11.200000000000003</x:v>
      </x:c>
      <x:c r="AL61" t="n">
        <x:v>49.09999999999991</x:v>
      </x:c>
      <x:c r="AM61" t="n">
        <x:v>179.99999999999994</x:v>
      </x:c>
      <x:c r="AN61" t="n">
        <x:v>218.4000000000001</x:v>
      </x:c>
      <x:c r="AO61" t="str">
        <x:v>원문 영업이익과 대조</x:v>
      </x:c>
      <x:c r="AQ61" t="str">
        <x:v>자본총계 = 자산총계 − 부채총계</x:v>
      </x:c>
      <x:c r="AR61" t="n">
        <x:v>868.3</x:v>
      </x:c>
      <x:c r="AS61" t="n">
        <x:v>875.5</x:v>
      </x:c>
      <x:c r="AT61" t="n">
        <x:v>901.8</x:v>
      </x:c>
      <x:c r="AU61" t="n">
        <x:v>1031</x:v>
      </x:c>
      <x:c r="AV61" t="n">
        <x:v>1193.2</x:v>
      </x:c>
      <x:c r="AW61"/>
    </x:row>
    <x:row r="62">
      <x:c r="A62" s="188"/>
      <x:c r="B62" s="187"/>
      <x:c r="C62" s="191"/>
      <x:c r="D62" s="191"/>
      <x:c r="E62" s="191"/>
      <x:c r="F62" s="191"/>
      <x:c r="G62" s="191"/>
      <x:c r="H62" s="191"/>
      <x:c r="I62" s="187"/>
      <x:c r="J62" s="187"/>
      <x:c r="M62" s="188"/>
      <x:c r="N62" s="187"/>
      <x:c r="O62" s="189"/>
      <x:c r="P62" s="189"/>
      <x:c r="Q62" s="189"/>
      <x:c r="R62" s="189"/>
      <x:c r="S62" s="189"/>
      <x:c r="T62" s="189"/>
      <x:c r="U62" s="189"/>
      <x:c r="V62" s="187"/>
      <x:c r="AI62" t="str">
        <x:v>영업이익률 재계산</x:v>
      </x:c>
      <x:c r="AJ62" t="n">
        <x:v>0.026052544794987358</x:v>
      </x:c>
      <x:c r="AK62" t="n">
        <x:v>0.012666741396704406</x:v>
      </x:c>
      <x:c r="AL62" t="n">
        <x:v>0.04609030320097625</x:v>
      </x:c>
      <x:c r="AM62" t="n">
        <x:v>0.12117132278694043</x:v>
      </x:c>
      <x:c r="AN62" t="n">
        <x:v>0.13365578889365087</x:v>
      </x:c>
      <x:c r="AO62"/>
      <x:c r="AQ62" t="str">
        <x:v>부채비율 = 부채총계/자본총계</x:v>
      </x:c>
      <x:c r="AR62" t="n">
        <x:v>0.29851433836231717</x:v>
      </x:c>
      <x:c r="AS62" t="n">
        <x:v>0.2435179897201599</x:v>
      </x:c>
      <x:c r="AT62" t="n">
        <x:v>0.386824886325829</x:v>
      </x:c>
      <x:c r="AU62" t="n">
        <x:v>0.41697381183317167</x:v>
      </x:c>
      <x:c r="AV62" t="n">
        <x:v>0.3863560174321153</x:v>
      </x:c>
      <x:c r="AW62"/>
    </x:row>
    <x:row r="63">
      <x:c r="A63" s="188"/>
      <x:c r="B63" s="187"/>
      <x:c r="C63" s="191"/>
      <x:c r="D63" s="191"/>
      <x:c r="E63" s="191"/>
      <x:c r="F63" s="191"/>
      <x:c r="G63" s="191"/>
      <x:c r="H63" s="191"/>
      <x:c r="I63" s="187"/>
      <x:c r="J63" s="187"/>
      <x:c r="M63" s="188"/>
      <x:c r="N63" s="187"/>
      <x:c r="O63" s="189"/>
      <x:c r="P63" s="189"/>
      <x:c r="Q63" s="189"/>
      <x:c r="R63" s="189"/>
      <x:c r="S63" s="189"/>
      <x:c r="T63" s="189"/>
      <x:c r="U63" s="189"/>
      <x:c r="V63" s="187"/>
      <x:c r="AI63" t="str">
        <x:v>유효법인세율</x:v>
      </x:c>
      <x:c r="AJ63" t="n">
        <x:v>0.10563380281690142</x:v>
      </x:c>
      <x:c r="AK63" t="n">
        <x:v>0.21192052980132453</x:v>
      </x:c>
      <x:c r="AL63" t="n">
        <x:v>0.08785046728971962</x:v>
      </x:c>
      <x:c r="AM63" t="n">
        <x:v>0.200213561131874</x:v>
      </x:c>
      <x:c r="AN63" t="n">
        <x:v>0.2</x:v>
      </x:c>
      <x:c r="AO63"/>
      <x:c r="AQ63"/>
      <x:c r="AR63"/>
      <x:c r="AS63"/>
      <x:c r="AT63"/>
      <x:c r="AU63"/>
      <x:c r="AV63"/>
      <x:c r="AW63"/>
    </x:row>
    <x:row r="64">
      <x:c r="A64" s="188"/>
      <x:c r="B64" s="187"/>
      <x:c r="C64" s="191"/>
      <x:c r="D64" s="191"/>
      <x:c r="E64" s="191"/>
      <x:c r="F64" s="191"/>
      <x:c r="G64" s="191"/>
      <x:c r="H64" s="191"/>
      <x:c r="I64" s="187"/>
      <x:c r="J64" s="187"/>
      <x:c r="M64" s="188"/>
      <x:c r="N64" s="187"/>
      <x:c r="O64" s="189"/>
      <x:c r="P64" s="189"/>
      <x:c r="Q64" s="189"/>
      <x:c r="R64" s="189"/>
      <x:c r="S64" s="189"/>
      <x:c r="T64" s="189"/>
      <x:c r="U64" s="189"/>
      <x:c r="V64" s="187"/>
      <x:c r="AI64" t="str">
        <x:v>세전이익 - 법인세 - 계속사업이익</x:v>
      </x:c>
      <x:c r="AJ64" t="n">
        <x:v>0</x:v>
      </x:c>
      <x:c r="AK64" t="n">
        <x:v>0</x:v>
      </x:c>
      <x:c r="AL64" t="n">
        <x:v>0</x:v>
      </x:c>
      <x:c r="AM64" t="n">
        <x:v>-0.09999999999999432</x:v>
      </x:c>
      <x:c r="AN64" t="n">
        <x:v>0</x:v>
      </x:c>
      <x:c r="AO64" t="str">
        <x:v>0.1 내외는 원문 반올림 차이</x:v>
      </x:c>
      <x:c r="AQ64" t="str">
        <x:v>주) 원문은 소수 첫째자리까지 반올림 표기되어 있어, 재계산값과 0.1 내외 차이가 날 수 있습니다.</x:v>
      </x:c>
      <x:c r="AR64"/>
      <x:c r="AS64"/>
      <x:c r="AT64"/>
      <x:c r="AU64"/>
      <x:c r="AV64"/>
      <x:c r="AW64"/>
    </x:row>
    <x:row r="65">
      <x:c r="A65" s="188"/>
      <x:c r="B65" s="187"/>
      <x:c r="C65" s="191"/>
      <x:c r="D65" s="191"/>
      <x:c r="E65" s="191"/>
      <x:c r="F65" s="191"/>
      <x:c r="G65" s="191"/>
      <x:c r="H65" s="191"/>
      <x:c r="I65" s="187"/>
      <x:c r="J65" s="187"/>
      <x:c r="M65" s="188"/>
      <x:c r="N65" s="187"/>
      <x:c r="O65" s="189"/>
      <x:c r="P65" s="189"/>
      <x:c r="Q65" s="189"/>
      <x:c r="R65" s="189"/>
      <x:c r="S65" s="189"/>
      <x:c r="T65" s="189"/>
      <x:c r="U65" s="189"/>
      <x:c r="V65" s="187"/>
      <x:c r="AI65" t="str">
        <x:v>주) 원문은 소수 첫째자리까지 반올림 표기되어 있어, 재계산값과 0.1 내외 차이가 날 수 있습니다.</x:v>
      </x:c>
      <x:c r="AJ65"/>
      <x:c r="AK65"/>
      <x:c r="AL65"/>
      <x:c r="AM65"/>
      <x:c r="AN65"/>
      <x:c r="AO65"/>
    </x:row>
    <x:row r="66">
      <x:c r="A66" s="188"/>
      <x:c r="B66" s="187"/>
      <x:c r="C66" s="191"/>
      <x:c r="D66" s="191"/>
      <x:c r="E66" s="191"/>
      <x:c r="F66" s="191"/>
      <x:c r="G66" s="191"/>
      <x:c r="H66" s="191"/>
      <x:c r="I66" s="187"/>
      <x:c r="J66" s="187"/>
      <x:c r="M66" s="188"/>
      <x:c r="N66" s="187"/>
      <x:c r="O66" s="189"/>
      <x:c r="P66" s="189"/>
      <x:c r="Q66" s="189"/>
      <x:c r="R66" s="189"/>
      <x:c r="S66" s="189"/>
      <x:c r="T66" s="189"/>
      <x:c r="U66" s="189"/>
      <x:c r="V66" s="187"/>
    </x:row>
    <x:row r="67">
      <x:c r="A67" s="188"/>
      <x:c r="B67" s="187"/>
      <x:c r="C67" s="191"/>
      <x:c r="D67" s="191"/>
      <x:c r="E67" s="191"/>
      <x:c r="F67" s="191"/>
      <x:c r="G67" s="191"/>
      <x:c r="H67" s="191"/>
      <x:c r="I67" s="187"/>
      <x:c r="J67" s="187"/>
      <x:c r="M67" s="188"/>
      <x:c r="N67" s="187"/>
      <x:c r="O67" s="189"/>
      <x:c r="P67" s="189"/>
      <x:c r="Q67" s="189"/>
      <x:c r="R67" s="189"/>
      <x:c r="S67" s="189"/>
      <x:c r="T67" s="189"/>
      <x:c r="U67" s="189"/>
      <x:c r="V67" s="187"/>
    </x:row>
    <x:row r="68">
      <x:c r="A68" s="188"/>
      <x:c r="B68" s="187"/>
      <x:c r="C68" s="191"/>
      <x:c r="D68" s="191"/>
      <x:c r="E68" s="191"/>
      <x:c r="F68" s="191"/>
      <x:c r="G68" s="191"/>
      <x:c r="H68" s="191"/>
      <x:c r="I68" s="187"/>
      <x:c r="J68" s="187"/>
      <x:c r="M68" s="188"/>
      <x:c r="N68" s="187"/>
      <x:c r="O68" s="189"/>
      <x:c r="P68" s="189"/>
      <x:c r="Q68" s="189"/>
      <x:c r="R68" s="189"/>
      <x:c r="S68" s="189"/>
      <x:c r="T68" s="189"/>
      <x:c r="U68" s="189"/>
      <x:c r="V68" s="187"/>
    </x:row>
    <x:row r="69">
      <x:c r="A69" s="188"/>
      <x:c r="B69" s="187"/>
      <x:c r="C69" s="191"/>
      <x:c r="D69" s="191"/>
      <x:c r="E69" s="191"/>
      <x:c r="F69" s="191"/>
      <x:c r="G69" s="191"/>
      <x:c r="H69" s="191"/>
      <x:c r="I69" s="187"/>
      <x:c r="J69" s="187"/>
      <x:c r="M69" s="188"/>
      <x:c r="N69" s="187"/>
      <x:c r="O69" s="189"/>
      <x:c r="P69" s="189"/>
      <x:c r="Q69" s="189"/>
      <x:c r="R69" s="189"/>
      <x:c r="S69" s="189"/>
      <x:c r="T69" s="189"/>
      <x:c r="U69" s="189"/>
      <x:c r="V69" s="187"/>
    </x:row>
    <x:row r="70">
      <x:c r="A70" s="188"/>
      <x:c r="B70" s="187"/>
      <x:c r="C70" s="191"/>
      <x:c r="D70" s="191"/>
      <x:c r="E70" s="191"/>
      <x:c r="F70" s="191"/>
      <x:c r="G70" s="191"/>
      <x:c r="H70" s="191"/>
      <x:c r="I70" s="187"/>
      <x:c r="J70" s="187"/>
      <x:c r="M70" s="188"/>
      <x:c r="N70" s="187"/>
      <x:c r="O70" s="189"/>
      <x:c r="P70" s="189"/>
      <x:c r="Q70" s="189"/>
      <x:c r="R70" s="189"/>
      <x:c r="S70" s="189"/>
      <x:c r="T70" s="189"/>
      <x:c r="U70" s="189"/>
      <x:c r="V70" s="187"/>
    </x:row>
    <x:row r="71">
      <x:c r="A71" s="188"/>
      <x:c r="B71" s="187"/>
      <x:c r="C71" s="191"/>
      <x:c r="D71" s="191"/>
      <x:c r="E71" s="191"/>
      <x:c r="F71" s="191"/>
      <x:c r="G71" s="191"/>
      <x:c r="H71" s="191"/>
      <x:c r="I71" s="187"/>
      <x:c r="J71" s="187"/>
      <x:c r="M71" s="188"/>
      <x:c r="N71" s="187"/>
      <x:c r="O71" s="189"/>
      <x:c r="P71" s="189"/>
      <x:c r="Q71" s="189"/>
      <x:c r="R71" s="189"/>
      <x:c r="S71" s="189"/>
      <x:c r="T71" s="189"/>
      <x:c r="U71" s="189"/>
      <x:c r="V71" s="187"/>
    </x:row>
    <x:row r="72">
      <x:c r="A72" s="188"/>
      <x:c r="B72" s="187"/>
      <x:c r="C72" s="191"/>
      <x:c r="D72" s="191"/>
      <x:c r="E72" s="191"/>
      <x:c r="F72" s="191"/>
      <x:c r="G72" s="191"/>
      <x:c r="H72" s="191"/>
      <x:c r="I72" s="187"/>
      <x:c r="J72" s="187"/>
      <x:c r="M72" s="188"/>
      <x:c r="N72" s="187"/>
      <x:c r="O72" s="189"/>
      <x:c r="P72" s="189"/>
      <x:c r="Q72" s="189"/>
      <x:c r="R72" s="189"/>
      <x:c r="S72" s="189"/>
      <x:c r="T72" s="189"/>
      <x:c r="U72" s="189"/>
      <x:c r="V72" s="187"/>
    </x:row>
    <x:row r="73">
      <x:c r="A73" s="188"/>
      <x:c r="B73" s="187"/>
      <x:c r="C73" s="191"/>
      <x:c r="D73" s="191"/>
      <x:c r="E73" s="191"/>
      <x:c r="F73" s="191"/>
      <x:c r="G73" s="191"/>
      <x:c r="H73" s="191"/>
      <x:c r="I73" s="187"/>
      <x:c r="J73" s="187"/>
      <x:c r="M73" s="188"/>
      <x:c r="N73" s="187"/>
      <x:c r="O73" s="189"/>
      <x:c r="P73" s="189"/>
      <x:c r="Q73" s="189"/>
      <x:c r="R73" s="189"/>
      <x:c r="S73" s="189"/>
      <x:c r="T73" s="189"/>
      <x:c r="U73" s="189"/>
      <x:c r="V73" s="187"/>
    </x:row>
    <x:row r="74">
      <x:c r="A74" s="188"/>
      <x:c r="B74" s="187"/>
      <x:c r="C74" s="191"/>
      <x:c r="D74" s="191"/>
      <x:c r="E74" s="191"/>
      <x:c r="F74" s="191"/>
      <x:c r="G74" s="191"/>
      <x:c r="H74" s="191"/>
      <x:c r="I74" s="187"/>
      <x:c r="J74" s="187"/>
    </x:row>
    <x:row r="75">
      <x:c r="A75" s="188"/>
      <x:c r="B75" s="187"/>
      <x:c r="C75" s="191"/>
      <x:c r="D75" s="191"/>
      <x:c r="E75" s="191"/>
      <x:c r="F75" s="191"/>
      <x:c r="G75" s="191"/>
      <x:c r="H75" s="191"/>
      <x:c r="I75" s="187"/>
      <x:c r="J75" s="187"/>
    </x:row>
    <x:row r="76">
      <x:c r="A76" s="188"/>
      <x:c r="B76" s="187"/>
      <x:c r="C76" s="191"/>
      <x:c r="D76" s="191"/>
      <x:c r="E76" s="191"/>
      <x:c r="F76" s="191"/>
      <x:c r="G76" s="191"/>
      <x:c r="H76" s="191"/>
      <x:c r="I76" s="187"/>
      <x:c r="J76" s="187"/>
    </x:row>
    <x:row r="77">
      <x:c r="A77" s="188"/>
      <x:c r="B77" s="187"/>
      <x:c r="C77" s="191"/>
      <x:c r="D77" s="191"/>
      <x:c r="E77" s="191"/>
      <x:c r="F77" s="191"/>
      <x:c r="G77" s="191"/>
      <x:c r="H77" s="191"/>
      <x:c r="I77" s="187"/>
      <x:c r="J77" s="187"/>
    </x:row>
    <x:row r="78">
      <x:c r="A78" s="188"/>
      <x:c r="B78" s="187"/>
      <x:c r="C78" s="191"/>
      <x:c r="D78" s="191"/>
      <x:c r="E78" s="191"/>
      <x:c r="F78" s="191"/>
      <x:c r="G78" s="191"/>
      <x:c r="H78" s="191"/>
      <x:c r="I78" s="187"/>
      <x:c r="J78" s="187"/>
    </x:row>
    <x:row r="79">
      <x:c r="A79" s="188"/>
      <x:c r="B79" s="187"/>
      <x:c r="C79" s="191"/>
      <x:c r="D79" s="191"/>
      <x:c r="E79" s="191"/>
      <x:c r="F79" s="191"/>
      <x:c r="G79" s="191"/>
      <x:c r="H79" s="191"/>
      <x:c r="I79" s="187"/>
      <x:c r="J79" s="187"/>
      <x:c r="M79" s="174" t="str">
        <x:v>M1 VERIFIED ACTUALS / IR METRICS</x:v>
      </x:c>
      <x:c r="N79" s="174"/>
      <x:c r="O79" s="174"/>
      <x:c r="P79" s="174"/>
      <x:c r="Q79" s="174"/>
    </x:row>
    <x:row r="80">
      <x:c r="A80" s="188"/>
      <x:c r="B80" s="187"/>
      <x:c r="C80" s="191"/>
      <x:c r="D80" s="191"/>
      <x:c r="E80" s="191"/>
      <x:c r="F80" s="191"/>
      <x:c r="G80" s="191"/>
      <x:c r="H80" s="191"/>
      <x:c r="I80" s="187"/>
      <x:c r="J80" s="187"/>
      <x:c r="M80" s="182" t="str">
        <x:v>Metric</x:v>
      </x:c>
      <x:c r="N80" s="182" t="str">
        <x:v>1Q25</x:v>
      </x:c>
      <x:c r="O80" s="182" t="str">
        <x:v>2Q25</x:v>
      </x:c>
      <x:c r="P80" s="182" t="str">
        <x:v>3Q25</x:v>
      </x:c>
      <x:c r="Q80" s="182" t="str">
        <x:v>4Q25</x:v>
      </x:c>
    </x:row>
    <x:row r="81">
      <x:c r="A81" s="188"/>
      <x:c r="B81" s="187"/>
      <x:c r="C81" s="191"/>
      <x:c r="D81" s="191"/>
      <x:c r="E81" s="191"/>
      <x:c r="F81" s="191"/>
      <x:c r="G81" s="191"/>
      <x:c r="H81" s="191"/>
      <x:c r="I81" s="187"/>
      <x:c r="J81" s="187"/>
      <x:c r="M81" s="186" t="str">
        <x:v>Memory</x:v>
      </x:c>
      <x:c r="N81" s="186" t="n">
        <x:v>101.3</x:v>
      </x:c>
      <x:c r="O81" s="186" t="n">
        <x:v>127.1</x:v>
      </x:c>
      <x:c r="P81" s="186" t="n">
        <x:v>158</x:v>
      </x:c>
      <x:c r="Q81" s="186" t="n">
        <x:v>160.5</x:v>
      </x:c>
    </x:row>
    <x:row r="82">
      <x:c r="A82" s="188"/>
      <x:c r="B82" s="187"/>
      <x:c r="C82" s="191"/>
      <x:c r="D82" s="191"/>
      <x:c r="E82" s="191"/>
      <x:c r="F82" s="191"/>
      <x:c r="G82" s="191"/>
      <x:c r="H82" s="191"/>
      <x:c r="I82" s="187"/>
      <x:c r="J82" s="187"/>
      <x:c r="M82" s="187" t="str">
        <x:v>Logic</x:v>
      </x:c>
      <x:c r="N82" s="187" t="n">
        <x:v>75.3</x:v>
      </x:c>
      <x:c r="O82" s="187" t="n">
        <x:v>80.7</x:v>
      </x:c>
      <x:c r="P82" s="187" t="n">
        <x:v>85.8</x:v>
      </x:c>
      <x:c r="Q82" s="187" t="n">
        <x:v>113.2</x:v>
      </x:c>
    </x:row>
    <x:row r="83">
      <x:c r="A83" s="188"/>
      <x:c r="B83" s="187"/>
      <x:c r="C83" s="191"/>
      <x:c r="D83" s="191"/>
      <x:c r="E83" s="191"/>
      <x:c r="F83" s="191"/>
      <x:c r="G83" s="191"/>
      <x:c r="H83" s="191"/>
      <x:c r="I83" s="187"/>
      <x:c r="J83" s="187"/>
      <x:c r="M83" s="187" t="str">
        <x:v>MLB</x:v>
      </x:c>
      <x:c r="N83" s="187" t="n">
        <x:v>38.8</x:v>
      </x:c>
      <x:c r="O83" s="187" t="n">
        <x:v>37.7</x:v>
      </x:c>
      <x:c r="P83" s="187" t="n">
        <x:v>42.4</x:v>
      </x:c>
      <x:c r="Q83" s="187" t="n">
        <x:v>44.2</x:v>
      </x:c>
    </x:row>
    <x:row r="84">
      <x:c r="A84" s="188"/>
      <x:c r="B84" s="187"/>
      <x:c r="C84" s="191"/>
      <x:c r="D84" s="191"/>
      <x:c r="E84" s="191"/>
      <x:c r="F84" s="191"/>
      <x:c r="G84" s="191"/>
      <x:c r="H84" s="191"/>
      <x:c r="I84" s="187"/>
      <x:c r="J84" s="187"/>
      <x:c r="M84" s="187" t="str">
        <x:v>Flexible</x:v>
      </x:c>
      <x:c r="N84" s="187" t="n">
        <x:v>0</x:v>
      </x:c>
      <x:c r="O84" s="187" t="n">
        <x:v>0.3</x:v>
      </x:c>
      <x:c r="P84" s="187" t="n">
        <x:v>0</x:v>
      </x:c>
      <x:c r="Q84" s="187" t="n">
        <x:v>0</x:v>
      </x:c>
    </x:row>
    <x:row r="85">
      <x:c r="A85" s="188"/>
      <x:c r="B85" s="187"/>
      <x:c r="C85" s="191"/>
      <x:c r="D85" s="191"/>
      <x:c r="E85" s="191"/>
      <x:c r="F85" s="191"/>
      <x:c r="G85" s="191"/>
      <x:c r="H85" s="191"/>
      <x:c r="I85" s="187"/>
      <x:c r="J85" s="187"/>
      <x:c r="M85" s="187" t="str">
        <x:v>Operating Income</x:v>
      </x:c>
      <x:c r="N85" s="187" t="n">
        <x:v>-6.2</x:v>
      </x:c>
      <x:c r="O85" s="187" t="n">
        <x:v>1.9</x:v>
      </x:c>
      <x:c r="P85" s="187" t="n">
        <x:v>24.4</x:v>
      </x:c>
      <x:c r="Q85" s="187" t="n">
        <x:v>29</x:v>
      </x:c>
    </x:row>
    <x:row r="86">
      <x:c r="A86" s="188"/>
      <x:c r="B86" s="187"/>
      <x:c r="C86" s="191"/>
      <x:c r="D86" s="191"/>
      <x:c r="E86" s="191"/>
      <x:c r="F86" s="191"/>
      <x:c r="G86" s="191"/>
      <x:c r="H86" s="191"/>
      <x:c r="I86" s="187"/>
      <x:c r="J86" s="187"/>
    </x:row>
    <x:row r="87">
      <x:c r="A87" s="188"/>
      <x:c r="B87" s="187"/>
      <x:c r="C87" s="191"/>
      <x:c r="D87" s="191"/>
      <x:c r="E87" s="191"/>
      <x:c r="F87" s="191"/>
      <x:c r="G87" s="191"/>
      <x:c r="H87" s="191"/>
      <x:c r="I87" s="187"/>
      <x:c r="J87" s="187"/>
    </x:row>
    <x:row r="88">
      <x:c r="A88" s="188"/>
      <x:c r="B88" s="187"/>
      <x:c r="C88" s="191"/>
      <x:c r="D88" s="191"/>
      <x:c r="E88" s="191"/>
      <x:c r="F88" s="191"/>
      <x:c r="G88" s="191"/>
      <x:c r="H88" s="191"/>
      <x:c r="I88" s="187"/>
      <x:c r="J88" s="187"/>
    </x:row>
    <x:row r="89">
      <x:c r="A89" s="188"/>
      <x:c r="B89" s="187"/>
      <x:c r="C89" s="191"/>
      <x:c r="D89" s="191"/>
      <x:c r="E89" s="191"/>
      <x:c r="F89" s="191"/>
      <x:c r="G89" s="191"/>
      <x:c r="H89" s="191"/>
      <x:c r="I89" s="187"/>
      <x:c r="J89" s="187"/>
    </x:row>
    <x:row r="90">
      <x:c r="A90" s="188"/>
      <x:c r="B90" s="187"/>
      <x:c r="C90" s="191"/>
      <x:c r="D90" s="191"/>
      <x:c r="E90" s="191"/>
      <x:c r="F90" s="191"/>
      <x:c r="G90" s="191"/>
      <x:c r="H90" s="191"/>
      <x:c r="I90" s="187"/>
      <x:c r="J90" s="187"/>
    </x:row>
    <x:row r="91">
      <x:c r="A91" s="188"/>
      <x:c r="B91" s="187"/>
      <x:c r="C91" s="191"/>
      <x:c r="D91" s="191"/>
      <x:c r="E91" s="191"/>
      <x:c r="F91" s="191"/>
      <x:c r="G91" s="191"/>
      <x:c r="H91" s="191"/>
      <x:c r="I91" s="187"/>
      <x:c r="J91" s="187"/>
    </x:row>
    <x:row r="92">
      <x:c r="A92" s="188"/>
      <x:c r="B92" s="187"/>
      <x:c r="C92" s="191"/>
      <x:c r="D92" s="191"/>
      <x:c r="E92" s="191"/>
      <x:c r="F92" s="191"/>
      <x:c r="G92" s="191"/>
      <x:c r="H92" s="191"/>
      <x:c r="I92" s="187"/>
      <x:c r="J92" s="187"/>
    </x:row>
  </x:sheetData>
  <x:mergeCells>
    <x:mergeCell ref="A1:J1"/>
    <x:mergeCell ref="A2:J2"/>
    <x:mergeCell ref="A3:H3"/>
    <x:mergeCell ref="A13:H13"/>
    <x:mergeCell ref="A26:H26"/>
    <x:mergeCell ref="A31:J31"/>
    <x:mergeCell ref="M3:T3"/>
    <x:mergeCell ref="M12:V12"/>
    <x:mergeCell ref="X12:AG12"/>
    <x:mergeCell ref="AI3:BB3"/>
    <x:mergeCell ref="BD3:BI3"/>
    <x:mergeCell ref="BK3:BR3"/>
    <x:mergeCell ref="M79:Q79"/>
    <x:mergeCell ref="BS2:BZ2"/>
    <x:mergeCell ref="CB2:CI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30" hidden="0" customWidth="1"/>
  </x:cols>
  <x:sheetData>
    <x:row r="1" ht="28" customHeight="1">
      <x:c r="A1" s="316" t="str">
        <x:v>REFLO 자동화 검증</x:v>
      </x:c>
      <x:c r="B1" s="316"/>
      <x:c r="C1" s="316"/>
      <x:c r="D1" s="316"/>
      <x:c r="E1" s="316"/>
      <x:c r="F1" s="316"/>
      <x:c r="G1" s="316"/>
      <x:c r="H1" s="316"/>
    </x:row>
    <x:row r="2">
      <x:c r="A2" s="317" t="str">
        <x:v>수집·계산·매핑 상태를 한 곳에서 확인합니다. WAIT는 자료수집 후 자동 해제됩니다.</x:v>
      </x:c>
      <x:c r="B2" s="317"/>
      <x:c r="C2" s="317"/>
      <x:c r="D2" s="317"/>
      <x:c r="E2" s="317"/>
      <x:c r="F2" s="317"/>
      <x:c r="G2" s="318" t="str">
        <x:f>IF(COUNTIF($G$5:$G$12,"FAIL")&gt;0,"FAIL",IF(COUNTIF($G$5:$G$12,"WAIT")&gt;0,"WAIT","OK"))</x:f>
        <x:v>WAIT</x:v>
      </x:c>
      <x:c r="H2" s="318"/>
    </x:row>
    <x:row r="3">
      <x:c r="A3" s="319"/>
      <x:c r="B3" s="319"/>
      <x:c r="C3" s="319"/>
      <x:c r="D3" s="319"/>
      <x:c r="E3" s="319"/>
      <x:c r="F3" s="319"/>
      <x:c r="G3" s="319"/>
      <x:c r="H3" s="319"/>
    </x:row>
    <x:row r="4">
      <x:c r="A4" s="182" t="str">
        <x:v>Check ID</x:v>
      </x:c>
      <x:c r="B4" s="182" t="str">
        <x:v>검증 항목</x:v>
      </x:c>
      <x:c r="C4" s="182" t="str">
        <x:v>Actual</x:v>
      </x:c>
      <x:c r="D4" s="182" t="str">
        <x:v>Expected</x:v>
      </x:c>
      <x:c r="E4" s="182" t="str">
        <x:v>Difference</x:v>
      </x:c>
      <x:c r="F4" s="182" t="str">
        <x:v>Tolerance</x:v>
      </x:c>
      <x:c r="G4" s="182" t="str">
        <x:v>Status</x:v>
      </x:c>
      <x:c r="H4" s="182" t="str">
        <x:v>조치</x:v>
      </x:c>
    </x:row>
    <x:row r="5">
      <x:c r="A5" s="320" t="str">
        <x:v>CHK-01</x:v>
      </x:c>
      <x:c r="B5" s="320" t="str">
        <x:v>목표주가 수식 오류</x:v>
      </x:c>
      <x:c r="C5" s="321" t="n">
        <x:f>IF(ISERROR('M2_목표주가_타겟멀티플'!$C$15),1,0)</x:f>
        <x:v>0</x:v>
      </x:c>
      <x:c r="D5" s="321" t="n">
        <x:v>0</x:v>
      </x:c>
      <x:c r="E5" s="321" t="n">
        <x:f>IF(ISNUMBER(D5),C5-D5,"")</x:f>
        <x:v>0</x:v>
      </x:c>
      <x:c r="F5" s="321" t="n">
        <x:v>0</x:v>
      </x:c>
      <x:c r="G5" s="320" t="str">
        <x:f>IF(C5=D5,"OK","FAIL")</x:f>
        <x:v>OK</x:v>
      </x:c>
      <x:c r="H5" s="320" t="str">
        <x:v>M2 수식 확인</x:v>
      </x:c>
    </x:row>
    <x:row r="6">
      <x:c r="A6" s="322" t="str">
        <x:v>CHK-02</x:v>
      </x:c>
      <x:c r="B6" s="322" t="str">
        <x:v>현재주가 존재</x:v>
      </x:c>
      <x:c r="C6" s="323" t="n">
        <x:f>'M2_목표주가_타겟멀티플'!$C$8</x:f>
        <x:v>52500</x:v>
      </x:c>
      <x:c r="D6" s="323" t="str">
        <x:v>&gt;0</x:v>
      </x:c>
      <x:c r="E6" s="323" t="str">
        <x:f>IF(ISNUMBER(D6),C6-D6,"")</x:f>
      </x:c>
      <x:c r="F6" s="323" t="n">
        <x:v>0</x:v>
      </x:c>
      <x:c r="G6" s="322" t="str">
        <x:f>IF(C6&gt;0,"OK","FAIL")</x:f>
        <x:v>OK</x:v>
      </x:c>
      <x:c r="H6" s="322" t="str">
        <x:v>KRX snapshot 확인</x:v>
      </x:c>
    </x:row>
    <x:row r="7">
      <x:c r="A7" s="322" t="str">
        <x:v>CHK-03</x:v>
      </x:c>
      <x:c r="B7" s="322" t="str">
        <x:v>KRX 시계열 관측치</x:v>
      </x:c>
      <x:c r="C7" s="323" t="n">
        <x:f>COUNT('_REFLO_BRIDGE'!$A$33:$A$1332)</x:f>
        <x:v>1</x:v>
      </x:c>
      <x:c r="D7" s="323" t="n">
        <x:v>252</x:v>
      </x:c>
      <x:c r="E7" s="323" t="n">
        <x:f>IF(ISNUMBER(D7),C7-D7,"")</x:f>
        <x:v>-251</x:v>
      </x:c>
      <x:c r="F7" s="323" t="n">
        <x:v>0</x:v>
      </x:c>
      <x:c r="G7" s="322" t="str">
        <x:f>IF(C7&gt;=D7,"OK","WAIT")</x:f>
        <x:v>WAIT</x:v>
      </x:c>
      <x:c r="H7" s="322" t="str">
        <x:v>KRX 일별 데이터 수집</x:v>
      </x:c>
    </x:row>
    <x:row r="8">
      <x:c r="A8" s="322" t="str">
        <x:v>CHK-04</x:v>
      </x:c>
      <x:c r="B8" s="322" t="str">
        <x:v>FnGuide Forward EPS 이력</x:v>
      </x:c>
      <x:c r="C8" s="323" t="n">
        <x:f>COUNT('_REFLO_BRIDGE'!$O$14:$O$73)</x:f>
        <x:v>0</x:v>
      </x:c>
      <x:c r="D8" s="323" t="n">
        <x:v>24</x:v>
      </x:c>
      <x:c r="E8" s="323" t="n">
        <x:f>IF(ISNUMBER(D8),C8-D8,"")</x:f>
        <x:v>-24</x:v>
      </x:c>
      <x:c r="F8" s="323" t="n">
        <x:v>0</x:v>
      </x:c>
      <x:c r="G8" s="322" t="str">
        <x:f>IF(C8&gt;=D8,"OK","WAIT")</x:f>
        <x:v>WAIT</x:v>
      </x:c>
      <x:c r="H8" s="322" t="str">
        <x:v>FnGuide history 수집</x:v>
      </x:c>
    </x:row>
    <x:row r="9">
      <x:c r="A9" s="322" t="str">
        <x:v>CHK-05</x:v>
      </x:c>
      <x:c r="B9" s="322" t="str">
        <x:v>투자등급 비율 합계</x:v>
      </x:c>
      <x:c r="C9" s="323" t="n">
        <x:f>SUM('17_p5_투자등급_비율공시'!$B$19:$D$19)</x:f>
        <x:v>1</x:v>
      </x:c>
      <x:c r="D9" s="323" t="n">
        <x:v>1</x:v>
      </x:c>
      <x:c r="E9" s="323" t="n">
        <x:f>IF(ISNUMBER(D9),C9-D9,"")</x:f>
        <x:v>0</x:v>
      </x:c>
      <x:c r="F9" s="323" t="n">
        <x:v>0.0001</x:v>
      </x:c>
      <x:c r="G9" s="322" t="str">
        <x:f>IF(ABS(E9)&lt;=F9,"OK","FAIL")</x:f>
        <x:v>OK</x:v>
      </x:c>
      <x:c r="H9" s="322" t="str">
        <x:v>컴플라이언스 자료 확인</x:v>
      </x:c>
    </x:row>
    <x:row r="10">
      <x:c r="A10" s="322" t="str">
        <x:v>CHK-06</x:v>
      </x:c>
      <x:c r="B10" s="322" t="str">
        <x:v>M1 연간 합계 차이</x:v>
      </x:c>
      <x:c r="C10" s="323" t="n">
        <x:f>MAX(ABS('M1_실적추정_모델'!$B$40),ABS('M1_실적추정_모델'!$C$40))</x:f>
        <x:v>0.09999999999990905</x:v>
      </x:c>
      <x:c r="D10" s="323" t="n">
        <x:v>0</x:v>
      </x:c>
      <x:c r="E10" s="323" t="n">
        <x:f>IF(ISNUMBER(D10),C10-D10,"")</x:f>
        <x:v>0.09999999999990905</x:v>
      </x:c>
      <x:c r="F10" s="323" t="n">
        <x:v>0.2</x:v>
      </x:c>
      <x:c r="G10" s="322" t="str">
        <x:f>IF(C10&lt;=F10,"OK","FAIL")</x:f>
        <x:v>OK</x:v>
      </x:c>
      <x:c r="H10" s="322" t="str">
        <x:v>분기·연간 입력 확인</x:v>
      </x:c>
    </x:row>
    <x:row r="11">
      <x:c r="A11" s="322" t="str">
        <x:v>CHK-07</x:v>
      </x:c>
      <x:c r="B11" s="322" t="str">
        <x:v>Peer 평균 대조</x:v>
      </x:c>
      <x:c r="C11" s="323" t="n">
        <x:f>ABS('M2_목표주가_타겟멀티플'!$C$42)</x:f>
        <x:v>3.552713678800501e-15</x:v>
      </x:c>
      <x:c r="D11" s="323" t="n">
        <x:v>0</x:v>
      </x:c>
      <x:c r="E11" s="323" t="n">
        <x:f>IF(ISNUMBER(D11),C11-D11,"")</x:f>
        <x:v>3.552713678800501e-15</x:v>
      </x:c>
      <x:c r="F11" s="323" t="n">
        <x:v>0.01</x:v>
      </x:c>
      <x:c r="G11" s="322" t="str">
        <x:f>IF(C11&lt;=F11,"OK","FAIL")</x:f>
        <x:v>OK</x:v>
      </x:c>
      <x:c r="H11" s="322" t="str">
        <x:v>Peer 입력 확인</x:v>
      </x:c>
    </x:row>
    <x:row r="12">
      <x:c r="A12" s="322" t="str">
        <x:v>CHK-08</x:v>
      </x:c>
      <x:c r="B12" s="322" t="str">
        <x:v>IR 수주잔고 연결</x:v>
      </x:c>
      <x:c r="C12" s="323" t="n">
        <x:f>COUNT('_REFLO_BRIDGE'!$AI$5:$BB$8)</x:f>
        <x:v>19</x:v>
      </x:c>
      <x:c r="D12" s="323" t="n">
        <x:v>1</x:v>
      </x:c>
      <x:c r="E12" s="323" t="n">
        <x:f>IF(ISNUMBER(D12),C12-D12,"")</x:f>
        <x:v>18</x:v>
      </x:c>
      <x:c r="F12" s="323" t="n">
        <x:v>0</x:v>
      </x:c>
      <x:c r="G12" s="322" t="str">
        <x:f>IF(C12&gt;=D12,"OK","WAIT")</x:f>
        <x:v>OK</x:v>
      </x:c>
      <x:c r="H12" s="322" t="str">
        <x:v>IR Evidence 확인</x:v>
      </x:c>
    </x:row>
    <x:row r="13">
      <x:c r="A13" s="319"/>
      <x:c r="B13" s="319"/>
      <x:c r="C13" s="319"/>
      <x:c r="D13" s="319"/>
      <x:c r="E13" s="319"/>
      <x:c r="F13" s="319"/>
      <x:c r="G13" s="319"/>
      <x:c r="H13" s="319"/>
    </x:row>
    <x:row r="14">
      <x:c r="A14" s="324" t="str">
        <x:v>수동 승인 대상: M1 미래 전망 · M2 밸류에이션 방식/타깃 멀티플 · 최종 투자의견/서술</x:v>
      </x:c>
      <x:c r="B14" s="324"/>
      <x:c r="C14" s="324"/>
      <x:c r="D14" s="324"/>
      <x:c r="E14" s="324"/>
      <x:c r="F14" s="324"/>
      <x:c r="G14" s="324"/>
      <x:c r="H14" s="324"/>
    </x:row>
  </x:sheetData>
  <x:mergeCells>
    <x:mergeCell ref="A1:H1"/>
    <x:mergeCell ref="A2:F2"/>
    <x:mergeCell ref="G2:H2"/>
    <x:mergeCell ref="A14:H14"/>
  </x:mergeCells>
  <x:conditionalFormatting sqref="G5:G12">
    <x:cfRule type="containsText" dxfId="0" priority="1" operator="containsText" text="OK"/>
    <x:cfRule type="containsText" dxfId="1" priority="2" operator="containsText" text="WAIT"/>
    <x:cfRule type="containsText" dxfId="2" priority="3" operator="containsText" text="FAIL"/>
  </x:conditionalFormatting>
  <x:pageMargins left="0.7" right="0.7" top="0.75" bottom="0.75" header="0.3" footer="0.3"/>
</x:worksheet>
</file>