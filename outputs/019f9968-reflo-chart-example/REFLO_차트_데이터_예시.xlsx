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4.xml" ContentType="application/vnd.openxmlformats-officedocument.spreadsheetml.worksheet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11b08aa9945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97eaff4408a4571"/>
    <x:sheet xmlns:r="http://schemas.openxmlformats.org/officeDocument/2006/relationships" name="01_RAW_INPUT" sheetId="2" r:id="R90362db2f5d840d4"/>
    <x:sheet xmlns:r="http://schemas.openxmlformats.org/officeDocument/2006/relationships" name="_REFLO_BRIDGE" sheetId="3" r:id="R203b75fa3ba645e6"/>
    <x:sheet xmlns:r="http://schemas.openxmlformats.org/officeDocument/2006/relationships" name="02_CHART_MAPPING" sheetId="4" r:id="R0fdee1602fa0409c"/>
    <x:sheet xmlns:r="http://schemas.openxmlformats.org/officeDocument/2006/relationships" name="03_CHARTS" sheetId="5" r:id="R70c0abae9afa4c1b"/>
    <x:sheet xmlns:r="http://schemas.openxmlformats.org/officeDocument/2006/relationships" name="04_CHECKS" sheetId="6" r:id="Rfec543380b1040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;[Red](#,##0);-"/>
    <x:numFmt numFmtId="201" formatCode="0.0"/>
    <x:numFmt numFmtId="202" formatCode="0.0%"/>
    <x:numFmt numFmtId="203" formatCode="#,##0.0;[Red](#,##0.0);-"/>
    <x:numFmt numFmtId="204" formatCode="#,##0"/>
    <x:numFmt numFmtId="205" formatCode="#,##0.0"/>
  </x:numFmts>
  <x:fonts count="25">
    <x:font>
      <x:sz val="11"/>
      <x:name val="Carlito"/>
    </x:font>
    <x:font>
      <x:b/>
      <x:sz val="18"/>
      <x:color rgb="FFFFFFFF"/>
      <x:name val="Aptos Display"/>
    </x:font>
    <x:font>
      <x:sz val="11"/>
      <x:color rgb="FF687168"/>
      <x:name val="Aptos"/>
    </x:font>
    <x:font>
      <x:b/>
      <x:sz val="11"/>
      <x:color rgb="FF1E2420"/>
      <x:name val="Aptos"/>
    </x:font>
    <x:font>
      <x:b/>
      <x:sz val="11"/>
      <x:color rgb="FF172016"/>
      <x:name val="Carlito"/>
    </x:font>
    <x:font>
      <x:b/>
      <x:sz val="11"/>
      <x:color rgb="FF1E2420"/>
      <x:name val="Carlito"/>
    </x:font>
    <x:font>
      <x:b/>
      <x:sz val="11"/>
      <x:color rgb="FF5C850D"/>
      <x:name val="Carlito"/>
    </x:font>
    <x:font>
      <x:b/>
      <x:sz val="11"/>
      <x:color rgb="FF9C6500"/>
      <x:name val="Carlito"/>
    </x:font>
    <x:font>
      <x:b/>
      <x:sz val="9"/>
      <x:color rgb="FFFFFFFF"/>
      <x:name val="Aptos"/>
    </x:font>
    <x:font>
      <x:sz val="9"/>
      <x:color rgb="FF1E2420"/>
      <x:name val="Aptos"/>
    </x:font>
    <x:font>
      <x:b/>
      <x:sz val="9"/>
      <x:color rgb="FF0000FF"/>
      <x:name val="Aptos"/>
    </x:font>
    <x:font>
      <x:b/>
      <x:sz val="9"/>
      <x:color rgb="FF008000"/>
      <x:name val="Aptos"/>
    </x:font>
    <x:font>
      <x:b/>
      <x:sz val="9"/>
      <x:color rgb="FF1E2420"/>
      <x:name val="Aptos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172016"/>
      <x:name val="Aptos"/>
    </x:font>
    <x:font>
      <x:b/>
      <x:sz val="11"/>
      <x:color rgb="FF5C850D"/>
      <x:name val="Aptos"/>
    </x:font>
    <x:font>
      <x:b/>
      <x:sz val="11"/>
      <x:color rgb="FF9C6500"/>
      <x:name val="Aptos"/>
    </x:font>
    <x:font>
      <x:sz val="9"/>
      <x:color rgb="FF687168"/>
      <x:name val="Carlito"/>
    </x:font>
    <x:font>
      <x:sz val="9"/>
      <x:color rgb="FF0000FF"/>
      <x:name val="Aptos"/>
    </x:font>
    <x:font>
      <x:sz val="9"/>
      <x:color rgb="FF008000"/>
      <x:name val="Aptos"/>
    </x:font>
    <x:font>
      <x:b/>
      <x:sz val="9"/>
      <x:color rgb="FF5C850D"/>
      <x:name val="Aptos"/>
    </x:font>
    <x:font>
      <x:sz val="8"/>
      <x:color rgb="FF008000"/>
      <x:name val="Carlito"/>
    </x:font>
    <x:font>
      <x:sz val="8"/>
      <x:name val="Carlito"/>
    </x:font>
    <x:font>
      <x:b/>
      <x:sz val="14"/>
      <x:color rgb="FF2F6B2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2016"/>
      </x:patternFill>
    </x:fill>
    <x:fill>
      <x:patternFill patternType="solid">
        <x:fgColor rgb="FFF4F6F3"/>
      </x:patternFill>
    </x:fill>
    <x:fill>
      <x:patternFill patternType="solid">
        <x:fgColor rgb="FFC8FF3D"/>
      </x:patternFill>
    </x:fill>
    <x:fill>
      <x:patternFill patternType="solid">
        <x:fgColor rgb="FFFFF2CC"/>
      </x:patternFill>
    </x:fill>
    <x:fill>
      <x:patternFill patternType="solid">
        <x:fgColor rgb="FF2D6E65"/>
      </x:patternFill>
    </x:fill>
    <x:fill>
      <x:patternFill patternType="solid">
        <x:fgColor rgb="FFFAFBF9"/>
      </x:patternFill>
    </x:fill>
    <x:fill>
      <x:patternFill patternType="solid">
        <x:fgColor rgb="FFE2F0D9"/>
      </x:patternFill>
    </x:fill>
  </x:fills>
  <x:borders count="16">
    <x:border/>
    <x:border>
      <x:bottom style="thin">
        <x:color rgb="FFDDE3DC"/>
      </x:bottom>
    </x:border>
    <x:border>
      <x:right style="thin">
        <x:color rgb="FFDDE3DC"/>
      </x:right>
      <x:bottom style="thin">
        <x:color rgb="FFDDE3DC"/>
      </x:bottom>
    </x:border>
    <x:border>
      <x:left style="thin">
        <x:color rgb="FFDDE3DC"/>
      </x:left>
      <x:right style="thin">
        <x:color rgb="FFDDE3DC"/>
      </x:right>
      <x:bottom style="thin">
        <x:color rgb="FFDDE3DC"/>
      </x:bottom>
    </x:border>
    <x:border>
      <x:left style="thin">
        <x:color rgb="FFDDE3DC"/>
      </x:left>
      <x:bottom style="thin">
        <x:color rgb="FFDDE3DC"/>
      </x:bottom>
    </x:border>
    <x:border>
      <x:right style="thin">
        <x:color rgb="FFDDE3DC"/>
      </x:right>
      <x:top style="thin">
        <x:color rgb="FFDDE3DC"/>
      </x:top>
      <x:bottom style="thin">
        <x:color rgb="FFDDE3DC"/>
      </x:bottom>
    </x:border>
    <x:border>
      <x:left style="thin">
        <x:color rgb="FFDDE3DC"/>
      </x:left>
      <x:right style="thin">
        <x:color rgb="FFDDE3DC"/>
      </x:right>
      <x:top style="thin">
        <x:color rgb="FFDDE3DC"/>
      </x:top>
      <x:bottom style="thin">
        <x:color rgb="FFDDE3DC"/>
      </x:bottom>
    </x:border>
    <x:border>
      <x:left style="thin">
        <x:color rgb="FFDDE3DC"/>
      </x:left>
      <x:top style="thin">
        <x:color rgb="FFDDE3DC"/>
      </x:top>
      <x:bottom style="thin">
        <x:color rgb="FFDDE3DC"/>
      </x:bottom>
    </x:border>
    <x:border>
      <x:right style="thin">
        <x:color rgb="FFDDE3DC"/>
      </x:right>
      <x:top style="thin">
        <x:color rgb="FFDDE3DC"/>
      </x:top>
    </x:border>
    <x:border>
      <x:left style="thin">
        <x:color rgb="FFDDE3DC"/>
      </x:left>
      <x:right style="thin">
        <x:color rgb="FFDDE3DC"/>
      </x:right>
      <x:top style="thin">
        <x:color rgb="FFDDE3DC"/>
      </x:top>
    </x:border>
    <x:border>
      <x:left style="thin">
        <x:color rgb="FFDDE3DC"/>
      </x:left>
      <x:top style="thin">
        <x:color rgb="FFDDE3DC"/>
      </x:top>
    </x:border>
    <x:border>
      <x:right style="thin">
        <x:color rgb="FF90B8B1"/>
      </x:right>
      <x:bottom style="thin">
        <x:color rgb="FF1D544C"/>
      </x:bottom>
    </x:border>
    <x:border>
      <x:left style="thin">
        <x:color rgb="FF90B8B1"/>
      </x:left>
      <x:right style="thin">
        <x:color rgb="FF90B8B1"/>
      </x:right>
      <x:bottom style="thin">
        <x:color rgb="FF1D544C"/>
      </x:bottom>
    </x:border>
    <x:border>
      <x:left style="thin">
        <x:color rgb="FF90B8B1"/>
      </x:left>
      <x:bottom style="thin">
        <x:color rgb="FF1D544C"/>
      </x:bottom>
    </x:border>
    <x:border>
      <x:bottom style="thin">
        <x:color rgb="FFE8ECE7"/>
      </x:bottom>
    </x:border>
    <x:border>
      <x:top style="thin">
        <x:color rgb="FFDDE3DC"/>
      </x:top>
    </x:border>
  </x:borders>
  <x:cellStyleXfs count="1">
    <x:xf numFmtId="0" fontId="0" fillId="0" borderId="0"/>
  </x:cellStyleXfs>
  <x:cellXfs count="1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4" borderId="2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4" fillId="4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4" fillId="4" borderId="8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6" fillId="0" borderId="2" xfId="0" applyNumberFormat="1" applyFont="1" applyFill="1" applyBorder="1" applyAlignment="1">
      <x:alignment horizontal="center"/>
    </x:xf>
    <x:xf numFmtId="0" fontId="6" fillId="0" borderId="5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8" fillId="6" borderId="13" xfId="0" applyNumberFormat="1" applyFont="1" applyFill="1" applyBorder="1"/>
    <x:xf numFmtId="0" fontId="8" fillId="6" borderId="11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wrapText="1"/>
    </x:xf>
    <x:xf numFmtId="0" fontId="8" fillId="6" borderId="13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horizontal="center" wrapText="1"/>
    </x:xf>
    <x:xf numFmtId="0" fontId="8" fillId="6" borderId="12" xfId="0" applyNumberFormat="1" applyFont="1" applyFill="1" applyBorder="1" applyAlignment="1">
      <x:alignment horizontal="center" wrapText="1"/>
    </x:xf>
    <x:xf numFmtId="0" fontId="8" fillId="6" borderId="13" xfId="0" applyNumberFormat="1" applyFont="1" applyFill="1" applyBorder="1" applyAlignment="1">
      <x:alignment horizontal="center" wrapText="1"/>
    </x:xf>
    <x:xf numFmtId="0" fontId="8" fillId="6" borderId="11" xfId="0" applyNumberFormat="1" applyFont="1" applyFill="1" applyBorder="1" applyAlignment="1">
      <x:alignment horizontal="center" vertical="center" wrapText="1"/>
    </x:xf>
    <x:xf numFmtId="0" fontId="8" fillId="6" borderId="12" xfId="0" applyNumberFormat="1" applyFont="1" applyFill="1" applyBorder="1" applyAlignment="1">
      <x:alignment horizontal="center" vertical="center" wrapText="1"/>
    </x:xf>
    <x:xf numFmtId="0" fontId="8" fillId="6" borderId="13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14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4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2" fillId="0" borderId="14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 applyAlignment="1">
      <x:alignment horizontal="left" vertical="center"/>
    </x:xf>
    <x:xf numFmtId="0" fontId="14" fillId="0" borderId="0" xfId="0" applyNumberFormat="1" applyFont="1" applyFill="1" applyBorder="1"/>
    <x:xf numFmtId="0" fontId="15" fillId="4" borderId="2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/>
    <x:xf numFmtId="0" fontId="14" fillId="0" borderId="3" xfId="0" applyNumberFormat="1" applyFont="1" applyFill="1" applyBorder="1" applyAlignment="1">
      <x:alignment wrapText="1"/>
    </x:xf>
    <x:xf numFmtId="0" fontId="14" fillId="0" borderId="4" xfId="0" applyNumberFormat="1" applyFont="1" applyFill="1" applyBorder="1" applyAlignment="1">
      <x:alignment wrapText="1"/>
    </x:xf>
    <x:xf numFmtId="0" fontId="15" fillId="4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/>
    <x:xf numFmtId="0" fontId="14" fillId="0" borderId="6" xfId="0" applyNumberFormat="1" applyFont="1" applyFill="1" applyBorder="1" applyAlignment="1">
      <x:alignment wrapText="1"/>
    </x:xf>
    <x:xf numFmtId="0" fontId="14" fillId="0" borderId="7" xfId="0" applyNumberFormat="1" applyFont="1" applyFill="1" applyBorder="1" applyAlignment="1">
      <x:alignment wrapText="1"/>
    </x:xf>
    <x:xf numFmtId="0" fontId="15" fillId="4" borderId="8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/>
    <x:xf numFmtId="0" fontId="14" fillId="0" borderId="9" xfId="0" applyNumberFormat="1" applyFont="1" applyFill="1" applyBorder="1" applyAlignment="1">
      <x:alignment wrapText="1"/>
    </x:xf>
    <x:xf numFmtId="0" fontId="14" fillId="0" borderId="10" xfId="0" applyNumberFormat="1" applyFont="1" applyFill="1" applyBorder="1" applyAlignment="1">
      <x:alignment wrapText="1"/>
    </x:xf>
    <x:xf numFmtId="0" fontId="16" fillId="0" borderId="2" xfId="0" applyNumberFormat="1" applyFont="1" applyFill="1" applyBorder="1" applyAlignment="1">
      <x:alignment horizontal="center"/>
    </x:xf>
    <x:xf numFmtId="0" fontId="16" fillId="0" borderId="5" xfId="0" applyNumberFormat="1" applyFont="1" applyFill="1" applyBorder="1" applyAlignment="1">
      <x:alignment horizontal="center"/>
    </x:xf>
    <x:xf numFmtId="0" fontId="17" fillId="5" borderId="8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14" fillId="0" borderId="3" xfId="0" applyNumberFormat="1" applyFont="1" applyFill="1" applyBorder="1" applyAlignment="1">
      <x:alignment vertical="center" wrapText="1"/>
    </x:xf>
    <x:xf numFmtId="0" fontId="14" fillId="0" borderId="4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/>
    </x:xf>
    <x:xf numFmtId="0" fontId="14" fillId="0" borderId="6" xfId="0" applyNumberFormat="1" applyFont="1" applyFill="1" applyBorder="1" applyAlignment="1">
      <x:alignment vertical="center" wrapText="1"/>
    </x:xf>
    <x:xf numFmtId="0" fontId="14" fillId="0" borderId="7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/>
    </x:xf>
    <x:xf numFmtId="0" fontId="14" fillId="0" borderId="9" xfId="0" applyNumberFormat="1" applyFont="1" applyFill="1" applyBorder="1" applyAlignment="1">
      <x:alignment vertical="center" wrapText="1"/>
    </x:xf>
    <x:xf numFmtId="0" fontId="14" fillId="0" borderId="10" xfId="0" applyNumberFormat="1" applyFont="1" applyFill="1" applyBorder="1" applyAlignment="1">
      <x:alignment vertical="center" wrapText="1"/>
    </x:xf>
    <x:xf numFmtId="0" fontId="16" fillId="0" borderId="2" xfId="0" applyNumberFormat="1" applyFont="1" applyFill="1" applyBorder="1" applyAlignment="1">
      <x:alignment horizontal="center" vertical="center"/>
    </x:xf>
    <x:xf numFmtId="0" fontId="16" fillId="0" borderId="5" xfId="0" applyNumberFormat="1" applyFont="1" applyFill="1" applyBorder="1" applyAlignment="1">
      <x:alignment horizontal="center" vertical="center"/>
    </x:xf>
    <x:xf numFmtId="0" fontId="17" fillId="5" borderId="8" xfId="0" applyNumberFormat="1" applyFont="1" applyFill="1" applyBorder="1" applyAlignment="1">
      <x:alignment horizontal="center" vertical="center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19" fillId="0" borderId="0" xfId="0" applyNumberFormat="1" applyFont="1" applyFill="1" applyBorder="1" applyAlignment="1">
      <x:alignment vertical="center"/>
    </x:xf>
    <x:xf numFmtId="0" fontId="19" fillId="0" borderId="14" xfId="0" applyNumberFormat="1" applyFont="1" applyFill="1" applyBorder="1" applyAlignment="1">
      <x:alignment vertical="center"/>
    </x:xf>
    <x:xf numFmtId="200" fontId="19" fillId="0" borderId="0" xfId="0" applyNumberFormat="1" applyFont="1" applyFill="1" applyBorder="1" applyAlignment="1">
      <x:alignment vertical="center"/>
    </x:xf>
    <x:xf numFmtId="200" fontId="19" fillId="0" borderId="14" xfId="0" applyNumberFormat="1" applyFont="1" applyFill="1" applyBorder="1" applyAlignment="1">
      <x:alignment vertical="center"/>
    </x:xf>
    <x:xf numFmtId="201" fontId="19" fillId="0" borderId="0" xfId="0" applyNumberFormat="1" applyFont="1" applyFill="1" applyBorder="1" applyAlignment="1">
      <x:alignment vertical="center"/>
    </x:xf>
    <x:xf numFmtId="201" fontId="19" fillId="0" borderId="14" xfId="0" applyNumberFormat="1" applyFont="1" applyFill="1" applyBorder="1" applyAlignment="1">
      <x:alignment vertical="center"/>
    </x:xf>
    <x:xf numFmtId="202" fontId="19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2" fontId="19" fillId="0" borderId="14" xfId="0" applyNumberFormat="1" applyFont="1" applyFill="1" applyBorder="1" applyAlignment="1">
      <x:alignment vertical="center"/>
    </x:xf>
    <x:xf numFmtId="202" fontId="9" fillId="0" borderId="14" xfId="0" applyNumberFormat="1" applyFont="1" applyFill="1" applyBorder="1" applyAlignment="1">
      <x:alignment vertical="center"/>
    </x:xf>
    <x:xf numFmtId="203" fontId="19" fillId="0" borderId="0" xfId="0" applyNumberFormat="1" applyFont="1" applyFill="1" applyBorder="1" applyAlignment="1">
      <x:alignment vertical="center"/>
    </x:xf>
    <x:xf numFmtId="203" fontId="19" fillId="0" borderId="14" xfId="0" applyNumberFormat="1" applyFont="1" applyFill="1" applyBorder="1" applyAlignment="1">
      <x:alignment vertical="center"/>
    </x:xf>
    <x:xf numFmtId="0" fontId="20" fillId="0" borderId="0" xfId="0" applyNumberFormat="1" applyFont="1" applyFill="1" applyBorder="1" applyAlignment="1">
      <x:alignment vertical="center"/>
    </x:xf>
    <x:xf numFmtId="0" fontId="20" fillId="0" borderId="14" xfId="0" applyNumberFormat="1" applyFont="1" applyFill="1" applyBorder="1" applyAlignment="1">
      <x:alignment vertical="center"/>
    </x:xf>
    <x:xf numFmtId="204" fontId="20" fillId="0" borderId="0" xfId="0" applyNumberFormat="1" applyFont="1" applyFill="1" applyBorder="1" applyAlignment="1">
      <x:alignment vertical="center"/>
    </x:xf>
    <x:xf numFmtId="204" fontId="20" fillId="0" borderId="14" xfId="0" applyNumberFormat="1" applyFont="1" applyFill="1" applyBorder="1" applyAlignment="1">
      <x:alignment vertical="center"/>
    </x:xf>
    <x:xf numFmtId="201" fontId="20" fillId="0" borderId="0" xfId="0" applyNumberFormat="1" applyFont="1" applyFill="1" applyBorder="1" applyAlignment="1">
      <x:alignment vertical="center"/>
    </x:xf>
    <x:xf numFmtId="201" fontId="20" fillId="0" borderId="14" xfId="0" applyNumberFormat="1" applyFont="1" applyFill="1" applyBorder="1" applyAlignment="1">
      <x:alignment vertical="center"/>
    </x:xf>
    <x:xf numFmtId="202" fontId="20" fillId="0" borderId="0" xfId="0" applyNumberFormat="1" applyFont="1" applyFill="1" applyBorder="1" applyAlignment="1">
      <x:alignment vertical="center"/>
    </x:xf>
    <x:xf numFmtId="202" fontId="20" fillId="0" borderId="14" xfId="0" applyNumberFormat="1" applyFont="1" applyFill="1" applyBorder="1" applyAlignment="1">
      <x:alignment vertical="center"/>
    </x:xf>
    <x:xf numFmtId="205" fontId="20" fillId="0" borderId="0" xfId="0" applyNumberFormat="1" applyFont="1" applyFill="1" applyBorder="1" applyAlignment="1">
      <x:alignment vertical="center"/>
    </x:xf>
    <x:xf numFmtId="205" fontId="20" fillId="0" borderId="14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/>
    </x:xf>
    <x:xf numFmtId="0" fontId="21" fillId="0" borderId="14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vertical="center" wrapText="1"/>
    </x:xf>
    <x:xf numFmtId="0" fontId="21" fillId="0" borderId="14" xfId="0" applyNumberFormat="1" applyFont="1" applyFill="1" applyBorder="1" applyAlignment="1">
      <x:alignment vertical="center" wrapText="1"/>
    </x:xf>
    <x:xf numFmtId="0" fontId="9" fillId="0" borderId="14" xfId="0" applyNumberFormat="1" applyFont="1" applyFill="1" applyBorder="1" applyAlignment="1">
      <x:alignment vertical="center" wrapText="1"/>
    </x:xf>
    <x:xf numFmtId="0" fontId="20" fillId="0" borderId="14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/>
    <x:xf numFmtId="204" fontId="22" fillId="0" borderId="0" xfId="0" applyNumberFormat="1" applyFont="1" applyFill="1" applyBorder="1"/>
    <x:xf numFmtId="202" fontId="22" fillId="0" borderId="0" xfId="0" applyNumberFormat="1" applyFont="1" applyFill="1" applyBorder="1"/>
    <x:xf numFmtId="205" fontId="22" fillId="0" borderId="0" xfId="0" applyNumberFormat="1" applyFont="1" applyFill="1" applyBorder="1"/>
    <x:xf numFmtId="0" fontId="0" fillId="7" borderId="0" xfId="0" applyNumberFormat="1" applyFont="1" applyFill="1" applyBorder="1"/>
    <x:xf numFmtId="0" fontId="22" fillId="7" borderId="0" xfId="0" applyNumberFormat="1" applyFont="1" applyFill="1" applyBorder="1"/>
    <x:xf numFmtId="204" fontId="22" fillId="7" borderId="0" xfId="0" applyNumberFormat="1" applyFont="1" applyFill="1" applyBorder="1"/>
    <x:xf numFmtId="202" fontId="22" fillId="7" borderId="0" xfId="0" applyNumberFormat="1" applyFont="1" applyFill="1" applyBorder="1"/>
    <x:xf numFmtId="205" fontId="22" fillId="7" borderId="0" xfId="0" applyNumberFormat="1" applyFont="1" applyFill="1" applyBorder="1"/>
    <x:xf numFmtId="0" fontId="23" fillId="7" borderId="0" xfId="0" applyNumberFormat="1" applyFont="1" applyFill="1" applyBorder="1"/>
    <x:xf numFmtId="0" fontId="5" fillId="3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8" borderId="10" xfId="0" applyNumberFormat="1" applyFont="1" applyFill="1" applyBorder="1" applyAlignment="1">
      <x:alignment wrapText="1"/>
    </x:xf>
    <x:xf numFmtId="0" fontId="24" fillId="8" borderId="10" xfId="0" applyNumberFormat="1" applyFont="1" applyFill="1" applyBorder="1" applyAlignment="1">
      <x:alignment wrapText="1"/>
    </x:xf>
    <x:xf numFmtId="0" fontId="24" fillId="8" borderId="10" xfId="0" applyNumberFormat="1" applyFont="1" applyFill="1" applyBorder="1" applyAlignment="1">
      <x:alignment horizontal="center" wrapText="1"/>
    </x:xf>
    <x:xf numFmtId="0" fontId="24" fillId="8" borderId="10" xfId="0" applyNumberFormat="1" applyFont="1" applyFill="1" applyBorder="1" applyAlignment="1">
      <x:alignment horizontal="center" vertical="center" wrapText="1"/>
    </x:xf>
    <x:xf numFmtId="202" fontId="9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819d487a84d1d" /><Relationship Type="http://schemas.openxmlformats.org/officeDocument/2006/relationships/theme" Target="/xl/theme/theme1.xml" Id="R1607247f17b543ee" /><Relationship Type="http://schemas.openxmlformats.org/officeDocument/2006/relationships/sharedStrings" Target="/xl/sharedStrings.xml" Id="R359ecf6368534c33" /><Relationship Type="http://schemas.openxmlformats.org/officeDocument/2006/relationships/worksheet" Target="/xl/worksheets/sheet1.xml" Id="Rf97eaff4408a4571" /><Relationship Type="http://schemas.openxmlformats.org/officeDocument/2006/relationships/worksheet" Target="/xl/worksheets/sheet2.xml" Id="R90362db2f5d840d4" /><Relationship Type="http://schemas.openxmlformats.org/officeDocument/2006/relationships/worksheet" Target="/xl/worksheets/sheet3.xml" Id="R203b75fa3ba645e6" /><Relationship Type="http://schemas.openxmlformats.org/officeDocument/2006/relationships/worksheet" Target="/xl/worksheets/sheet4.xml" Id="R0fdee1602fa0409c" /><Relationship Type="http://schemas.openxmlformats.org/officeDocument/2006/relationships/worksheet" Target="/xl/worksheets/sheet5.xml" Id="R70c0abae9afa4c1b" /><Relationship Type="http://schemas.openxmlformats.org/officeDocument/2006/relationships/worksheet" Target="/xl/worksheets/sheet6.xml" Id="Rfec543380b1040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6414528b284f59" /><Relationship Type="http://schemas.openxmlformats.org/officeDocument/2006/relationships/chart" Target="/xl/drawings/charts/chart2.xml" Id="R232032ae8e734925" /><Relationship Type="http://schemas.openxmlformats.org/officeDocument/2006/relationships/chart" Target="/xl/drawings/charts/chart3.xml" Id="R9526220a46e94460" /><Relationship Type="http://schemas.openxmlformats.org/officeDocument/2006/relationships/chart" Target="/xl/drawings/charts/chart4.xml" Id="Rbce9f14f687d442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도표 7 · 분기 영업이익 vs 시가총액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영업이익(억원)</c:v>
          </c:tx>
          <c:marker>
            <c:symbol val="none"/>
          </c:marker>
          <c:cat>
            <c:strRef>
              <c:f>'03_CHARTS'!$A$42:$A$69</c:f>
              <c:strCache>
                <c:ptCount val="0"/>
              </c:strCache>
            </c:strRef>
          </c:cat>
          <c:val>
            <c:numRef>
              <c:f>'03_CHARTS'!$B$42:$B$69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시가총액(천억원)</c:v>
          </c:tx>
          <c:marker>
            <c:symbol val="none"/>
          </c:marker>
          <c:cat>
            <c:strRef>
              <c:f>'03_CHARTS'!$A$42:$A$69</c:f>
              <c:strCache>
                <c:ptCount val="0"/>
              </c:strCache>
            </c:strRef>
          </c:cat>
          <c:val>
            <c:numRef>
              <c:f>'03_CHARTS'!$C$42:$C$69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도표 8 · 애플리케이션별 매출 비중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데이터센터</c:v>
          </c:tx>
          <c:marker>
            <c:symbol val="none"/>
          </c:marker>
          <c:cat>
            <c:strRef>
              <c:f>'03_CHARTS'!$E$42:$E$61</c:f>
              <c:strCache>
                <c:ptCount val="0"/>
              </c:strCache>
            </c:strRef>
          </c:cat>
          <c:val>
            <c:numRef>
              <c:f>'03_CHARTS'!$F$42:$F$61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스마트폰</c:v>
          </c:tx>
          <c:marker>
            <c:symbol val="none"/>
          </c:marker>
          <c:cat>
            <c:strRef>
              <c:f>'03_CHARTS'!$E$42:$E$61</c:f>
              <c:strCache>
                <c:ptCount val="0"/>
              </c:strCache>
            </c:strRef>
          </c:cat>
          <c:val>
            <c:numRef>
              <c:f>'03_CHARTS'!$G$42:$G$61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PC/노트북</c:v>
          </c:tx>
          <c:marker>
            <c:symbol val="none"/>
          </c:marker>
          <c:cat>
            <c:strRef>
              <c:f>'03_CHARTS'!$E$42:$E$61</c:f>
              <c:strCache>
                <c:ptCount val="0"/>
              </c:strCache>
            </c:strRef>
          </c:cat>
          <c:val>
            <c:numRef>
              <c:f>'03_CHARTS'!$H$42:$H$61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Auto</c:v>
          </c:tx>
          <c:marker>
            <c:symbol val="none"/>
          </c:marker>
          <c:cat>
            <c:strRef>
              <c:f>'03_CHARTS'!$E$42:$E$61</c:f>
              <c:strCache>
                <c:ptCount val="0"/>
              </c:strCache>
            </c:strRef>
          </c:cat>
          <c:val>
            <c:numRef>
              <c:f>'03_CHARTS'!$I$42:$I$61</c:f>
              <c:numCache>
                <c:formatCode>0.0%</c:formatCode>
                <c:ptCount val="0"/>
              </c:numCache>
            </c:numRef>
          </c:val>
        </c:ser>
        <c:ser>
          <c:idx val="4"/>
          <c:order val="4"/>
          <c:tx>
            <c:v>Wearable</c:v>
          </c:tx>
          <c:marker>
            <c:symbol val="none"/>
          </c:marker>
          <c:cat>
            <c:strRef>
              <c:f>'03_CHARTS'!$E$42:$E$61</c:f>
              <c:strCache>
                <c:ptCount val="0"/>
              </c:strCache>
            </c:strRef>
          </c:cat>
          <c:val>
            <c:numRef>
              <c:f>'03_CHARTS'!$J$42:$J$61</c:f>
              <c:numCache>
                <c:formatCode>0.0%</c:formatCode>
                <c:ptCount val="0"/>
              </c:numCache>
            </c:numRef>
          </c:val>
        </c:ser>
        <c:ser>
          <c:idx val="5"/>
          <c:order val="5"/>
          <c:tx>
            <c:v>LSI</c:v>
          </c:tx>
          <c:marker>
            <c:symbol val="none"/>
          </c:marker>
          <c:cat>
            <c:strRef>
              <c:f>'03_CHARTS'!$E$42:$E$61</c:f>
              <c:strCache>
                <c:ptCount val="0"/>
              </c:strCache>
            </c:strRef>
          </c:cat>
          <c:val>
            <c:numRef>
              <c:f>'03_CHARTS'!$K$42:$K$61</c:f>
              <c:numCache>
                <c:formatCode>0.0%</c:formatCode>
                <c:ptCount val="0"/>
              </c:numCache>
            </c:numRef>
          </c:val>
        </c:ser>
        <c:ser>
          <c:idx val="6"/>
          <c:order val="6"/>
          <c:tx>
            <c:v>기타</c:v>
          </c:tx>
          <c:marker>
            <c:symbol val="none"/>
          </c:marker>
          <c:cat>
            <c:strRef>
              <c:f>'03_CHARTS'!$E$42:$E$61</c:f>
              <c:strCache>
                <c:ptCount val="0"/>
              </c:strCache>
            </c:strRef>
          </c:cat>
          <c:val>
            <c:numRef>
              <c:f>'03_CHARTS'!$L$42:$L$61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도표 9 · 연간 매출액 및 OPM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매출액(십억원)</c:v>
          </c:tx>
          <c:marker>
            <c:symbol val="none"/>
          </c:marker>
          <c:cat>
            <c:strRef>
              <c:f>'03_CHARTS'!$N$42:$N$50</c:f>
              <c:strCache>
                <c:ptCount val="0"/>
              </c:strCache>
            </c:strRef>
          </c:cat>
          <c:val>
            <c:numRef>
              <c:f>'03_CHARTS'!$O$42:$O$50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OPM × 10</c:v>
          </c:tx>
          <c:marker>
            <c:symbol val="none"/>
          </c:marker>
          <c:cat>
            <c:strRef>
              <c:f>'03_CHARTS'!$N$42:$N$50</c:f>
              <c:strCache>
                <c:ptCount val="0"/>
              </c:strCache>
            </c:strRef>
          </c:cat>
          <c:val>
            <c:numRef>
              <c:f>'03_CHARTS'!$P$42:$P$50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도표 10 · 제품별 매출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Socket</c:v>
          </c:tx>
          <c:marker>
            <c:symbol val="none"/>
          </c:marker>
          <c:cat>
            <c:strRef>
              <c:f>'03_CHARTS'!$N$55:$N$86</c:f>
              <c:strCache>
                <c:ptCount val="0"/>
              </c:strCache>
            </c:strRef>
          </c:cat>
          <c:val>
            <c:numRef>
              <c:f>'03_CHARTS'!$O$55:$O$86</c:f>
              <c:numCache>
                <c:formatCode>#,##0.0</c:formatCode>
                <c:ptCount val="0"/>
              </c:numCache>
            </c:numRef>
          </c:val>
        </c:ser>
        <c:ser>
          <c:idx val="1"/>
          <c:order val="1"/>
          <c:tx>
            <c:v>Non-socket</c:v>
          </c:tx>
          <c:marker>
            <c:symbol val="none"/>
          </c:marker>
          <c:cat>
            <c:strRef>
              <c:f>'03_CHARTS'!$N$55:$N$86</c:f>
              <c:strCache>
                <c:ptCount val="0"/>
              </c:strCache>
            </c:strRef>
          </c:cat>
          <c:val>
            <c:numRef>
              <c:f>'03_CHARTS'!$P$55:$P$86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6414528b284f59"/>
        </a:graphicData>
      </a:graphic>
    </xdr:graphicFrame>
    <xdr:clientData/>
  </xdr:twoCellAnchor>
  <xdr:twoCellAnchor>
    <xdr:from>
      <xdr:col>9</xdr:col>
      <xdr:colOff>0</xdr:colOff>
      <xdr:row>4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2032ae8e734925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0</xdr:colOff>
      <xdr:row>37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26220a46e94460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17</xdr:col>
      <xdr:colOff>0</xdr:colOff>
      <xdr:row>37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e9f14f687d442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OpMarketCap" displayName="RawOpMarketCap" ref="A6:D34" headerRowCount="1" totalsRowCount="0" totalsRowShown="0">
  <x:autoFilter ref="A6:D34"/>
  <x:tableColumns count="4">
    <x:tableColumn id="1" name="period"/>
    <x:tableColumn id="2" name="operating_profit_억원"/>
    <x:tableColumn id="3" name="market_cap_조원"/>
    <x:tableColumn id="4" name="statu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RawApplicationMix" displayName="RawApplicationMix" ref="F6:M26" headerRowCount="1" totalsRowCount="0" totalsRowShown="0">
  <x:autoFilter ref="F6:M26"/>
  <x:tableColumns count="8">
    <x:tableColumn id="1" name="period"/>
    <x:tableColumn id="2" name="데이터센터"/>
    <x:tableColumn id="3" name="스마트폰"/>
    <x:tableColumn id="4" name="PC_노트북"/>
    <x:tableColumn id="5" name="Auto"/>
    <x:tableColumn id="6" name="Wearable"/>
    <x:tableColumn id="7" name="LSI"/>
    <x:tableColumn id="8" name="기타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awAnnualPerformance" displayName="RawAnnualPerformance" ref="A39:D48" headerRowCount="1" totalsRowCount="0" totalsRowShown="0">
  <x:autoFilter ref="A39:D48"/>
  <x:tableColumns count="4">
    <x:tableColumn id="1" name="year"/>
    <x:tableColumn id="2" name="revenue_십억원"/>
    <x:tableColumn id="3" name="opm"/>
    <x:tableColumn id="4" name="statu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RawProductMix" displayName="RawProductMix" ref="F32:I64" headerRowCount="1" totalsRowCount="0" totalsRowShown="0">
  <x:autoFilter ref="F32:I64"/>
  <x:tableColumns count="4">
    <x:tableColumn id="1" name="period"/>
    <x:tableColumn id="2" name="Socket_십억원"/>
    <x:tableColumn id="3" name="Non_socket_십억원"/>
    <x:tableColumn id="4" name="status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BridgeOpMarketCap" displayName="BridgeOpMarketCap" ref="A6:C34" headerRowCount="1" totalsRowCount="0" totalsRowShown="0">
  <x:autoFilter ref="A6:C34"/>
  <x:tableColumns count="3">
    <x:tableColumn id="1" name="period"/>
    <x:tableColumn id="2" name="operating_profit_억원"/>
    <x:tableColumn id="3" name="market_cap_조원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BridgeApplicationMix" displayName="BridgeApplicationMix" ref="E6:L26" headerRowCount="1" totalsRowCount="0" totalsRowShown="0">
  <x:autoFilter ref="E6:L26"/>
  <x:tableColumns count="8">
    <x:tableColumn id="1" name="period"/>
    <x:tableColumn id="2" name="데이터센터"/>
    <x:tableColumn id="3" name="스마트폰"/>
    <x:tableColumn id="4" name="PC_노트북"/>
    <x:tableColumn id="5" name="Auto"/>
    <x:tableColumn id="6" name="Wearable"/>
    <x:tableColumn id="7" name="LSI"/>
    <x:tableColumn id="8" name="기타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BridgeAnnualPerformance" displayName="BridgeAnnualPerformance" ref="A39:C48" headerRowCount="1" totalsRowCount="0" totalsRowShown="0">
  <x:autoFilter ref="A39:C48"/>
  <x:tableColumns count="3">
    <x:tableColumn id="1" name="year"/>
    <x:tableColumn id="2" name="revenue_십억원"/>
    <x:tableColumn id="3" name="opm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BridgeProductMix" displayName="BridgeProductMix" ref="E39:G71" headerRowCount="1" totalsRowCount="0" totalsRowShown="0">
  <x:autoFilter ref="E39:G71"/>
  <x:tableColumns count="3">
    <x:tableColumn id="1" name="period"/>
    <x:tableColumn id="2" name="Socket_십억원"/>
    <x:tableColumn id="3" name="Non_socket_십억원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ChartMappingManifest" displayName="ChartMappingManifest" ref="A5:J9" headerRowCount="1" totalsRowCount="0" totalsRowShown="0">
  <x:autoFilter ref="A5:J9"/>
  <x:tableColumns count="10">
    <x:tableColumn id="1" name="chart_id"/>
    <x:tableColumn id="2" name="PDF 제목"/>
    <x:tableColumn id="3" name="template_slot_id"/>
    <x:tableColumn id="4" name="category_range"/>
    <x:tableColumn id="5" name="series_1"/>
    <x:tableColumn id="6" name="series_2"/>
    <x:tableColumn id="7" name="additional_series"/>
    <x:tableColumn id="8" name="권장 표현"/>
    <x:tableColumn id="9" name="단위"/>
    <x:tableColumn id="10" name="검증 규칙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818317be72420c" /><Relationship Type="http://schemas.openxmlformats.org/officeDocument/2006/relationships/table" Target="/xl/tables/table2.xml" Id="R0ea4c5d108de43a0" /><Relationship Type="http://schemas.openxmlformats.org/officeDocument/2006/relationships/table" Target="/xl/tables/table3.xml" Id="R1a545812d4f24561" /><Relationship Type="http://schemas.openxmlformats.org/officeDocument/2006/relationships/table" Target="/xl/tables/table4.xml" Id="R0928253f54d84c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94b68c0fd0344e76" /><Relationship Type="http://schemas.openxmlformats.org/officeDocument/2006/relationships/table" Target="/xl/tables/table6.xml" Id="R5c6f41f6559e47fc" /><Relationship Type="http://schemas.openxmlformats.org/officeDocument/2006/relationships/table" Target="/xl/tables/table7.xml" Id="Rd2d179f9fe9d4a71" /><Relationship Type="http://schemas.openxmlformats.org/officeDocument/2006/relationships/table" Target="/xl/tables/table8.xml" Id="R686c6359108f46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9.xml" Id="Rb25459a062a34b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152414732ffb4a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64" t="str">
        <x:v>REFLO 차트 데이터 예시</x:v>
      </x:c>
      <x:c r="B1" s="64" t="str">
        <x:v>REFLO 차트 데이터 예시</x:v>
      </x:c>
      <x:c r="C1" s="64" t="str">
        <x:v>REFLO 차트 데이터 예시</x:v>
      </x:c>
      <x:c r="D1" s="64" t="str">
        <x:v>REFLO 차트 데이터 예시</x:v>
      </x:c>
      <x:c r="E1" s="64" t="str">
        <x:v>REFLO 차트 데이터 예시</x:v>
      </x:c>
      <x:c r="F1" s="64" t="str">
        <x:v>REFLO 차트 데이터 예시</x:v>
      </x:c>
      <x:c r="G1" s="64" t="str">
        <x:v>REFLO 차트 데이터 예시</x:v>
      </x:c>
      <x:c r="H1" s="64" t="str">
        <x:v>REFLO 차트 데이터 예시</x:v>
      </x:c>
    </x:row>
    <x:row r="2" ht="34" customHeight="1">
      <x:c r="A2" s="64" t="str">
        <x:v>REFLO 차트 데이터 예시</x:v>
      </x:c>
      <x:c r="B2" s="64" t="str">
        <x:v>REFLO 차트 데이터 예시</x:v>
      </x:c>
      <x:c r="C2" s="64" t="str">
        <x:v>REFLO 차트 데이터 예시</x:v>
      </x:c>
      <x:c r="D2" s="64" t="str">
        <x:v>REFLO 차트 데이터 예시</x:v>
      </x:c>
      <x:c r="E2" s="64" t="str">
        <x:v>REFLO 차트 데이터 예시</x:v>
      </x:c>
      <x:c r="F2" s="64" t="str">
        <x:v>REFLO 차트 데이터 예시</x:v>
      </x:c>
      <x:c r="G2" s="64" t="str">
        <x:v>REFLO 차트 데이터 예시</x:v>
      </x:c>
      <x:c r="H2" s="64" t="str">
        <x:v>REFLO 차트 데이터 예시</x:v>
      </x:c>
    </x:row>
    <x:row r="3">
      <x:c r="A3" s="81"/>
      <x:c r="B3" s="81"/>
      <x:c r="C3" s="81"/>
      <x:c r="D3" s="81"/>
      <x:c r="E3" s="81"/>
      <x:c r="F3" s="81"/>
      <x:c r="G3" s="81"/>
      <x:c r="H3" s="81"/>
    </x:row>
    <x:row r="4" ht="32" customHeight="1">
      <x:c r="A4" s="7" t="str">
        <x:v>전 분기 PDF의 차트 디자인을 유지하면서 이번 분기 수치만 교체하기 위한 예시 구조입니다.</x:v>
      </x:c>
      <x:c r="B4" s="7"/>
      <x:c r="C4" s="7"/>
      <x:c r="D4" s="7"/>
      <x:c r="E4" s="7"/>
      <x:c r="F4" s="7"/>
      <x:c r="G4" s="7"/>
      <x:c r="H4" s="7"/>
    </x:row>
    <x:row r="5">
      <x:c r="A5" s="81"/>
      <x:c r="B5" s="81"/>
      <x:c r="C5" s="81"/>
      <x:c r="D5" s="81"/>
      <x:c r="E5" s="81"/>
      <x:c r="F5" s="81"/>
      <x:c r="G5" s="81"/>
      <x:c r="H5" s="81"/>
    </x:row>
    <x:row r="6" ht="24" customHeight="1">
      <x:c r="A6" s="11" t="str">
        <x:v>사용 방법</x:v>
      </x:c>
      <x:c r="B6" s="11" t="str">
        <x:v>사용 방법</x:v>
      </x:c>
      <x:c r="C6" s="11" t="str">
        <x:v>사용 방법</x:v>
      </x:c>
      <x:c r="D6" s="11" t="str">
        <x:v>사용 방법</x:v>
      </x:c>
      <x:c r="E6" s="11" t="str">
        <x:v>사용 방법</x:v>
      </x:c>
      <x:c r="F6" s="11" t="str">
        <x:v>사용 방법</x:v>
      </x:c>
      <x:c r="G6" s="11" t="str">
        <x:v>사용 방법</x:v>
      </x:c>
      <x:c r="H6" s="11" t="str">
        <x:v>사용 방법</x:v>
      </x:c>
    </x:row>
    <x:row r="7" ht="28" customHeight="1">
      <x:c r="A7" s="66" t="str">
        <x:v>1</x:v>
      </x:c>
      <x:c r="B7" s="82" t="str">
        <x:v>01_RAW_INPUT</x:v>
      </x:c>
      <x:c r="C7" s="83" t="str">
        <x:v>파란 글씨의 가상 입력값을 이번 분기 실제 데이터로 교체합니다.</x:v>
      </x:c>
      <x:c r="D7" s="83"/>
      <x:c r="E7" s="83"/>
      <x:c r="F7" s="83"/>
      <x:c r="G7" s="83"/>
      <x:c r="H7" s="84"/>
    </x:row>
    <x:row r="8" ht="28" customHeight="1">
      <x:c r="A8" s="70" t="str">
        <x:v>2</x:v>
      </x:c>
      <x:c r="B8" s="85" t="str">
        <x:v>_REFLO_BRIDGE</x:v>
      </x:c>
      <x:c r="C8" s="86" t="str">
        <x:v>차트마다 하나의 표준 테이블로 정규화합니다. 녹색 글씨는 다른 시트 참조식입니다.</x:v>
      </x:c>
      <x:c r="D8" s="86"/>
      <x:c r="E8" s="86"/>
      <x:c r="F8" s="86"/>
      <x:c r="G8" s="86"/>
      <x:c r="H8" s="87"/>
    </x:row>
    <x:row r="9" ht="28" customHeight="1">
      <x:c r="A9" s="70" t="str">
        <x:v>3</x:v>
      </x:c>
      <x:c r="B9" s="85" t="str">
        <x:v>02_CHART_MAPPING</x:v>
      </x:c>
      <x:c r="C9" s="86" t="str">
        <x:v>PDF chart slot과 category·series 범위를 연결하는 매핑 명세입니다.</x:v>
      </x:c>
      <x:c r="D9" s="86"/>
      <x:c r="E9" s="86"/>
      <x:c r="F9" s="86"/>
      <x:c r="G9" s="86"/>
      <x:c r="H9" s="87"/>
    </x:row>
    <x:row r="10" ht="28" customHeight="1">
      <x:c r="A10" s="70" t="str">
        <x:v>4</x:v>
      </x:c>
      <x:c r="B10" s="85" t="str">
        <x:v>03_CHARTS</x:v>
      </x:c>
      <x:c r="C10" s="86" t="str">
        <x:v>표준 테이블을 참조해 실제 Excel 차트 4개를 표시합니다.</x:v>
      </x:c>
      <x:c r="D10" s="86"/>
      <x:c r="E10" s="86"/>
      <x:c r="F10" s="86"/>
      <x:c r="G10" s="86"/>
      <x:c r="H10" s="87"/>
    </x:row>
    <x:row r="11" ht="28" customHeight="1">
      <x:c r="A11" s="74" t="str">
        <x:v>5</x:v>
      </x:c>
      <x:c r="B11" s="88" t="str">
        <x:v>04_CHECKS</x:v>
      </x:c>
      <x:c r="C11" s="89" t="str">
        <x:v>category·series 길이와 비중 합계 등을 자동 점검합니다.</x:v>
      </x:c>
      <x:c r="D11" s="89"/>
      <x:c r="E11" s="89"/>
      <x:c r="F11" s="89"/>
      <x:c r="G11" s="89"/>
      <x:c r="H11" s="90"/>
    </x:row>
    <x:row r="12">
      <x:c r="A12" s="81"/>
      <x:c r="B12" s="81"/>
      <x:c r="C12" s="81"/>
      <x:c r="D12" s="81"/>
      <x:c r="E12" s="81"/>
      <x:c r="F12" s="81"/>
      <x:c r="G12" s="81"/>
      <x:c r="H12" s="81"/>
    </x:row>
    <x:row r="13" ht="24" customHeight="1">
      <x:c r="A13" s="11" t="str">
        <x:v>핵심 원칙</x:v>
      </x:c>
      <x:c r="B13" s="11" t="str">
        <x:v>핵심 원칙</x:v>
      </x:c>
      <x:c r="C13" s="11" t="str">
        <x:v>핵심 원칙</x:v>
      </x:c>
      <x:c r="D13" s="11" t="str">
        <x:v>핵심 원칙</x:v>
      </x:c>
      <x:c r="E13" s="11" t="str">
        <x:v>핵심 원칙</x:v>
      </x:c>
      <x:c r="F13" s="11" t="str">
        <x:v>핵심 원칙</x:v>
      </x:c>
      <x:c r="G13" s="11" t="str">
        <x:v>핵심 원칙</x:v>
      </x:c>
      <x:c r="H13" s="11" t="str">
        <x:v>핵심 원칙</x:v>
      </x:c>
    </x:row>
    <x:row r="14" ht="30" customHeight="1">
      <x:c r="A14" s="91" t="str">
        <x:v>✓</x:v>
      </x:c>
      <x:c r="B14" s="83" t="str">
        <x:v>차트 하나당 시트 하나가 아니라 차트 하나당 표준 데이터 테이블 하나를 사용합니다.</x:v>
      </x:c>
      <x:c r="C14" s="83"/>
      <x:c r="D14" s="83"/>
      <x:c r="E14" s="83"/>
      <x:c r="F14" s="83"/>
      <x:c r="G14" s="83"/>
      <x:c r="H14" s="84"/>
    </x:row>
    <x:row r="15" ht="30" customHeight="1">
      <x:c r="A15" s="92" t="str">
        <x:v>✓</x:v>
      </x:c>
      <x:c r="B15" s="86" t="str">
        <x:v>Excel 차트의 모양은 복사하지 않습니다. 색상·축·범례·레이아웃은 전 분기 PDF의 Template IR이 소유합니다.</x:v>
      </x:c>
      <x:c r="C15" s="86"/>
      <x:c r="D15" s="86"/>
      <x:c r="E15" s="86"/>
      <x:c r="F15" s="86"/>
      <x:c r="G15" s="86"/>
      <x:c r="H15" s="87"/>
    </x:row>
    <x:row r="16" ht="30" customHeight="1">
      <x:c r="A16" s="92" t="str">
        <x:v>✓</x:v>
      </x:c>
      <x:c r="B16" s="86" t="str">
        <x:v>사용자 원본 파일은 변경하지 않고 작업 사본의 _REFLO_BRIDGE만 시스템이 생성·갱신합니다.</x:v>
      </x:c>
      <x:c r="C16" s="86"/>
      <x:c r="D16" s="86"/>
      <x:c r="E16" s="86"/>
      <x:c r="F16" s="86"/>
      <x:c r="G16" s="86"/>
      <x:c r="H16" s="87"/>
    </x:row>
    <x:row r="17" ht="30" customHeight="1">
      <x:c r="A17" s="93" t="str">
        <x:v>!</x:v>
      </x:c>
      <x:c r="B17" s="89" t="str">
        <x:v>이 파일의 모든 수치는 구조 설명을 위한 가상값이며 실제 투자판단이나 기업 분석에 사용할 수 없습니다.</x:v>
      </x:c>
      <x:c r="C17" s="89"/>
      <x:c r="D17" s="89"/>
      <x:c r="E17" s="89"/>
      <x:c r="F17" s="89"/>
      <x:c r="G17" s="89"/>
      <x:c r="H17" s="90"/>
    </x:row>
    <x:row r="18">
      <x:c r="A18" s="81"/>
      <x:c r="B18" s="81"/>
      <x:c r="C18" s="81"/>
      <x:c r="D18" s="81"/>
      <x:c r="E18" s="81"/>
      <x:c r="F18" s="81"/>
      <x:c r="G18" s="81"/>
      <x:c r="H18" s="81"/>
    </x:row>
    <x:row r="19" ht="24" customHeight="1">
      <x:c r="A19" s="11" t="str">
        <x:v>색상 규칙</x:v>
      </x:c>
      <x:c r="B19" s="11" t="str">
        <x:v>색상 규칙</x:v>
      </x:c>
      <x:c r="C19" s="11" t="str">
        <x:v>색상 규칙</x:v>
      </x:c>
      <x:c r="D19" s="11" t="str">
        <x:v>색상 규칙</x:v>
      </x:c>
      <x:c r="E19" s="11" t="str">
        <x:v>색상 규칙</x:v>
      </x:c>
      <x:c r="F19" s="11" t="str">
        <x:v>색상 규칙</x:v>
      </x:c>
      <x:c r="G19" s="11" t="str">
        <x:v>색상 규칙</x:v>
      </x:c>
      <x:c r="H19" s="11" t="str">
        <x:v>색상 규칙</x:v>
      </x:c>
    </x:row>
    <x:row r="20" ht="28" customHeight="1">
      <x:c r="A20" s="54" t="str">
        <x:v>표시</x:v>
      </x:c>
      <x:c r="B20" s="55" t="str">
        <x:v>의미</x:v>
      </x:c>
      <x:c r="C20" s="55" t="str">
        <x:v>예시</x:v>
      </x:c>
      <x:c r="D20" s="56" t="str">
        <x:v>편집 여부</x:v>
      </x:c>
      <x:c r="E20" s="81"/>
      <x:c r="F20" s="81"/>
      <x:c r="G20" s="81"/>
      <x:c r="H20" s="81"/>
    </x:row>
    <x:row r="21" ht="20" customHeight="1">
      <x:c r="A21" s="61" t="str">
        <x:v>파란 글씨</x:v>
      </x:c>
      <x:c r="B21" s="59" t="str">
        <x:v>사용자 입력 또는 교체 대상</x:v>
      </x:c>
      <x:c r="C21" s="59" t="str">
        <x:v>이번 분기 실적·믹스</x:v>
      </x:c>
      <x:c r="D21" s="59" t="str">
        <x:v>편집</x:v>
      </x:c>
      <x:c r="E21" s="81"/>
      <x:c r="F21" s="81"/>
      <x:c r="G21" s="81"/>
      <x:c r="H21" s="81"/>
    </x:row>
    <x:row r="22" ht="20" customHeight="1">
      <x:c r="A22" s="62" t="str">
        <x:v>녹색 글씨</x:v>
      </x:c>
      <x:c r="B22" s="59" t="str">
        <x:v>다른 시트에서 연결된 값</x:v>
      </x:c>
      <x:c r="C22" s="59" t="str">
        <x:v>_REFLO_BRIDGE</x:v>
      </x:c>
      <x:c r="D22" s="59" t="str">
        <x:v>자동</x:v>
      </x:c>
      <x:c r="E22" s="81"/>
      <x:c r="F22" s="81"/>
      <x:c r="G22" s="81"/>
      <x:c r="H22" s="81"/>
    </x:row>
    <x:row r="23" ht="20" customHeight="1">
      <x:c r="A23" s="63" t="str">
        <x:v>검은 글씨</x:v>
      </x:c>
      <x:c r="B23" s="60" t="str">
        <x:v>수식·검증·설명</x:v>
      </x:c>
      <x:c r="C23" s="60" t="str">
        <x:v>합계·상태</x:v>
      </x:c>
      <x:c r="D23" s="60" t="str">
        <x:v>자동</x:v>
      </x:c>
      <x:c r="E23" s="81"/>
      <x:c r="F23" s="81"/>
      <x:c r="G23" s="81"/>
      <x:c r="H23" s="81"/>
    </x:row>
    <x:row r="24">
      <x:c r="A24" s="81"/>
      <x:c r="B24" s="81"/>
      <x:c r="C24" s="81"/>
      <x:c r="D24" s="81"/>
      <x:c r="E24" s="81"/>
      <x:c r="F24" s="81"/>
      <x:c r="G24" s="81"/>
      <x:c r="H24" s="81"/>
    </x:row>
    <x:row r="25">
      <x:c r="A25" s="81"/>
      <x:c r="B25" s="81"/>
      <x:c r="C25" s="81"/>
      <x:c r="D25" s="81"/>
      <x:c r="E25" s="81"/>
      <x:c r="F25" s="81"/>
      <x:c r="G25" s="81"/>
      <x:c r="H25" s="81"/>
    </x:row>
  </x:sheetData>
  <x:mergeCells>
    <x:mergeCell ref="A1:H2"/>
    <x:mergeCell ref="A4:H4"/>
    <x:mergeCell ref="A6:H6"/>
    <x:mergeCell ref="C7:H7"/>
    <x:mergeCell ref="C8:H8"/>
    <x:mergeCell ref="C9:H9"/>
    <x:mergeCell ref="C10:H10"/>
    <x:mergeCell ref="C11:H11"/>
    <x:mergeCell ref="A13:H13"/>
    <x:mergeCell ref="B14:H14"/>
    <x:mergeCell ref="B15:H15"/>
    <x:mergeCell ref="B16:H16"/>
    <x:mergeCell ref="B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12" hidden="0" customWidth="1"/>
    <x:col min="5" max="5" width="3" hidden="0" customWidth="1"/>
    <x:col min="6" max="6" width="11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4" customHeight="1">
      <x:c r="A1" s="4" t="str">
        <x:v>01 · RAW INPUT — 가상 이번 분기 데이터</x:v>
      </x:c>
      <x:c r="B1" s="4" t="str">
        <x:v>01 · RAW INPUT — 가상 이번 분기 데이터</x:v>
      </x:c>
      <x:c r="C1" s="4" t="str">
        <x:v>01 · RAW INPUT — 가상 이번 분기 데이터</x:v>
      </x:c>
      <x:c r="D1" s="4" t="str">
        <x:v>01 · RAW INPUT — 가상 이번 분기 데이터</x:v>
      </x:c>
      <x:c r="E1" s="4" t="str">
        <x:v>01 · RAW INPUT — 가상 이번 분기 데이터</x:v>
      </x:c>
      <x:c r="F1" s="4" t="str">
        <x:v>01 · RAW INPUT — 가상 이번 분기 데이터</x:v>
      </x:c>
      <x:c r="G1" s="4" t="str">
        <x:v>01 · RAW INPUT — 가상 이번 분기 데이터</x:v>
      </x:c>
      <x:c r="H1" s="4" t="str">
        <x:v>01 · RAW INPUT — 가상 이번 분기 데이터</x:v>
      </x:c>
    </x:row>
    <x:row r="2" ht="34" customHeight="1">
      <x:c r="A2" s="4" t="str">
        <x:v>01 · RAW INPUT — 가상 이번 분기 데이터</x:v>
      </x:c>
      <x:c r="B2" s="4" t="str">
        <x:v>01 · RAW INPUT — 가상 이번 분기 데이터</x:v>
      </x:c>
      <x:c r="C2" s="4" t="str">
        <x:v>01 · RAW INPUT — 가상 이번 분기 데이터</x:v>
      </x:c>
      <x:c r="D2" s="4" t="str">
        <x:v>01 · RAW INPUT — 가상 이번 분기 데이터</x:v>
      </x:c>
      <x:c r="E2" s="4" t="str">
        <x:v>01 · RAW INPUT — 가상 이번 분기 데이터</x:v>
      </x:c>
      <x:c r="F2" s="4" t="str">
        <x:v>01 · RAW INPUT — 가상 이번 분기 데이터</x:v>
      </x:c>
      <x:c r="G2" s="4" t="str">
        <x:v>01 · RAW INPUT — 가상 이번 분기 데이터</x:v>
      </x:c>
      <x:c r="H2" s="4" t="str">
        <x:v>01 · RAW INPUT — 가상 이번 분기 데이터</x:v>
      </x:c>
    </x:row>
    <x:row r="3">
      <x:c r="A3" s="95" t="str">
        <x:v>파란 글씨만 입력 영역입니다. 회색 상태 열은 Actual / Estimate 구분 예시입니다.</x:v>
      </x:c>
      <x:c r="B3" s="95"/>
      <x:c r="C3" s="95"/>
      <x:c r="D3" s="95"/>
      <x:c r="E3" s="95"/>
      <x:c r="F3" s="95"/>
      <x:c r="G3" s="95"/>
      <x:c r="H3" s="95"/>
    </x:row>
    <x:row r="5" ht="24" customHeight="1">
      <x:c r="A5" s="11" t="str">
        <x:v>도표 7 · 분기 영업이익 vs 시가총액</x:v>
      </x:c>
      <x:c r="B5" s="11" t="str">
        <x:v>도표 7 · 분기 영업이익 vs 시가총액</x:v>
      </x:c>
      <x:c r="C5" s="11" t="str">
        <x:v>도표 7 · 분기 영업이익 vs 시가총액</x:v>
      </x:c>
      <x:c r="D5" s="11" t="str">
        <x:v>도표 7 · 분기 영업이익 vs 시가총액</x:v>
      </x:c>
      <x:c r="F5" s="11" t="str">
        <x:v>도표 8 · 애플리케이션별 매출 비중</x:v>
      </x:c>
      <x:c r="G5" s="11" t="str">
        <x:v>도표 8 · 애플리케이션별 매출 비중</x:v>
      </x:c>
      <x:c r="H5" s="11" t="str">
        <x:v>도표 8 · 애플리케이션별 매출 비중</x:v>
      </x:c>
      <x:c r="I5" s="11" t="str">
        <x:v>도표 8 · 애플리케이션별 매출 비중</x:v>
      </x:c>
      <x:c r="J5" s="11" t="str">
        <x:v>도표 8 · 애플리케이션별 매출 비중</x:v>
      </x:c>
      <x:c r="K5" s="11" t="str">
        <x:v>도표 8 · 애플리케이션별 매출 비중</x:v>
      </x:c>
      <x:c r="L5" s="11" t="str">
        <x:v>도표 8 · 애플리케이션별 매출 비중</x:v>
      </x:c>
      <x:c r="M5" s="11" t="str">
        <x:v>도표 8 · 애플리케이션별 매출 비중</x:v>
      </x:c>
    </x:row>
    <x:row r="6" ht="28" customHeight="1">
      <x:c r="A6" s="54" t="str">
        <x:v>period</x:v>
      </x:c>
      <x:c r="B6" s="55" t="str">
        <x:v>operating_profit_억원</x:v>
      </x:c>
      <x:c r="C6" s="55" t="str">
        <x:v>market_cap_조원</x:v>
      </x:c>
      <x:c r="D6" s="56" t="str">
        <x:v>status</x:v>
      </x:c>
      <x:c r="F6" s="54" t="str">
        <x:v>period</x:v>
      </x:c>
      <x:c r="G6" s="55" t="str">
        <x:v>데이터센터</x:v>
      </x:c>
      <x:c r="H6" s="55" t="str">
        <x:v>스마트폰</x:v>
      </x:c>
      <x:c r="I6" s="55" t="str">
        <x:v>PC_노트북</x:v>
      </x:c>
      <x:c r="J6" s="55" t="str">
        <x:v>Auto</x:v>
      </x:c>
      <x:c r="K6" s="55" t="str">
        <x:v>Wearable</x:v>
      </x:c>
      <x:c r="L6" s="55" t="str">
        <x:v>LSI</x:v>
      </x:c>
      <x:c r="M6" s="56" t="str">
        <x:v>기타</x:v>
      </x:c>
    </x:row>
    <x:row r="7" ht="20" customHeight="1">
      <x:c r="A7" s="59" t="str">
        <x:v>20Q1</x:v>
      </x:c>
      <x:c r="B7" s="98" t="n">
        <x:v>1180</x:v>
      </x:c>
      <x:c r="C7" s="100" t="n">
        <x:v>1.8</x:v>
      </x:c>
      <x:c r="D7" s="59" t="str">
        <x:v>Actual</x:v>
      </x:c>
      <x:c r="F7" s="59" t="str">
        <x:v>21Q1</x:v>
      </x:c>
      <x:c r="G7" s="102" t="n">
        <x:v>0.24</x:v>
      </x:c>
      <x:c r="H7" s="102" t="n">
        <x:v>0.38</x:v>
      </x:c>
      <x:c r="I7" s="102" t="n">
        <x:v>0.12</x:v>
      </x:c>
      <x:c r="J7" s="102" t="n">
        <x:v>0.07</x:v>
      </x:c>
      <x:c r="K7" s="102" t="n">
        <x:v>0.05</x:v>
      </x:c>
      <x:c r="L7" s="102" t="n">
        <x:v>0.08</x:v>
      </x:c>
      <x:c r="M7" s="103" t="n">
        <x:f>1-SUM(G7:L7)</x:f>
        <x:v>0.05999999999999994</x:v>
      </x:c>
    </x:row>
    <x:row r="8" ht="20" customHeight="1">
      <x:c r="A8" s="59" t="str">
        <x:v>20Q2</x:v>
      </x:c>
      <x:c r="B8" s="98" t="n">
        <x:v>1320</x:v>
      </x:c>
      <x:c r="C8" s="100" t="n">
        <x:v>2.4</x:v>
      </x:c>
      <x:c r="D8" s="59" t="str">
        <x:v>Actual</x:v>
      </x:c>
      <x:c r="F8" s="59" t="str">
        <x:v>21Q2</x:v>
      </x:c>
      <x:c r="G8" s="102" t="n">
        <x:v>0.26</x:v>
      </x:c>
      <x:c r="H8" s="102" t="n">
        <x:v>0.37</x:v>
      </x:c>
      <x:c r="I8" s="102" t="n">
        <x:v>0.11</x:v>
      </x:c>
      <x:c r="J8" s="102" t="n">
        <x:v>0.07</x:v>
      </x:c>
      <x:c r="K8" s="102" t="n">
        <x:v>0.05</x:v>
      </x:c>
      <x:c r="L8" s="102" t="n">
        <x:v>0.08</x:v>
      </x:c>
      <x:c r="M8" s="103" t="n">
        <x:f>1-SUM(G8:L8)</x:f>
        <x:v>0.05999999999999994</x:v>
      </x:c>
    </x:row>
    <x:row r="9" ht="20" customHeight="1">
      <x:c r="A9" s="59" t="str">
        <x:v>20Q3</x:v>
      </x:c>
      <x:c r="B9" s="98" t="n">
        <x:v>1040</x:v>
      </x:c>
      <x:c r="C9" s="100" t="n">
        <x:v>2.6</x:v>
      </x:c>
      <x:c r="D9" s="59" t="str">
        <x:v>Actual</x:v>
      </x:c>
      <x:c r="F9" s="59" t="str">
        <x:v>21Q3</x:v>
      </x:c>
      <x:c r="G9" s="102" t="n">
        <x:v>0.28</x:v>
      </x:c>
      <x:c r="H9" s="102" t="n">
        <x:v>0.36</x:v>
      </x:c>
      <x:c r="I9" s="102" t="n">
        <x:v>0.1</x:v>
      </x:c>
      <x:c r="J9" s="102" t="n">
        <x:v>0.08</x:v>
      </x:c>
      <x:c r="K9" s="102" t="n">
        <x:v>0.05</x:v>
      </x:c>
      <x:c r="L9" s="102" t="n">
        <x:v>0.07</x:v>
      </x:c>
      <x:c r="M9" s="103" t="n">
        <x:f>1-SUM(G9:L9)</x:f>
        <x:v>0.06000000000000005</x:v>
      </x:c>
    </x:row>
    <x:row r="10" ht="20" customHeight="1">
      <x:c r="A10" s="59" t="str">
        <x:v>20Q4</x:v>
      </x:c>
      <x:c r="B10" s="98" t="n">
        <x:v>980</x:v>
      </x:c>
      <x:c r="C10" s="100" t="n">
        <x:v>2.9</x:v>
      </x:c>
      <x:c r="D10" s="59" t="str">
        <x:v>Actual</x:v>
      </x:c>
      <x:c r="F10" s="59" t="str">
        <x:v>21Q4</x:v>
      </x:c>
      <x:c r="G10" s="102" t="n">
        <x:v>0.27</x:v>
      </x:c>
      <x:c r="H10" s="102" t="n">
        <x:v>0.36</x:v>
      </x:c>
      <x:c r="I10" s="102" t="n">
        <x:v>0.11</x:v>
      </x:c>
      <x:c r="J10" s="102" t="n">
        <x:v>0.08</x:v>
      </x:c>
      <x:c r="K10" s="102" t="n">
        <x:v>0.05</x:v>
      </x:c>
      <x:c r="L10" s="102" t="n">
        <x:v>0.07</x:v>
      </x:c>
      <x:c r="M10" s="103" t="n">
        <x:f>1-SUM(G10:L10)</x:f>
        <x:v>0.06000000000000005</x:v>
      </x:c>
    </x:row>
    <x:row r="11" ht="20" customHeight="1">
      <x:c r="A11" s="59" t="str">
        <x:v>21Q1</x:v>
      </x:c>
      <x:c r="B11" s="98" t="n">
        <x:v>1250</x:v>
      </x:c>
      <x:c r="C11" s="100" t="n">
        <x:v>3.4</x:v>
      </x:c>
      <x:c r="D11" s="59" t="str">
        <x:v>Actual</x:v>
      </x:c>
      <x:c r="F11" s="59" t="str">
        <x:v>22Q1</x:v>
      </x:c>
      <x:c r="G11" s="102" t="n">
        <x:v>0.31</x:v>
      </x:c>
      <x:c r="H11" s="102" t="n">
        <x:v>0.35</x:v>
      </x:c>
      <x:c r="I11" s="102" t="n">
        <x:v>0.1</x:v>
      </x:c>
      <x:c r="J11" s="102" t="n">
        <x:v>0.08</x:v>
      </x:c>
      <x:c r="K11" s="102" t="n">
        <x:v>0.05</x:v>
      </x:c>
      <x:c r="L11" s="102" t="n">
        <x:v>0.07</x:v>
      </x:c>
      <x:c r="M11" s="103" t="n">
        <x:f>1-SUM(G11:L11)</x:f>
        <x:v>0.040000000000000036</x:v>
      </x:c>
    </x:row>
    <x:row r="12" ht="20" customHeight="1">
      <x:c r="A12" s="59" t="str">
        <x:v>21Q2</x:v>
      </x:c>
      <x:c r="B12" s="98" t="n">
        <x:v>1450</x:v>
      </x:c>
      <x:c r="C12" s="100" t="n">
        <x:v>3.8</x:v>
      </x:c>
      <x:c r="D12" s="59" t="str">
        <x:v>Actual</x:v>
      </x:c>
      <x:c r="F12" s="59" t="str">
        <x:v>22Q2</x:v>
      </x:c>
      <x:c r="G12" s="102" t="n">
        <x:v>0.36</x:v>
      </x:c>
      <x:c r="H12" s="102" t="n">
        <x:v>0.32</x:v>
      </x:c>
      <x:c r="I12" s="102" t="n">
        <x:v>0.09</x:v>
      </x:c>
      <x:c r="J12" s="102" t="n">
        <x:v>0.08</x:v>
      </x:c>
      <x:c r="K12" s="102" t="n">
        <x:v>0.05</x:v>
      </x:c>
      <x:c r="L12" s="102" t="n">
        <x:v>0.07</x:v>
      </x:c>
      <x:c r="M12" s="103" t="n">
        <x:f>1-SUM(G12:L12)</x:f>
        <x:v>0.030000000000000027</x:v>
      </x:c>
    </x:row>
    <x:row r="13" ht="20" customHeight="1">
      <x:c r="A13" s="59" t="str">
        <x:v>21Q3</x:v>
      </x:c>
      <x:c r="B13" s="98" t="n">
        <x:v>1800</x:v>
      </x:c>
      <x:c r="C13" s="100" t="n">
        <x:v>4.3</x:v>
      </x:c>
      <x:c r="D13" s="59" t="str">
        <x:v>Actual</x:v>
      </x:c>
      <x:c r="F13" s="59" t="str">
        <x:v>22Q3</x:v>
      </x:c>
      <x:c r="G13" s="102" t="n">
        <x:v>0.42</x:v>
      </x:c>
      <x:c r="H13" s="102" t="n">
        <x:v>0.28</x:v>
      </x:c>
      <x:c r="I13" s="102" t="n">
        <x:v>0.08</x:v>
      </x:c>
      <x:c r="J13" s="102" t="n">
        <x:v>0.09</x:v>
      </x:c>
      <x:c r="K13" s="102" t="n">
        <x:v>0.05</x:v>
      </x:c>
      <x:c r="L13" s="102" t="n">
        <x:v>0.05</x:v>
      </x:c>
      <x:c r="M13" s="103" t="n">
        <x:f>1-SUM(G13:L13)</x:f>
        <x:v>0.030000000000000027</x:v>
      </x:c>
    </x:row>
    <x:row r="14" ht="20" customHeight="1">
      <x:c r="A14" s="59" t="str">
        <x:v>21Q4</x:v>
      </x:c>
      <x:c r="B14" s="98" t="n">
        <x:v>1520</x:v>
      </x:c>
      <x:c r="C14" s="100" t="n">
        <x:v>4.7</x:v>
      </x:c>
      <x:c r="D14" s="59" t="str">
        <x:v>Actual</x:v>
      </x:c>
      <x:c r="F14" s="59" t="str">
        <x:v>22Q4</x:v>
      </x:c>
      <x:c r="G14" s="102" t="n">
        <x:v>0.38</x:v>
      </x:c>
      <x:c r="H14" s="102" t="n">
        <x:v>0.29</x:v>
      </x:c>
      <x:c r="I14" s="102" t="n">
        <x:v>0.08</x:v>
      </x:c>
      <x:c r="J14" s="102" t="n">
        <x:v>0.09</x:v>
      </x:c>
      <x:c r="K14" s="102" t="n">
        <x:v>0.05</x:v>
      </x:c>
      <x:c r="L14" s="102" t="n">
        <x:v>0.06</x:v>
      </x:c>
      <x:c r="M14" s="103" t="n">
        <x:f>1-SUM(G14:L14)</x:f>
        <x:v>0.050000000000000044</x:v>
      </x:c>
    </x:row>
    <x:row r="15" ht="20" customHeight="1">
      <x:c r="A15" s="59" t="str">
        <x:v>22Q1</x:v>
      </x:c>
      <x:c r="B15" s="98" t="n">
        <x:v>1410</x:v>
      </x:c>
      <x:c r="C15" s="100" t="n">
        <x:v>5.2</x:v>
      </x:c>
      <x:c r="D15" s="59" t="str">
        <x:v>Actual</x:v>
      </x:c>
      <x:c r="F15" s="59" t="str">
        <x:v>23Q1</x:v>
      </x:c>
      <x:c r="G15" s="102" t="n">
        <x:v>0.34</x:v>
      </x:c>
      <x:c r="H15" s="102" t="n">
        <x:v>0.31</x:v>
      </x:c>
      <x:c r="I15" s="102" t="n">
        <x:v>0.09</x:v>
      </x:c>
      <x:c r="J15" s="102" t="n">
        <x:v>0.1</x:v>
      </x:c>
      <x:c r="K15" s="102" t="n">
        <x:v>0.05</x:v>
      </x:c>
      <x:c r="L15" s="102" t="n">
        <x:v>0.06</x:v>
      </x:c>
      <x:c r="M15" s="103" t="n">
        <x:f>1-SUM(G15:L15)</x:f>
        <x:v>0.050000000000000044</x:v>
      </x:c>
    </x:row>
    <x:row r="16" ht="20" customHeight="1">
      <x:c r="A16" s="59" t="str">
        <x:v>22Q2</x:v>
      </x:c>
      <x:c r="B16" s="98" t="n">
        <x:v>1330</x:v>
      </x:c>
      <x:c r="C16" s="100" t="n">
        <x:v>4.8</x:v>
      </x:c>
      <x:c r="D16" s="59" t="str">
        <x:v>Actual</x:v>
      </x:c>
      <x:c r="F16" s="59" t="str">
        <x:v>23Q2</x:v>
      </x:c>
      <x:c r="G16" s="102" t="n">
        <x:v>0.3</x:v>
      </x:c>
      <x:c r="H16" s="102" t="n">
        <x:v>0.33</x:v>
      </x:c>
      <x:c r="I16" s="102" t="n">
        <x:v>0.09</x:v>
      </x:c>
      <x:c r="J16" s="102" t="n">
        <x:v>0.1</x:v>
      </x:c>
      <x:c r="K16" s="102" t="n">
        <x:v>0.05</x:v>
      </x:c>
      <x:c r="L16" s="102" t="n">
        <x:v>0.07</x:v>
      </x:c>
      <x:c r="M16" s="103" t="n">
        <x:f>1-SUM(G16:L16)</x:f>
        <x:v>0.06000000000000005</x:v>
      </x:c>
    </x:row>
    <x:row r="17" ht="20" customHeight="1">
      <x:c r="A17" s="59" t="str">
        <x:v>22Q3</x:v>
      </x:c>
      <x:c r="B17" s="98" t="n">
        <x:v>1480</x:v>
      </x:c>
      <x:c r="C17" s="100" t="n">
        <x:v>5.7</x:v>
      </x:c>
      <x:c r="D17" s="59" t="str">
        <x:v>Actual</x:v>
      </x:c>
      <x:c r="F17" s="59" t="str">
        <x:v>23Q3</x:v>
      </x:c>
      <x:c r="G17" s="102" t="n">
        <x:v>0.28</x:v>
      </x:c>
      <x:c r="H17" s="102" t="n">
        <x:v>0.34</x:v>
      </x:c>
      <x:c r="I17" s="102" t="n">
        <x:v>0.09</x:v>
      </x:c>
      <x:c r="J17" s="102" t="n">
        <x:v>0.1</x:v>
      </x:c>
      <x:c r="K17" s="102" t="n">
        <x:v>0.05</x:v>
      </x:c>
      <x:c r="L17" s="102" t="n">
        <x:v>0.07</x:v>
      </x:c>
      <x:c r="M17" s="103" t="n">
        <x:f>1-SUM(G17:L17)</x:f>
        <x:v>0.06999999999999984</x:v>
      </x:c>
    </x:row>
    <x:row r="18" ht="20" customHeight="1">
      <x:c r="A18" s="59" t="str">
        <x:v>22Q4</x:v>
      </x:c>
      <x:c r="B18" s="98" t="n">
        <x:v>2520</x:v>
      </x:c>
      <x:c r="C18" s="100" t="n">
        <x:v>5.1</x:v>
      </x:c>
      <x:c r="D18" s="59" t="str">
        <x:v>Actual</x:v>
      </x:c>
      <x:c r="F18" s="59" t="str">
        <x:v>23Q4</x:v>
      </x:c>
      <x:c r="G18" s="102" t="n">
        <x:v>0.26</x:v>
      </x:c>
      <x:c r="H18" s="102" t="n">
        <x:v>0.35</x:v>
      </x:c>
      <x:c r="I18" s="102" t="n">
        <x:v>0.09</x:v>
      </x:c>
      <x:c r="J18" s="102" t="n">
        <x:v>0.11</x:v>
      </x:c>
      <x:c r="K18" s="102" t="n">
        <x:v>0.05</x:v>
      </x:c>
      <x:c r="L18" s="102" t="n">
        <x:v>0.07</x:v>
      </x:c>
      <x:c r="M18" s="103" t="n">
        <x:f>1-SUM(G18:L18)</x:f>
        <x:v>0.07000000000000006</x:v>
      </x:c>
    </x:row>
    <x:row r="19" ht="20" customHeight="1">
      <x:c r="A19" s="59" t="str">
        <x:v>23Q1</x:v>
      </x:c>
      <x:c r="B19" s="98" t="n">
        <x:v>1980</x:v>
      </x:c>
      <x:c r="C19" s="100" t="n">
        <x:v>4.6</x:v>
      </x:c>
      <x:c r="D19" s="59" t="str">
        <x:v>Actual</x:v>
      </x:c>
      <x:c r="F19" s="59" t="str">
        <x:v>24Q1</x:v>
      </x:c>
      <x:c r="G19" s="102" t="n">
        <x:v>0.29</x:v>
      </x:c>
      <x:c r="H19" s="102" t="n">
        <x:v>0.34</x:v>
      </x:c>
      <x:c r="I19" s="102" t="n">
        <x:v>0.08</x:v>
      </x:c>
      <x:c r="J19" s="102" t="n">
        <x:v>0.11</x:v>
      </x:c>
      <x:c r="K19" s="102" t="n">
        <x:v>0.05</x:v>
      </x:c>
      <x:c r="L19" s="102" t="n">
        <x:v>0.07</x:v>
      </x:c>
      <x:c r="M19" s="103" t="n">
        <x:f>1-SUM(G19:L19)</x:f>
        <x:v>0.06000000000000005</x:v>
      </x:c>
    </x:row>
    <x:row r="20" ht="20" customHeight="1">
      <x:c r="A20" s="59" t="str">
        <x:v>23Q2</x:v>
      </x:c>
      <x:c r="B20" s="98" t="n">
        <x:v>1710</x:v>
      </x:c>
      <x:c r="C20" s="100" t="n">
        <x:v>5.9</x:v>
      </x:c>
      <x:c r="D20" s="59" t="str">
        <x:v>Actual</x:v>
      </x:c>
      <x:c r="F20" s="59" t="str">
        <x:v>24Q2</x:v>
      </x:c>
      <x:c r="G20" s="102" t="n">
        <x:v>0.33</x:v>
      </x:c>
      <x:c r="H20" s="102" t="n">
        <x:v>0.32</x:v>
      </x:c>
      <x:c r="I20" s="102" t="n">
        <x:v>0.08</x:v>
      </x:c>
      <x:c r="J20" s="102" t="n">
        <x:v>0.1</x:v>
      </x:c>
      <x:c r="K20" s="102" t="n">
        <x:v>0.05</x:v>
      </x:c>
      <x:c r="L20" s="102" t="n">
        <x:v>0.07</x:v>
      </x:c>
      <x:c r="M20" s="103" t="n">
        <x:f>1-SUM(G20:L20)</x:f>
        <x:v>0.050000000000000044</x:v>
      </x:c>
    </x:row>
    <x:row r="21" ht="20" customHeight="1">
      <x:c r="A21" s="59" t="str">
        <x:v>23Q3</x:v>
      </x:c>
      <x:c r="B21" s="98" t="n">
        <x:v>1580</x:v>
      </x:c>
      <x:c r="C21" s="100" t="n">
        <x:v>13.5</x:v>
      </x:c>
      <x:c r="D21" s="59" t="str">
        <x:v>Actual</x:v>
      </x:c>
      <x:c r="F21" s="59" t="str">
        <x:v>24Q3</x:v>
      </x:c>
      <x:c r="G21" s="102" t="n">
        <x:v>0.38</x:v>
      </x:c>
      <x:c r="H21" s="102" t="n">
        <x:v>0.29</x:v>
      </x:c>
      <x:c r="I21" s="102" t="n">
        <x:v>0.07</x:v>
      </x:c>
      <x:c r="J21" s="102" t="n">
        <x:v>0.1</x:v>
      </x:c>
      <x:c r="K21" s="102" t="n">
        <x:v>0.05</x:v>
      </x:c>
      <x:c r="L21" s="102" t="n">
        <x:v>0.07</x:v>
      </x:c>
      <x:c r="M21" s="103" t="n">
        <x:f>1-SUM(G21:L21)</x:f>
        <x:v>0.040000000000000036</x:v>
      </x:c>
    </x:row>
    <x:row r="22" ht="20" customHeight="1">
      <x:c r="A22" s="59" t="str">
        <x:v>23Q4</x:v>
      </x:c>
      <x:c r="B22" s="98" t="n">
        <x:v>240</x:v>
      </x:c>
      <x:c r="C22" s="100" t="n">
        <x:v>15.8</x:v>
      </x:c>
      <x:c r="D22" s="59" t="str">
        <x:v>Actual</x:v>
      </x:c>
      <x:c r="F22" s="59" t="str">
        <x:v>24Q4</x:v>
      </x:c>
      <x:c r="G22" s="102" t="n">
        <x:v>0.42</x:v>
      </x:c>
      <x:c r="H22" s="102" t="n">
        <x:v>0.27</x:v>
      </x:c>
      <x:c r="I22" s="102" t="n">
        <x:v>0.07</x:v>
      </x:c>
      <x:c r="J22" s="102" t="n">
        <x:v>0.09</x:v>
      </x:c>
      <x:c r="K22" s="102" t="n">
        <x:v>0.05</x:v>
      </x:c>
      <x:c r="L22" s="102" t="n">
        <x:v>0.06</x:v>
      </x:c>
      <x:c r="M22" s="103" t="n">
        <x:f>1-SUM(G22:L22)</x:f>
        <x:v>0.040000000000000036</x:v>
      </x:c>
    </x:row>
    <x:row r="23" ht="20" customHeight="1">
      <x:c r="A23" s="59" t="str">
        <x:v>24Q1</x:v>
      </x:c>
      <x:c r="B23" s="98" t="n">
        <x:v>1490</x:v>
      </x:c>
      <x:c r="C23" s="100" t="n">
        <x:v>18.3</x:v>
      </x:c>
      <x:c r="D23" s="59" t="str">
        <x:v>Actual</x:v>
      </x:c>
      <x:c r="F23" s="59" t="str">
        <x:v>25Q1</x:v>
      </x:c>
      <x:c r="G23" s="102" t="n">
        <x:v>0.46</x:v>
      </x:c>
      <x:c r="H23" s="102" t="n">
        <x:v>0.25</x:v>
      </x:c>
      <x:c r="I23" s="102" t="n">
        <x:v>0.06</x:v>
      </x:c>
      <x:c r="J23" s="102" t="n">
        <x:v>0.09</x:v>
      </x:c>
      <x:c r="K23" s="102" t="n">
        <x:v>0.05</x:v>
      </x:c>
      <x:c r="L23" s="102" t="n">
        <x:v>0.06</x:v>
      </x:c>
      <x:c r="M23" s="103" t="n">
        <x:f>1-SUM(G23:L23)</x:f>
        <x:v>0.030000000000000027</x:v>
      </x:c>
    </x:row>
    <x:row r="24" ht="20" customHeight="1">
      <x:c r="A24" s="59" t="str">
        <x:v>24Q2</x:v>
      </x:c>
      <x:c r="B24" s="98" t="n">
        <x:v>1630</x:v>
      </x:c>
      <x:c r="C24" s="100" t="n">
        <x:v>13.2</x:v>
      </x:c>
      <x:c r="D24" s="59" t="str">
        <x:v>Actual</x:v>
      </x:c>
      <x:c r="F24" s="59" t="str">
        <x:v>25Q2</x:v>
      </x:c>
      <x:c r="G24" s="102" t="n">
        <x:v>0.5</x:v>
      </x:c>
      <x:c r="H24" s="102" t="n">
        <x:v>0.23</x:v>
      </x:c>
      <x:c r="I24" s="102" t="n">
        <x:v>0.06</x:v>
      </x:c>
      <x:c r="J24" s="102" t="n">
        <x:v>0.08</x:v>
      </x:c>
      <x:c r="K24" s="102" t="n">
        <x:v>0.05</x:v>
      </x:c>
      <x:c r="L24" s="102" t="n">
        <x:v>0.06</x:v>
      </x:c>
      <x:c r="M24" s="103" t="n">
        <x:f>1-SUM(G24:L24)</x:f>
        <x:v>0.020000000000000018</x:v>
      </x:c>
    </x:row>
    <x:row r="25" ht="20" customHeight="1">
      <x:c r="A25" s="59" t="str">
        <x:v>24Q3</x:v>
      </x:c>
      <x:c r="B25" s="98" t="n">
        <x:v>1180</x:v>
      </x:c>
      <x:c r="C25" s="100" t="n">
        <x:v>9.8</x:v>
      </x:c>
      <x:c r="D25" s="59" t="str">
        <x:v>Actual</x:v>
      </x:c>
      <x:c r="F25" s="59" t="str">
        <x:v>25Q3</x:v>
      </x:c>
      <x:c r="G25" s="102" t="n">
        <x:v>0.55</x:v>
      </x:c>
      <x:c r="H25" s="102" t="n">
        <x:v>0.21</x:v>
      </x:c>
      <x:c r="I25" s="102" t="n">
        <x:v>0.05</x:v>
      </x:c>
      <x:c r="J25" s="102" t="n">
        <x:v>0.07</x:v>
      </x:c>
      <x:c r="K25" s="102" t="n">
        <x:v>0.05</x:v>
      </x:c>
      <x:c r="L25" s="102" t="n">
        <x:v>0.05</x:v>
      </x:c>
      <x:c r="M25" s="103" t="n">
        <x:f>1-SUM(G25:L25)</x:f>
        <x:v>0.019999999999999796</x:v>
      </x:c>
    </x:row>
    <x:row r="26" ht="20" customHeight="1">
      <x:c r="A26" s="59" t="str">
        <x:v>24Q4</x:v>
      </x:c>
      <x:c r="B26" s="98" t="n">
        <x:v>930</x:v>
      </x:c>
      <x:c r="C26" s="100" t="n">
        <x:v>10.6</x:v>
      </x:c>
      <x:c r="D26" s="59" t="str">
        <x:v>Actual</x:v>
      </x:c>
      <x:c r="F26" s="60" t="str">
        <x:v>25Q4</x:v>
      </x:c>
      <x:c r="G26" s="104" t="n">
        <x:v>0.61</x:v>
      </x:c>
      <x:c r="H26" s="104" t="n">
        <x:v>0.18</x:v>
      </x:c>
      <x:c r="I26" s="104" t="n">
        <x:v>0.04</x:v>
      </x:c>
      <x:c r="J26" s="104" t="n">
        <x:v>0.06</x:v>
      </x:c>
      <x:c r="K26" s="104" t="n">
        <x:v>0.04</x:v>
      </x:c>
      <x:c r="L26" s="104" t="n">
        <x:v>0.04</x:v>
      </x:c>
      <x:c r="M26" s="105" t="n">
        <x:f>1-SUM(G26:L26)</x:f>
        <x:v>0.029999999999999805</x:v>
      </x:c>
    </x:row>
    <x:row r="27" ht="20" customHeight="1">
      <x:c r="A27" s="59" t="str">
        <x:v>25Q1</x:v>
      </x:c>
      <x:c r="B27" s="98" t="n">
        <x:v>1510</x:v>
      </x:c>
      <x:c r="C27" s="100" t="n">
        <x:v>12.4</x:v>
      </x:c>
      <x:c r="D27" s="59" t="str">
        <x:v>Actual</x:v>
      </x:c>
    </x:row>
    <x:row r="28" ht="20" customHeight="1">
      <x:c r="A28" s="59" t="str">
        <x:v>25Q2</x:v>
      </x:c>
      <x:c r="B28" s="98" t="n">
        <x:v>1320</x:v>
      </x:c>
      <x:c r="C28" s="100" t="n">
        <x:v>9.1</x:v>
      </x:c>
      <x:c r="D28" s="59" t="str">
        <x:v>Actual</x:v>
      </x:c>
    </x:row>
    <x:row r="29" ht="20" customHeight="1">
      <x:c r="A29" s="59" t="str">
        <x:v>25Q3</x:v>
      </x:c>
      <x:c r="B29" s="98" t="n">
        <x:v>1420</x:v>
      </x:c>
      <x:c r="C29" s="100" t="n">
        <x:v>8.8</x:v>
      </x:c>
      <x:c r="D29" s="59" t="str">
        <x:v>Actual</x:v>
      </x:c>
    </x:row>
    <x:row r="30" ht="20" customHeight="1">
      <x:c r="A30" s="59" t="str">
        <x:v>25Q4</x:v>
      </x:c>
      <x:c r="B30" s="98" t="n">
        <x:v>1580</x:v>
      </x:c>
      <x:c r="C30" s="100" t="n">
        <x:v>11.7</x:v>
      </x:c>
      <x:c r="D30" s="59" t="str">
        <x:v>Actual</x:v>
      </x:c>
    </x:row>
    <x:row r="31" ht="24" customHeight="1">
      <x:c r="A31" s="59" t="str">
        <x:v>26Q1</x:v>
      </x:c>
      <x:c r="B31" s="98" t="n">
        <x:v>1980</x:v>
      </x:c>
      <x:c r="C31" s="100" t="n">
        <x:v>17.9</x:v>
      </x:c>
      <x:c r="D31" s="59" t="str">
        <x:v>Actual</x:v>
      </x:c>
      <x:c r="F31" s="11" t="str">
        <x:v>도표 10 · 제품별 매출</x:v>
      </x:c>
      <x:c r="G31" s="11" t="str">
        <x:v>도표 10 · 제품별 매출</x:v>
      </x:c>
      <x:c r="H31" s="11" t="str">
        <x:v>도표 10 · 제품별 매출</x:v>
      </x:c>
      <x:c r="I31" s="11" t="str">
        <x:v>도표 10 · 제품별 매출</x:v>
      </x:c>
    </x:row>
    <x:row r="32" ht="28" customHeight="1">
      <x:c r="A32" s="59" t="str">
        <x:v>26Q2E</x:v>
      </x:c>
      <x:c r="B32" s="98" t="n">
        <x:v>2140</x:v>
      </x:c>
      <x:c r="C32" s="100" t="n">
        <x:v>22.8</x:v>
      </x:c>
      <x:c r="D32" s="59" t="str">
        <x:v>Estimate</x:v>
      </x:c>
      <x:c r="F32" s="54" t="str">
        <x:v>period</x:v>
      </x:c>
      <x:c r="G32" s="55" t="str">
        <x:v>Socket_십억원</x:v>
      </x:c>
      <x:c r="H32" s="55" t="str">
        <x:v>Non_socket_십억원</x:v>
      </x:c>
      <x:c r="I32" s="56" t="str">
        <x:v>status</x:v>
      </x:c>
    </x:row>
    <x:row r="33" ht="20" customHeight="1">
      <x:c r="A33" s="59" t="str">
        <x:v>26Q3E</x:v>
      </x:c>
      <x:c r="B33" s="98" t="n">
        <x:v>2460</x:v>
      </x:c>
      <x:c r="C33" s="100" t="n">
        <x:v>25.1</x:v>
      </x:c>
      <x:c r="D33" s="59" t="str">
        <x:v>Estimate</x:v>
      </x:c>
      <x:c r="F33" s="59" t="str">
        <x:v>19Q1</x:v>
      </x:c>
      <x:c r="G33" s="106" t="n">
        <x:v>18</x:v>
      </x:c>
      <x:c r="H33" s="106" t="n">
        <x:v>2</x:v>
      </x:c>
      <x:c r="I33" s="59" t="str">
        <x:v>Actual</x:v>
      </x:c>
    </x:row>
    <x:row r="34" ht="20" customHeight="1">
      <x:c r="A34" s="60" t="str">
        <x:v>26Q4E</x:v>
      </x:c>
      <x:c r="B34" s="99" t="n">
        <x:v>3010</x:v>
      </x:c>
      <x:c r="C34" s="101" t="n">
        <x:v>31.2</x:v>
      </x:c>
      <x:c r="D34" s="60" t="str">
        <x:v>Estimate</x:v>
      </x:c>
      <x:c r="F34" s="59" t="str">
        <x:v>19Q2</x:v>
      </x:c>
      <x:c r="G34" s="106" t="n">
        <x:v>22</x:v>
      </x:c>
      <x:c r="H34" s="106" t="n">
        <x:v>3</x:v>
      </x:c>
      <x:c r="I34" s="59" t="str">
        <x:v>Actual</x:v>
      </x:c>
    </x:row>
    <x:row r="35" ht="20" customHeight="1">
      <x:c r="F35" s="59" t="str">
        <x:v>19Q3</x:v>
      </x:c>
      <x:c r="G35" s="106" t="n">
        <x:v>17</x:v>
      </x:c>
      <x:c r="H35" s="106" t="n">
        <x:v>3</x:v>
      </x:c>
      <x:c r="I35" s="59" t="str">
        <x:v>Actual</x:v>
      </x:c>
    </x:row>
    <x:row r="36" ht="20" customHeight="1">
      <x:c r="F36" s="59" t="str">
        <x:v>19Q4</x:v>
      </x:c>
      <x:c r="G36" s="106" t="n">
        <x:v>26</x:v>
      </x:c>
      <x:c r="H36" s="106" t="n">
        <x:v>2</x:v>
      </x:c>
      <x:c r="I36" s="59" t="str">
        <x:v>Actual</x:v>
      </x:c>
    </x:row>
    <x:row r="37" ht="20" customHeight="1">
      <x:c r="F37" s="59" t="str">
        <x:v>20Q1</x:v>
      </x:c>
      <x:c r="G37" s="106" t="n">
        <x:v>21</x:v>
      </x:c>
      <x:c r="H37" s="106" t="n">
        <x:v>3</x:v>
      </x:c>
      <x:c r="I37" s="59" t="str">
        <x:v>Actual</x:v>
      </x:c>
    </x:row>
    <x:row r="38" ht="20" customHeight="1">
      <x:c r="A38" s="11" t="str">
        <x:v>도표 9 · 연간 매출액 및 OPM</x:v>
      </x:c>
      <x:c r="B38" s="11" t="str">
        <x:v>도표 9 · 연간 매출액 및 OPM</x:v>
      </x:c>
      <x:c r="C38" s="11" t="str">
        <x:v>도표 9 · 연간 매출액 및 OPM</x:v>
      </x:c>
      <x:c r="D38" s="11" t="str">
        <x:v>도표 9 · 연간 매출액 및 OPM</x:v>
      </x:c>
      <x:c r="F38" s="59" t="str">
        <x:v>20Q2</x:v>
      </x:c>
      <x:c r="G38" s="106" t="n">
        <x:v>28</x:v>
      </x:c>
      <x:c r="H38" s="106" t="n">
        <x:v>4</x:v>
      </x:c>
      <x:c r="I38" s="59" t="str">
        <x:v>Actual</x:v>
      </x:c>
    </x:row>
    <x:row r="39" ht="20" customHeight="1">
      <x:c r="A39" s="54" t="str">
        <x:v>year</x:v>
      </x:c>
      <x:c r="B39" s="55" t="str">
        <x:v>revenue_십억원</x:v>
      </x:c>
      <x:c r="C39" s="55" t="str">
        <x:v>opm</x:v>
      </x:c>
      <x:c r="D39" s="56" t="str">
        <x:v>status</x:v>
      </x:c>
      <x:c r="F39" s="59" t="str">
        <x:v>20Q3</x:v>
      </x:c>
      <x:c r="G39" s="106" t="n">
        <x:v>37</x:v>
      </x:c>
      <x:c r="H39" s="106" t="n">
        <x:v>2</x:v>
      </x:c>
      <x:c r="I39" s="59" t="str">
        <x:v>Actual</x:v>
      </x:c>
    </x:row>
    <x:row r="40" ht="20" customHeight="1">
      <x:c r="A40" s="59" t="str">
        <x:v>2019</x:v>
      </x:c>
      <x:c r="B40" s="98" t="n">
        <x:v>88</x:v>
      </x:c>
      <x:c r="C40" s="102" t="n">
        <x:v>0.03</x:v>
      </x:c>
      <x:c r="D40" s="59" t="str">
        <x:v>Actual</x:v>
      </x:c>
      <x:c r="F40" s="59" t="str">
        <x:v>20Q4</x:v>
      </x:c>
      <x:c r="G40" s="106" t="n">
        <x:v>31</x:v>
      </x:c>
      <x:c r="H40" s="106" t="n">
        <x:v>4</x:v>
      </x:c>
      <x:c r="I40" s="59" t="str">
        <x:v>Actual</x:v>
      </x:c>
    </x:row>
    <x:row r="41" ht="20" customHeight="1">
      <x:c r="A41" s="59" t="str">
        <x:v>2020</x:v>
      </x:c>
      <x:c r="B41" s="98" t="n">
        <x:v>121</x:v>
      </x:c>
      <x:c r="C41" s="102" t="n">
        <x:v>0.15</x:v>
      </x:c>
      <x:c r="D41" s="59" t="str">
        <x:v>Actual</x:v>
      </x:c>
      <x:c r="F41" s="59" t="str">
        <x:v>21Q1</x:v>
      </x:c>
      <x:c r="G41" s="106" t="n">
        <x:v>24</x:v>
      </x:c>
      <x:c r="H41" s="106" t="n">
        <x:v>3</x:v>
      </x:c>
      <x:c r="I41" s="59" t="str">
        <x:v>Actual</x:v>
      </x:c>
    </x:row>
    <x:row r="42" ht="20" customHeight="1">
      <x:c r="A42" s="59" t="str">
        <x:v>2021</x:v>
      </x:c>
      <x:c r="B42" s="98" t="n">
        <x:v>145</x:v>
      </x:c>
      <x:c r="C42" s="102" t="n">
        <x:v>0.26</x:v>
      </x:c>
      <x:c r="D42" s="59" t="str">
        <x:v>Actual</x:v>
      </x:c>
      <x:c r="F42" s="59" t="str">
        <x:v>21Q2</x:v>
      </x:c>
      <x:c r="G42" s="106" t="n">
        <x:v>33</x:v>
      </x:c>
      <x:c r="H42" s="106" t="n">
        <x:v>5</x:v>
      </x:c>
      <x:c r="I42" s="59" t="str">
        <x:v>Actual</x:v>
      </x:c>
    </x:row>
    <x:row r="43" ht="20" customHeight="1">
      <x:c r="A43" s="59" t="str">
        <x:v>2022</x:v>
      </x:c>
      <x:c r="B43" s="98" t="n">
        <x:v>178</x:v>
      </x:c>
      <x:c r="C43" s="102" t="n">
        <x:v>0.31</x:v>
      </x:c>
      <x:c r="D43" s="59" t="str">
        <x:v>Actual</x:v>
      </x:c>
      <x:c r="F43" s="59" t="str">
        <x:v>21Q3</x:v>
      </x:c>
      <x:c r="G43" s="106" t="n">
        <x:v>29</x:v>
      </x:c>
      <x:c r="H43" s="106" t="n">
        <x:v>4</x:v>
      </x:c>
      <x:c r="I43" s="59" t="str">
        <x:v>Actual</x:v>
      </x:c>
    </x:row>
    <x:row r="44" ht="20" customHeight="1">
      <x:c r="A44" s="59" t="str">
        <x:v>2023</x:v>
      </x:c>
      <x:c r="B44" s="98" t="n">
        <x:v>84</x:v>
      </x:c>
      <x:c r="C44" s="102" t="n">
        <x:v>0.08</x:v>
      </x:c>
      <x:c r="D44" s="59" t="str">
        <x:v>Actual</x:v>
      </x:c>
      <x:c r="F44" s="59" t="str">
        <x:v>21Q4</x:v>
      </x:c>
      <x:c r="G44" s="106" t="n">
        <x:v>34</x:v>
      </x:c>
      <x:c r="H44" s="106" t="n">
        <x:v>5</x:v>
      </x:c>
      <x:c r="I44" s="59" t="str">
        <x:v>Actual</x:v>
      </x:c>
    </x:row>
    <x:row r="45" ht="20" customHeight="1">
      <x:c r="A45" s="59" t="str">
        <x:v>2024</x:v>
      </x:c>
      <x:c r="B45" s="98" t="n">
        <x:v>172</x:v>
      </x:c>
      <x:c r="C45" s="102" t="n">
        <x:v>0.25</x:v>
      </x:c>
      <x:c r="D45" s="59" t="str">
        <x:v>Actual</x:v>
      </x:c>
      <x:c r="F45" s="59" t="str">
        <x:v>22Q1</x:v>
      </x:c>
      <x:c r="G45" s="106" t="n">
        <x:v>38</x:v>
      </x:c>
      <x:c r="H45" s="106" t="n">
        <x:v>6</x:v>
      </x:c>
      <x:c r="I45" s="59" t="str">
        <x:v>Actual</x:v>
      </x:c>
    </x:row>
    <x:row r="46" ht="20" customHeight="1">
      <x:c r="A46" s="59" t="str">
        <x:v>2025E</x:v>
      </x:c>
      <x:c r="B46" s="98" t="n">
        <x:v>220</x:v>
      </x:c>
      <x:c r="C46" s="102" t="n">
        <x:v>0.27</x:v>
      </x:c>
      <x:c r="D46" s="59" t="str">
        <x:v>Estimate</x:v>
      </x:c>
      <x:c r="F46" s="59" t="str">
        <x:v>22Q2</x:v>
      </x:c>
      <x:c r="G46" s="106" t="n">
        <x:v>45</x:v>
      </x:c>
      <x:c r="H46" s="106" t="n">
        <x:v>7</x:v>
      </x:c>
      <x:c r="I46" s="59" t="str">
        <x:v>Actual</x:v>
      </x:c>
    </x:row>
    <x:row r="47" ht="20" customHeight="1">
      <x:c r="A47" s="59" t="str">
        <x:v>2026E</x:v>
      </x:c>
      <x:c r="B47" s="98" t="n">
        <x:v>312</x:v>
      </x:c>
      <x:c r="C47" s="102" t="n">
        <x:v>0.31</x:v>
      </x:c>
      <x:c r="D47" s="59" t="str">
        <x:v>Estimate</x:v>
      </x:c>
      <x:c r="F47" s="59" t="str">
        <x:v>22Q3</x:v>
      </x:c>
      <x:c r="G47" s="106" t="n">
        <x:v>49</x:v>
      </x:c>
      <x:c r="H47" s="106" t="n">
        <x:v>5</x:v>
      </x:c>
      <x:c r="I47" s="59" t="str">
        <x:v>Actual</x:v>
      </x:c>
    </x:row>
    <x:row r="48" ht="20" customHeight="1">
      <x:c r="A48" s="60" t="str">
        <x:v>2027E</x:v>
      </x:c>
      <x:c r="B48" s="99" t="n">
        <x:v>374</x:v>
      </x:c>
      <x:c r="C48" s="104" t="n">
        <x:v>0.33</x:v>
      </x:c>
      <x:c r="D48" s="60" t="str">
        <x:v>Estimate</x:v>
      </x:c>
      <x:c r="F48" s="59" t="str">
        <x:v>22Q4</x:v>
      </x:c>
      <x:c r="G48" s="106" t="n">
        <x:v>41</x:v>
      </x:c>
      <x:c r="H48" s="106" t="n">
        <x:v>5</x:v>
      </x:c>
      <x:c r="I48" s="59" t="str">
        <x:v>Actual</x:v>
      </x:c>
    </x:row>
    <x:row r="49" ht="20" customHeight="1">
      <x:c r="F49" s="59" t="str">
        <x:v>23Q1</x:v>
      </x:c>
      <x:c r="G49" s="106" t="n">
        <x:v>45</x:v>
      </x:c>
      <x:c r="H49" s="106" t="n">
        <x:v>3</x:v>
      </x:c>
      <x:c r="I49" s="59" t="str">
        <x:v>Actual</x:v>
      </x:c>
    </x:row>
    <x:row r="50" ht="20" customHeight="1">
      <x:c r="F50" s="59" t="str">
        <x:v>23Q2</x:v>
      </x:c>
      <x:c r="G50" s="106" t="n">
        <x:v>34</x:v>
      </x:c>
      <x:c r="H50" s="106" t="n">
        <x:v>4</x:v>
      </x:c>
      <x:c r="I50" s="59" t="str">
        <x:v>Actual</x:v>
      </x:c>
    </x:row>
    <x:row r="51" ht="20" customHeight="1">
      <x:c r="F51" s="59" t="str">
        <x:v>23Q3</x:v>
      </x:c>
      <x:c r="G51" s="106" t="n">
        <x:v>33</x:v>
      </x:c>
      <x:c r="H51" s="106" t="n">
        <x:v>4</x:v>
      </x:c>
      <x:c r="I51" s="59" t="str">
        <x:v>Actual</x:v>
      </x:c>
    </x:row>
    <x:row r="52" ht="20" customHeight="1">
      <x:c r="F52" s="59" t="str">
        <x:v>23Q4</x:v>
      </x:c>
      <x:c r="G52" s="106" t="n">
        <x:v>28</x:v>
      </x:c>
      <x:c r="H52" s="106" t="n">
        <x:v>5</x:v>
      </x:c>
      <x:c r="I52" s="59" t="str">
        <x:v>Actual</x:v>
      </x:c>
    </x:row>
    <x:row r="53" ht="20" customHeight="1">
      <x:c r="F53" s="59" t="str">
        <x:v>24Q1</x:v>
      </x:c>
      <x:c r="G53" s="106" t="n">
        <x:v>24</x:v>
      </x:c>
      <x:c r="H53" s="106" t="n">
        <x:v>4</x:v>
      </x:c>
      <x:c r="I53" s="59" t="str">
        <x:v>Actual</x:v>
      </x:c>
    </x:row>
    <x:row r="54" ht="20" customHeight="1">
      <x:c r="F54" s="59" t="str">
        <x:v>24Q2</x:v>
      </x:c>
      <x:c r="G54" s="106" t="n">
        <x:v>31</x:v>
      </x:c>
      <x:c r="H54" s="106" t="n">
        <x:v>5</x:v>
      </x:c>
      <x:c r="I54" s="59" t="str">
        <x:v>Actual</x:v>
      </x:c>
    </x:row>
    <x:row r="55" ht="20" customHeight="1">
      <x:c r="F55" s="59" t="str">
        <x:v>24Q3</x:v>
      </x:c>
      <x:c r="G55" s="106" t="n">
        <x:v>49</x:v>
      </x:c>
      <x:c r="H55" s="106" t="n">
        <x:v>2</x:v>
      </x:c>
      <x:c r="I55" s="59" t="str">
        <x:v>Actual</x:v>
      </x:c>
    </x:row>
    <x:row r="56" ht="20" customHeight="1">
      <x:c r="F56" s="59" t="str">
        <x:v>24Q4</x:v>
      </x:c>
      <x:c r="G56" s="106" t="n">
        <x:v>50</x:v>
      </x:c>
      <x:c r="H56" s="106" t="n">
        <x:v>2</x:v>
      </x:c>
      <x:c r="I56" s="59" t="str">
        <x:v>Actual</x:v>
      </x:c>
    </x:row>
    <x:row r="57" ht="20" customHeight="1">
      <x:c r="F57" s="59" t="str">
        <x:v>25Q1</x:v>
      </x:c>
      <x:c r="G57" s="106" t="n">
        <x:v>38</x:v>
      </x:c>
      <x:c r="H57" s="106" t="n">
        <x:v>4</x:v>
      </x:c>
      <x:c r="I57" s="59" t="str">
        <x:v>Actual</x:v>
      </x:c>
    </x:row>
    <x:row r="58" ht="20" customHeight="1">
      <x:c r="F58" s="59" t="str">
        <x:v>25Q2</x:v>
      </x:c>
      <x:c r="G58" s="106" t="n">
        <x:v>34</x:v>
      </x:c>
      <x:c r="H58" s="106" t="n">
        <x:v>4</x:v>
      </x:c>
      <x:c r="I58" s="59" t="str">
        <x:v>Actual</x:v>
      </x:c>
    </x:row>
    <x:row r="59" ht="20" customHeight="1">
      <x:c r="F59" s="59" t="str">
        <x:v>25Q3</x:v>
      </x:c>
      <x:c r="G59" s="106" t="n">
        <x:v>29</x:v>
      </x:c>
      <x:c r="H59" s="106" t="n">
        <x:v>4</x:v>
      </x:c>
      <x:c r="I59" s="59" t="str">
        <x:v>Actual</x:v>
      </x:c>
    </x:row>
    <x:row r="60" ht="20" customHeight="1">
      <x:c r="F60" s="59" t="str">
        <x:v>25Q4</x:v>
      </x:c>
      <x:c r="G60" s="106" t="n">
        <x:v>52</x:v>
      </x:c>
      <x:c r="H60" s="106" t="n">
        <x:v>12</x:v>
      </x:c>
      <x:c r="I60" s="59" t="str">
        <x:v>Actual</x:v>
      </x:c>
    </x:row>
    <x:row r="61" ht="20" customHeight="1">
      <x:c r="F61" s="59" t="str">
        <x:v>26Q1</x:v>
      </x:c>
      <x:c r="G61" s="106" t="n">
        <x:v>60</x:v>
      </x:c>
      <x:c r="H61" s="106" t="n">
        <x:v>6</x:v>
      </x:c>
      <x:c r="I61" s="59" t="str">
        <x:v>Actual</x:v>
      </x:c>
    </x:row>
    <x:row r="62" ht="20" customHeight="1">
      <x:c r="F62" s="59" t="str">
        <x:v>26Q2E</x:v>
      </x:c>
      <x:c r="G62" s="106" t="n">
        <x:v>62</x:v>
      </x:c>
      <x:c r="H62" s="106" t="n">
        <x:v>10</x:v>
      </x:c>
      <x:c r="I62" s="59" t="str">
        <x:v>Estimate</x:v>
      </x:c>
    </x:row>
    <x:row r="63" ht="20" customHeight="1">
      <x:c r="F63" s="59" t="str">
        <x:v>26Q3E</x:v>
      </x:c>
      <x:c r="G63" s="106" t="n">
        <x:v>59</x:v>
      </x:c>
      <x:c r="H63" s="106" t="n">
        <x:v>17</x:v>
      </x:c>
      <x:c r="I63" s="59" t="str">
        <x:v>Estimate</x:v>
      </x:c>
    </x:row>
    <x:row r="64" ht="20" customHeight="1">
      <x:c r="F64" s="60" t="str">
        <x:v>26Q4E</x:v>
      </x:c>
      <x:c r="G64" s="107" t="n">
        <x:v>68</x:v>
      </x:c>
      <x:c r="H64" s="107" t="n">
        <x:v>20</x:v>
      </x:c>
      <x:c r="I64" s="60" t="str">
        <x:v>Estimate</x:v>
      </x:c>
    </x:row>
  </x:sheetData>
  <x:mergeCells>
    <x:mergeCell ref="A1:H2"/>
    <x:mergeCell ref="A3:H3"/>
    <x:mergeCell ref="A5:D5"/>
    <x:mergeCell ref="F5:M5"/>
    <x:mergeCell ref="A38:D38"/>
    <x:mergeCell ref="F31:I31"/>
  </x:mergeCells>
  <x:pageMargins left="0.7" right="0.7" top="0.75" bottom="0.75" header="0.3" footer="0.3"/>
  <x:tableParts count="4">
    <x:tablePart xmlns:r="http://schemas.openxmlformats.org/officeDocument/2006/relationships" r:id="R48818317be72420c"/>
    <x:tablePart xmlns:r="http://schemas.openxmlformats.org/officeDocument/2006/relationships" r:id="R0ea4c5d108de43a0"/>
    <x:tablePart xmlns:r="http://schemas.openxmlformats.org/officeDocument/2006/relationships" r:id="R1a545812d4f24561"/>
    <x:tablePart xmlns:r="http://schemas.openxmlformats.org/officeDocument/2006/relationships" r:id="R0928253f54d84c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1" hidden="0" customWidth="1"/>
    <x:col min="3" max="3" width="21" hidden="0" customWidth="1"/>
    <x:col min="4" max="4" width="3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4" customHeight="1">
      <x:c r="A1" s="4" t="str">
        <x:v>_REFLO_BRIDGE · 차트별 표준 데이터</x:v>
      </x:c>
      <x:c r="B1" s="4" t="str">
        <x:v>_REFLO_BRIDGE · 차트별 표준 데이터</x:v>
      </x:c>
      <x:c r="C1" s="4" t="str">
        <x:v>_REFLO_BRIDGE · 차트별 표준 데이터</x:v>
      </x:c>
      <x:c r="D1" s="4" t="str">
        <x:v>_REFLO_BRIDGE · 차트별 표준 데이터</x:v>
      </x:c>
      <x:c r="E1" s="4" t="str">
        <x:v>_REFLO_BRIDGE · 차트별 표준 데이터</x:v>
      </x:c>
      <x:c r="F1" s="4" t="str">
        <x:v>_REFLO_BRIDGE · 차트별 표준 데이터</x:v>
      </x:c>
      <x:c r="G1" s="4" t="str">
        <x:v>_REFLO_BRIDGE · 차트별 표준 데이터</x:v>
      </x:c>
      <x:c r="H1" s="4" t="str">
        <x:v>_REFLO_BRIDGE · 차트별 표준 데이터</x:v>
      </x:c>
      <x:c r="I1" s="4" t="str">
        <x:v>_REFLO_BRIDGE · 차트별 표준 데이터</x:v>
      </x:c>
      <x:c r="J1" s="4" t="str">
        <x:v>_REFLO_BRIDGE · 차트별 표준 데이터</x:v>
      </x:c>
      <x:c r="K1" s="4" t="str">
        <x:v>_REFLO_BRIDGE · 차트별 표준 데이터</x:v>
      </x:c>
      <x:c r="L1" s="4" t="str">
        <x:v>_REFLO_BRIDGE · 차트별 표준 데이터</x:v>
      </x:c>
    </x:row>
    <x:row r="2" ht="34" customHeight="1">
      <x:c r="A2" s="4" t="str">
        <x:v>_REFLO_BRIDGE · 차트별 표준 데이터</x:v>
      </x:c>
      <x:c r="B2" s="4" t="str">
        <x:v>_REFLO_BRIDGE · 차트별 표준 데이터</x:v>
      </x:c>
      <x:c r="C2" s="4" t="str">
        <x:v>_REFLO_BRIDGE · 차트별 표준 데이터</x:v>
      </x:c>
      <x:c r="D2" s="4" t="str">
        <x:v>_REFLO_BRIDGE · 차트별 표준 데이터</x:v>
      </x:c>
      <x:c r="E2" s="4" t="str">
        <x:v>_REFLO_BRIDGE · 차트별 표준 데이터</x:v>
      </x:c>
      <x:c r="F2" s="4" t="str">
        <x:v>_REFLO_BRIDGE · 차트별 표준 데이터</x:v>
      </x:c>
      <x:c r="G2" s="4" t="str">
        <x:v>_REFLO_BRIDGE · 차트별 표준 데이터</x:v>
      </x:c>
      <x:c r="H2" s="4" t="str">
        <x:v>_REFLO_BRIDGE · 차트별 표준 데이터</x:v>
      </x:c>
      <x:c r="I2" s="4" t="str">
        <x:v>_REFLO_BRIDGE · 차트별 표준 데이터</x:v>
      </x:c>
      <x:c r="J2" s="4" t="str">
        <x:v>_REFLO_BRIDGE · 차트별 표준 데이터</x:v>
      </x:c>
      <x:c r="K2" s="4" t="str">
        <x:v>_REFLO_BRIDGE · 차트별 표준 데이터</x:v>
      </x:c>
      <x:c r="L2" s="4" t="str">
        <x:v>_REFLO_BRIDGE · 차트별 표준 데이터</x:v>
      </x:c>
    </x:row>
    <x:row r="3">
      <x:c r="A3" s="95" t="str">
        <x:v>시스템 생성 영역 예시입니다. 사용자 원본을 수정하지 않고 chart slot별 category·series를 정규화합니다.</x:v>
      </x:c>
      <x:c r="B3" s="95"/>
      <x:c r="C3" s="95"/>
      <x:c r="D3" s="95"/>
      <x:c r="E3" s="95"/>
      <x:c r="F3" s="95"/>
      <x:c r="G3" s="95"/>
      <x:c r="H3" s="95"/>
      <x:c r="I3" s="95"/>
      <x:c r="J3" s="95"/>
      <x:c r="K3" s="95"/>
      <x:c r="L3" s="95"/>
    </x:row>
    <x:row r="5" ht="24" customHeight="1">
      <x:c r="A5" s="11" t="str">
        <x:v>chart_op_marketcap</x:v>
      </x:c>
      <x:c r="B5" s="11" t="str">
        <x:v>chart_op_marketcap</x:v>
      </x:c>
      <x:c r="C5" s="11" t="str">
        <x:v>chart_op_marketcap</x:v>
      </x:c>
      <x:c r="E5" s="11" t="str">
        <x:v>chart_application_mix</x:v>
      </x:c>
      <x:c r="F5" s="11" t="str">
        <x:v>chart_application_mix</x:v>
      </x:c>
      <x:c r="G5" s="11" t="str">
        <x:v>chart_application_mix</x:v>
      </x:c>
      <x:c r="H5" s="11" t="str">
        <x:v>chart_application_mix</x:v>
      </x:c>
      <x:c r="I5" s="11" t="str">
        <x:v>chart_application_mix</x:v>
      </x:c>
      <x:c r="J5" s="11" t="str">
        <x:v>chart_application_mix</x:v>
      </x:c>
      <x:c r="K5" s="11" t="str">
        <x:v>chart_application_mix</x:v>
      </x:c>
      <x:c r="L5" s="11" t="str">
        <x:v>chart_application_mix</x:v>
      </x:c>
    </x:row>
    <x:row r="6" ht="28" customHeight="1">
      <x:c r="A6" s="54" t="str">
        <x:v>period</x:v>
      </x:c>
      <x:c r="B6" s="55" t="str">
        <x:v>operating_profit_억원</x:v>
      </x:c>
      <x:c r="C6" s="56" t="str">
        <x:v>market_cap_조원</x:v>
      </x:c>
      <x:c r="E6" s="54" t="str">
        <x:v>period</x:v>
      </x:c>
      <x:c r="F6" s="55" t="str">
        <x:v>데이터센터</x:v>
      </x:c>
      <x:c r="G6" s="55" t="str">
        <x:v>스마트폰</x:v>
      </x:c>
      <x:c r="H6" s="55" t="str">
        <x:v>PC_노트북</x:v>
      </x:c>
      <x:c r="I6" s="55" t="str">
        <x:v>Auto</x:v>
      </x:c>
      <x:c r="J6" s="55" t="str">
        <x:v>Wearable</x:v>
      </x:c>
      <x:c r="K6" s="55" t="str">
        <x:v>LSI</x:v>
      </x:c>
      <x:c r="L6" s="56" t="str">
        <x:v>기타</x:v>
      </x:c>
    </x:row>
    <x:row r="7" ht="20" customHeight="1">
      <x:c r="A7" s="108" t="str">
        <x:f>'01_RAW_INPUT'!A7</x:f>
        <x:v>20Q1</x:v>
      </x:c>
      <x:c r="B7" s="110" t="n">
        <x:f>'01_RAW_INPUT'!B7</x:f>
        <x:v>1180</x:v>
      </x:c>
      <x:c r="C7" s="112" t="n">
        <x:f>'01_RAW_INPUT'!C7</x:f>
        <x:v>1.8</x:v>
      </x:c>
      <x:c r="E7" s="108" t="str">
        <x:f>'01_RAW_INPUT'!F7</x:f>
        <x:v>21Q1</x:v>
      </x:c>
      <x:c r="F7" s="114" t="n">
        <x:f>'01_RAW_INPUT'!G7</x:f>
        <x:v>0.24</x:v>
      </x:c>
      <x:c r="G7" s="114" t="n">
        <x:f>'01_RAW_INPUT'!H7</x:f>
        <x:v>0.38</x:v>
      </x:c>
      <x:c r="H7" s="114" t="n">
        <x:f>'01_RAW_INPUT'!I7</x:f>
        <x:v>0.12</x:v>
      </x:c>
      <x:c r="I7" s="114" t="n">
        <x:f>'01_RAW_INPUT'!J7</x:f>
        <x:v>0.07</x:v>
      </x:c>
      <x:c r="J7" s="114" t="n">
        <x:f>'01_RAW_INPUT'!K7</x:f>
        <x:v>0.05</x:v>
      </x:c>
      <x:c r="K7" s="114" t="n">
        <x:f>'01_RAW_INPUT'!L7</x:f>
        <x:v>0.08</x:v>
      </x:c>
      <x:c r="L7" s="114" t="n">
        <x:f>'01_RAW_INPUT'!M7</x:f>
        <x:v>0.05999999999999994</x:v>
      </x:c>
    </x:row>
    <x:row r="8" ht="20" customHeight="1">
      <x:c r="A8" s="108" t="str">
        <x:f>'01_RAW_INPUT'!A8</x:f>
        <x:v>20Q2</x:v>
      </x:c>
      <x:c r="B8" s="110" t="n">
        <x:f>'01_RAW_INPUT'!B8</x:f>
        <x:v>1320</x:v>
      </x:c>
      <x:c r="C8" s="112" t="n">
        <x:f>'01_RAW_INPUT'!C8</x:f>
        <x:v>2.4</x:v>
      </x:c>
      <x:c r="E8" s="108" t="str">
        <x:f>'01_RAW_INPUT'!F8</x:f>
        <x:v>21Q2</x:v>
      </x:c>
      <x:c r="F8" s="114" t="n">
        <x:f>'01_RAW_INPUT'!G8</x:f>
        <x:v>0.26</x:v>
      </x:c>
      <x:c r="G8" s="114" t="n">
        <x:f>'01_RAW_INPUT'!H8</x:f>
        <x:v>0.37</x:v>
      </x:c>
      <x:c r="H8" s="114" t="n">
        <x:f>'01_RAW_INPUT'!I8</x:f>
        <x:v>0.11</x:v>
      </x:c>
      <x:c r="I8" s="114" t="n">
        <x:f>'01_RAW_INPUT'!J8</x:f>
        <x:v>0.07</x:v>
      </x:c>
      <x:c r="J8" s="114" t="n">
        <x:f>'01_RAW_INPUT'!K8</x:f>
        <x:v>0.05</x:v>
      </x:c>
      <x:c r="K8" s="114" t="n">
        <x:f>'01_RAW_INPUT'!L8</x:f>
        <x:v>0.08</x:v>
      </x:c>
      <x:c r="L8" s="114" t="n">
        <x:f>'01_RAW_INPUT'!M8</x:f>
        <x:v>0.05999999999999994</x:v>
      </x:c>
    </x:row>
    <x:row r="9" ht="20" customHeight="1">
      <x:c r="A9" s="108" t="str">
        <x:f>'01_RAW_INPUT'!A9</x:f>
        <x:v>20Q3</x:v>
      </x:c>
      <x:c r="B9" s="110" t="n">
        <x:f>'01_RAW_INPUT'!B9</x:f>
        <x:v>1040</x:v>
      </x:c>
      <x:c r="C9" s="112" t="n">
        <x:f>'01_RAW_INPUT'!C9</x:f>
        <x:v>2.6</x:v>
      </x:c>
      <x:c r="E9" s="108" t="str">
        <x:f>'01_RAW_INPUT'!F9</x:f>
        <x:v>21Q3</x:v>
      </x:c>
      <x:c r="F9" s="114" t="n">
        <x:f>'01_RAW_INPUT'!G9</x:f>
        <x:v>0.28</x:v>
      </x:c>
      <x:c r="G9" s="114" t="n">
        <x:f>'01_RAW_INPUT'!H9</x:f>
        <x:v>0.36</x:v>
      </x:c>
      <x:c r="H9" s="114" t="n">
        <x:f>'01_RAW_INPUT'!I9</x:f>
        <x:v>0.1</x:v>
      </x:c>
      <x:c r="I9" s="114" t="n">
        <x:f>'01_RAW_INPUT'!J9</x:f>
        <x:v>0.08</x:v>
      </x:c>
      <x:c r="J9" s="114" t="n">
        <x:f>'01_RAW_INPUT'!K9</x:f>
        <x:v>0.05</x:v>
      </x:c>
      <x:c r="K9" s="114" t="n">
        <x:f>'01_RAW_INPUT'!L9</x:f>
        <x:v>0.07</x:v>
      </x:c>
      <x:c r="L9" s="114" t="n">
        <x:f>'01_RAW_INPUT'!M9</x:f>
        <x:v>0.06000000000000005</x:v>
      </x:c>
    </x:row>
    <x:row r="10" ht="20" customHeight="1">
      <x:c r="A10" s="108" t="str">
        <x:f>'01_RAW_INPUT'!A10</x:f>
        <x:v>20Q4</x:v>
      </x:c>
      <x:c r="B10" s="110" t="n">
        <x:f>'01_RAW_INPUT'!B10</x:f>
        <x:v>980</x:v>
      </x:c>
      <x:c r="C10" s="112" t="n">
        <x:f>'01_RAW_INPUT'!C10</x:f>
        <x:v>2.9</x:v>
      </x:c>
      <x:c r="E10" s="108" t="str">
        <x:f>'01_RAW_INPUT'!F10</x:f>
        <x:v>21Q4</x:v>
      </x:c>
      <x:c r="F10" s="114" t="n">
        <x:f>'01_RAW_INPUT'!G10</x:f>
        <x:v>0.27</x:v>
      </x:c>
      <x:c r="G10" s="114" t="n">
        <x:f>'01_RAW_INPUT'!H10</x:f>
        <x:v>0.36</x:v>
      </x:c>
      <x:c r="H10" s="114" t="n">
        <x:f>'01_RAW_INPUT'!I10</x:f>
        <x:v>0.11</x:v>
      </x:c>
      <x:c r="I10" s="114" t="n">
        <x:f>'01_RAW_INPUT'!J10</x:f>
        <x:v>0.08</x:v>
      </x:c>
      <x:c r="J10" s="114" t="n">
        <x:f>'01_RAW_INPUT'!K10</x:f>
        <x:v>0.05</x:v>
      </x:c>
      <x:c r="K10" s="114" t="n">
        <x:f>'01_RAW_INPUT'!L10</x:f>
        <x:v>0.07</x:v>
      </x:c>
      <x:c r="L10" s="114" t="n">
        <x:f>'01_RAW_INPUT'!M10</x:f>
        <x:v>0.06000000000000005</x:v>
      </x:c>
    </x:row>
    <x:row r="11" ht="20" customHeight="1">
      <x:c r="A11" s="108" t="str">
        <x:f>'01_RAW_INPUT'!A11</x:f>
        <x:v>21Q1</x:v>
      </x:c>
      <x:c r="B11" s="110" t="n">
        <x:f>'01_RAW_INPUT'!B11</x:f>
        <x:v>1250</x:v>
      </x:c>
      <x:c r="C11" s="112" t="n">
        <x:f>'01_RAW_INPUT'!C11</x:f>
        <x:v>3.4</x:v>
      </x:c>
      <x:c r="E11" s="108" t="str">
        <x:f>'01_RAW_INPUT'!F11</x:f>
        <x:v>22Q1</x:v>
      </x:c>
      <x:c r="F11" s="114" t="n">
        <x:f>'01_RAW_INPUT'!G11</x:f>
        <x:v>0.31</x:v>
      </x:c>
      <x:c r="G11" s="114" t="n">
        <x:f>'01_RAW_INPUT'!H11</x:f>
        <x:v>0.35</x:v>
      </x:c>
      <x:c r="H11" s="114" t="n">
        <x:f>'01_RAW_INPUT'!I11</x:f>
        <x:v>0.1</x:v>
      </x:c>
      <x:c r="I11" s="114" t="n">
        <x:f>'01_RAW_INPUT'!J11</x:f>
        <x:v>0.08</x:v>
      </x:c>
      <x:c r="J11" s="114" t="n">
        <x:f>'01_RAW_INPUT'!K11</x:f>
        <x:v>0.05</x:v>
      </x:c>
      <x:c r="K11" s="114" t="n">
        <x:f>'01_RAW_INPUT'!L11</x:f>
        <x:v>0.07</x:v>
      </x:c>
      <x:c r="L11" s="114" t="n">
        <x:f>'01_RAW_INPUT'!M11</x:f>
        <x:v>0.040000000000000036</x:v>
      </x:c>
    </x:row>
    <x:row r="12" ht="20" customHeight="1">
      <x:c r="A12" s="108" t="str">
        <x:f>'01_RAW_INPUT'!A12</x:f>
        <x:v>21Q2</x:v>
      </x:c>
      <x:c r="B12" s="110" t="n">
        <x:f>'01_RAW_INPUT'!B12</x:f>
        <x:v>1450</x:v>
      </x:c>
      <x:c r="C12" s="112" t="n">
        <x:f>'01_RAW_INPUT'!C12</x:f>
        <x:v>3.8</x:v>
      </x:c>
      <x:c r="E12" s="108" t="str">
        <x:f>'01_RAW_INPUT'!F12</x:f>
        <x:v>22Q2</x:v>
      </x:c>
      <x:c r="F12" s="114" t="n">
        <x:f>'01_RAW_INPUT'!G12</x:f>
        <x:v>0.36</x:v>
      </x:c>
      <x:c r="G12" s="114" t="n">
        <x:f>'01_RAW_INPUT'!H12</x:f>
        <x:v>0.32</x:v>
      </x:c>
      <x:c r="H12" s="114" t="n">
        <x:f>'01_RAW_INPUT'!I12</x:f>
        <x:v>0.09</x:v>
      </x:c>
      <x:c r="I12" s="114" t="n">
        <x:f>'01_RAW_INPUT'!J12</x:f>
        <x:v>0.08</x:v>
      </x:c>
      <x:c r="J12" s="114" t="n">
        <x:f>'01_RAW_INPUT'!K12</x:f>
        <x:v>0.05</x:v>
      </x:c>
      <x:c r="K12" s="114" t="n">
        <x:f>'01_RAW_INPUT'!L12</x:f>
        <x:v>0.07</x:v>
      </x:c>
      <x:c r="L12" s="114" t="n">
        <x:f>'01_RAW_INPUT'!M12</x:f>
        <x:v>0.030000000000000027</x:v>
      </x:c>
    </x:row>
    <x:row r="13" ht="20" customHeight="1">
      <x:c r="A13" s="108" t="str">
        <x:f>'01_RAW_INPUT'!A13</x:f>
        <x:v>21Q3</x:v>
      </x:c>
      <x:c r="B13" s="110" t="n">
        <x:f>'01_RAW_INPUT'!B13</x:f>
        <x:v>1800</x:v>
      </x:c>
      <x:c r="C13" s="112" t="n">
        <x:f>'01_RAW_INPUT'!C13</x:f>
        <x:v>4.3</x:v>
      </x:c>
      <x:c r="E13" s="108" t="str">
        <x:f>'01_RAW_INPUT'!F13</x:f>
        <x:v>22Q3</x:v>
      </x:c>
      <x:c r="F13" s="114" t="n">
        <x:f>'01_RAW_INPUT'!G13</x:f>
        <x:v>0.42</x:v>
      </x:c>
      <x:c r="G13" s="114" t="n">
        <x:f>'01_RAW_INPUT'!H13</x:f>
        <x:v>0.28</x:v>
      </x:c>
      <x:c r="H13" s="114" t="n">
        <x:f>'01_RAW_INPUT'!I13</x:f>
        <x:v>0.08</x:v>
      </x:c>
      <x:c r="I13" s="114" t="n">
        <x:f>'01_RAW_INPUT'!J13</x:f>
        <x:v>0.09</x:v>
      </x:c>
      <x:c r="J13" s="114" t="n">
        <x:f>'01_RAW_INPUT'!K13</x:f>
        <x:v>0.05</x:v>
      </x:c>
      <x:c r="K13" s="114" t="n">
        <x:f>'01_RAW_INPUT'!L13</x:f>
        <x:v>0.05</x:v>
      </x:c>
      <x:c r="L13" s="114" t="n">
        <x:f>'01_RAW_INPUT'!M13</x:f>
        <x:v>0.030000000000000027</x:v>
      </x:c>
    </x:row>
    <x:row r="14" ht="20" customHeight="1">
      <x:c r="A14" s="108" t="str">
        <x:f>'01_RAW_INPUT'!A14</x:f>
        <x:v>21Q4</x:v>
      </x:c>
      <x:c r="B14" s="110" t="n">
        <x:f>'01_RAW_INPUT'!B14</x:f>
        <x:v>1520</x:v>
      </x:c>
      <x:c r="C14" s="112" t="n">
        <x:f>'01_RAW_INPUT'!C14</x:f>
        <x:v>4.7</x:v>
      </x:c>
      <x:c r="E14" s="108" t="str">
        <x:f>'01_RAW_INPUT'!F14</x:f>
        <x:v>22Q4</x:v>
      </x:c>
      <x:c r="F14" s="114" t="n">
        <x:f>'01_RAW_INPUT'!G14</x:f>
        <x:v>0.38</x:v>
      </x:c>
      <x:c r="G14" s="114" t="n">
        <x:f>'01_RAW_INPUT'!H14</x:f>
        <x:v>0.29</x:v>
      </x:c>
      <x:c r="H14" s="114" t="n">
        <x:f>'01_RAW_INPUT'!I14</x:f>
        <x:v>0.08</x:v>
      </x:c>
      <x:c r="I14" s="114" t="n">
        <x:f>'01_RAW_INPUT'!J14</x:f>
        <x:v>0.09</x:v>
      </x:c>
      <x:c r="J14" s="114" t="n">
        <x:f>'01_RAW_INPUT'!K14</x:f>
        <x:v>0.05</x:v>
      </x:c>
      <x:c r="K14" s="114" t="n">
        <x:f>'01_RAW_INPUT'!L14</x:f>
        <x:v>0.06</x:v>
      </x:c>
      <x:c r="L14" s="114" t="n">
        <x:f>'01_RAW_INPUT'!M14</x:f>
        <x:v>0.050000000000000044</x:v>
      </x:c>
    </x:row>
    <x:row r="15" ht="20" customHeight="1">
      <x:c r="A15" s="108" t="str">
        <x:f>'01_RAW_INPUT'!A15</x:f>
        <x:v>22Q1</x:v>
      </x:c>
      <x:c r="B15" s="110" t="n">
        <x:f>'01_RAW_INPUT'!B15</x:f>
        <x:v>1410</x:v>
      </x:c>
      <x:c r="C15" s="112" t="n">
        <x:f>'01_RAW_INPUT'!C15</x:f>
        <x:v>5.2</x:v>
      </x:c>
      <x:c r="E15" s="108" t="str">
        <x:f>'01_RAW_INPUT'!F15</x:f>
        <x:v>23Q1</x:v>
      </x:c>
      <x:c r="F15" s="114" t="n">
        <x:f>'01_RAW_INPUT'!G15</x:f>
        <x:v>0.34</x:v>
      </x:c>
      <x:c r="G15" s="114" t="n">
        <x:f>'01_RAW_INPUT'!H15</x:f>
        <x:v>0.31</x:v>
      </x:c>
      <x:c r="H15" s="114" t="n">
        <x:f>'01_RAW_INPUT'!I15</x:f>
        <x:v>0.09</x:v>
      </x:c>
      <x:c r="I15" s="114" t="n">
        <x:f>'01_RAW_INPUT'!J15</x:f>
        <x:v>0.1</x:v>
      </x:c>
      <x:c r="J15" s="114" t="n">
        <x:f>'01_RAW_INPUT'!K15</x:f>
        <x:v>0.05</x:v>
      </x:c>
      <x:c r="K15" s="114" t="n">
        <x:f>'01_RAW_INPUT'!L15</x:f>
        <x:v>0.06</x:v>
      </x:c>
      <x:c r="L15" s="114" t="n">
        <x:f>'01_RAW_INPUT'!M15</x:f>
        <x:v>0.050000000000000044</x:v>
      </x:c>
    </x:row>
    <x:row r="16" ht="20" customHeight="1">
      <x:c r="A16" s="108" t="str">
        <x:f>'01_RAW_INPUT'!A16</x:f>
        <x:v>22Q2</x:v>
      </x:c>
      <x:c r="B16" s="110" t="n">
        <x:f>'01_RAW_INPUT'!B16</x:f>
        <x:v>1330</x:v>
      </x:c>
      <x:c r="C16" s="112" t="n">
        <x:f>'01_RAW_INPUT'!C16</x:f>
        <x:v>4.8</x:v>
      </x:c>
      <x:c r="E16" s="108" t="str">
        <x:f>'01_RAW_INPUT'!F16</x:f>
        <x:v>23Q2</x:v>
      </x:c>
      <x:c r="F16" s="114" t="n">
        <x:f>'01_RAW_INPUT'!G16</x:f>
        <x:v>0.3</x:v>
      </x:c>
      <x:c r="G16" s="114" t="n">
        <x:f>'01_RAW_INPUT'!H16</x:f>
        <x:v>0.33</x:v>
      </x:c>
      <x:c r="H16" s="114" t="n">
        <x:f>'01_RAW_INPUT'!I16</x:f>
        <x:v>0.09</x:v>
      </x:c>
      <x:c r="I16" s="114" t="n">
        <x:f>'01_RAW_INPUT'!J16</x:f>
        <x:v>0.1</x:v>
      </x:c>
      <x:c r="J16" s="114" t="n">
        <x:f>'01_RAW_INPUT'!K16</x:f>
        <x:v>0.05</x:v>
      </x:c>
      <x:c r="K16" s="114" t="n">
        <x:f>'01_RAW_INPUT'!L16</x:f>
        <x:v>0.07</x:v>
      </x:c>
      <x:c r="L16" s="114" t="n">
        <x:f>'01_RAW_INPUT'!M16</x:f>
        <x:v>0.06000000000000005</x:v>
      </x:c>
    </x:row>
    <x:row r="17" ht="20" customHeight="1">
      <x:c r="A17" s="108" t="str">
        <x:f>'01_RAW_INPUT'!A17</x:f>
        <x:v>22Q3</x:v>
      </x:c>
      <x:c r="B17" s="110" t="n">
        <x:f>'01_RAW_INPUT'!B17</x:f>
        <x:v>1480</x:v>
      </x:c>
      <x:c r="C17" s="112" t="n">
        <x:f>'01_RAW_INPUT'!C17</x:f>
        <x:v>5.7</x:v>
      </x:c>
      <x:c r="E17" s="108" t="str">
        <x:f>'01_RAW_INPUT'!F17</x:f>
        <x:v>23Q3</x:v>
      </x:c>
      <x:c r="F17" s="114" t="n">
        <x:f>'01_RAW_INPUT'!G17</x:f>
        <x:v>0.28</x:v>
      </x:c>
      <x:c r="G17" s="114" t="n">
        <x:f>'01_RAW_INPUT'!H17</x:f>
        <x:v>0.34</x:v>
      </x:c>
      <x:c r="H17" s="114" t="n">
        <x:f>'01_RAW_INPUT'!I17</x:f>
        <x:v>0.09</x:v>
      </x:c>
      <x:c r="I17" s="114" t="n">
        <x:f>'01_RAW_INPUT'!J17</x:f>
        <x:v>0.1</x:v>
      </x:c>
      <x:c r="J17" s="114" t="n">
        <x:f>'01_RAW_INPUT'!K17</x:f>
        <x:v>0.05</x:v>
      </x:c>
      <x:c r="K17" s="114" t="n">
        <x:f>'01_RAW_INPUT'!L17</x:f>
        <x:v>0.07</x:v>
      </x:c>
      <x:c r="L17" s="114" t="n">
        <x:f>'01_RAW_INPUT'!M17</x:f>
        <x:v>0.06999999999999984</x:v>
      </x:c>
    </x:row>
    <x:row r="18" ht="20" customHeight="1">
      <x:c r="A18" s="108" t="str">
        <x:f>'01_RAW_INPUT'!A18</x:f>
        <x:v>22Q4</x:v>
      </x:c>
      <x:c r="B18" s="110" t="n">
        <x:f>'01_RAW_INPUT'!B18</x:f>
        <x:v>2520</x:v>
      </x:c>
      <x:c r="C18" s="112" t="n">
        <x:f>'01_RAW_INPUT'!C18</x:f>
        <x:v>5.1</x:v>
      </x:c>
      <x:c r="E18" s="108" t="str">
        <x:f>'01_RAW_INPUT'!F18</x:f>
        <x:v>23Q4</x:v>
      </x:c>
      <x:c r="F18" s="114" t="n">
        <x:f>'01_RAW_INPUT'!G18</x:f>
        <x:v>0.26</x:v>
      </x:c>
      <x:c r="G18" s="114" t="n">
        <x:f>'01_RAW_INPUT'!H18</x:f>
        <x:v>0.35</x:v>
      </x:c>
      <x:c r="H18" s="114" t="n">
        <x:f>'01_RAW_INPUT'!I18</x:f>
        <x:v>0.09</x:v>
      </x:c>
      <x:c r="I18" s="114" t="n">
        <x:f>'01_RAW_INPUT'!J18</x:f>
        <x:v>0.11</x:v>
      </x:c>
      <x:c r="J18" s="114" t="n">
        <x:f>'01_RAW_INPUT'!K18</x:f>
        <x:v>0.05</x:v>
      </x:c>
      <x:c r="K18" s="114" t="n">
        <x:f>'01_RAW_INPUT'!L18</x:f>
        <x:v>0.07</x:v>
      </x:c>
      <x:c r="L18" s="114" t="n">
        <x:f>'01_RAW_INPUT'!M18</x:f>
        <x:v>0.07000000000000006</x:v>
      </x:c>
    </x:row>
    <x:row r="19" ht="20" customHeight="1">
      <x:c r="A19" s="108" t="str">
        <x:f>'01_RAW_INPUT'!A19</x:f>
        <x:v>23Q1</x:v>
      </x:c>
      <x:c r="B19" s="110" t="n">
        <x:f>'01_RAW_INPUT'!B19</x:f>
        <x:v>1980</x:v>
      </x:c>
      <x:c r="C19" s="112" t="n">
        <x:f>'01_RAW_INPUT'!C19</x:f>
        <x:v>4.6</x:v>
      </x:c>
      <x:c r="E19" s="108" t="str">
        <x:f>'01_RAW_INPUT'!F19</x:f>
        <x:v>24Q1</x:v>
      </x:c>
      <x:c r="F19" s="114" t="n">
        <x:f>'01_RAW_INPUT'!G19</x:f>
        <x:v>0.29</x:v>
      </x:c>
      <x:c r="G19" s="114" t="n">
        <x:f>'01_RAW_INPUT'!H19</x:f>
        <x:v>0.34</x:v>
      </x:c>
      <x:c r="H19" s="114" t="n">
        <x:f>'01_RAW_INPUT'!I19</x:f>
        <x:v>0.08</x:v>
      </x:c>
      <x:c r="I19" s="114" t="n">
        <x:f>'01_RAW_INPUT'!J19</x:f>
        <x:v>0.11</x:v>
      </x:c>
      <x:c r="J19" s="114" t="n">
        <x:f>'01_RAW_INPUT'!K19</x:f>
        <x:v>0.05</x:v>
      </x:c>
      <x:c r="K19" s="114" t="n">
        <x:f>'01_RAW_INPUT'!L19</x:f>
        <x:v>0.07</x:v>
      </x:c>
      <x:c r="L19" s="114" t="n">
        <x:f>'01_RAW_INPUT'!M19</x:f>
        <x:v>0.06000000000000005</x:v>
      </x:c>
    </x:row>
    <x:row r="20" ht="20" customHeight="1">
      <x:c r="A20" s="108" t="str">
        <x:f>'01_RAW_INPUT'!A20</x:f>
        <x:v>23Q2</x:v>
      </x:c>
      <x:c r="B20" s="110" t="n">
        <x:f>'01_RAW_INPUT'!B20</x:f>
        <x:v>1710</x:v>
      </x:c>
      <x:c r="C20" s="112" t="n">
        <x:f>'01_RAW_INPUT'!C20</x:f>
        <x:v>5.9</x:v>
      </x:c>
      <x:c r="E20" s="108" t="str">
        <x:f>'01_RAW_INPUT'!F20</x:f>
        <x:v>24Q2</x:v>
      </x:c>
      <x:c r="F20" s="114" t="n">
        <x:f>'01_RAW_INPUT'!G20</x:f>
        <x:v>0.33</x:v>
      </x:c>
      <x:c r="G20" s="114" t="n">
        <x:f>'01_RAW_INPUT'!H20</x:f>
        <x:v>0.32</x:v>
      </x:c>
      <x:c r="H20" s="114" t="n">
        <x:f>'01_RAW_INPUT'!I20</x:f>
        <x:v>0.08</x:v>
      </x:c>
      <x:c r="I20" s="114" t="n">
        <x:f>'01_RAW_INPUT'!J20</x:f>
        <x:v>0.1</x:v>
      </x:c>
      <x:c r="J20" s="114" t="n">
        <x:f>'01_RAW_INPUT'!K20</x:f>
        <x:v>0.05</x:v>
      </x:c>
      <x:c r="K20" s="114" t="n">
        <x:f>'01_RAW_INPUT'!L20</x:f>
        <x:v>0.07</x:v>
      </x:c>
      <x:c r="L20" s="114" t="n">
        <x:f>'01_RAW_INPUT'!M20</x:f>
        <x:v>0.050000000000000044</x:v>
      </x:c>
    </x:row>
    <x:row r="21" ht="20" customHeight="1">
      <x:c r="A21" s="108" t="str">
        <x:f>'01_RAW_INPUT'!A21</x:f>
        <x:v>23Q3</x:v>
      </x:c>
      <x:c r="B21" s="110" t="n">
        <x:f>'01_RAW_INPUT'!B21</x:f>
        <x:v>1580</x:v>
      </x:c>
      <x:c r="C21" s="112" t="n">
        <x:f>'01_RAW_INPUT'!C21</x:f>
        <x:v>13.5</x:v>
      </x:c>
      <x:c r="E21" s="108" t="str">
        <x:f>'01_RAW_INPUT'!F21</x:f>
        <x:v>24Q3</x:v>
      </x:c>
      <x:c r="F21" s="114" t="n">
        <x:f>'01_RAW_INPUT'!G21</x:f>
        <x:v>0.38</x:v>
      </x:c>
      <x:c r="G21" s="114" t="n">
        <x:f>'01_RAW_INPUT'!H21</x:f>
        <x:v>0.29</x:v>
      </x:c>
      <x:c r="H21" s="114" t="n">
        <x:f>'01_RAW_INPUT'!I21</x:f>
        <x:v>0.07</x:v>
      </x:c>
      <x:c r="I21" s="114" t="n">
        <x:f>'01_RAW_INPUT'!J21</x:f>
        <x:v>0.1</x:v>
      </x:c>
      <x:c r="J21" s="114" t="n">
        <x:f>'01_RAW_INPUT'!K21</x:f>
        <x:v>0.05</x:v>
      </x:c>
      <x:c r="K21" s="114" t="n">
        <x:f>'01_RAW_INPUT'!L21</x:f>
        <x:v>0.07</x:v>
      </x:c>
      <x:c r="L21" s="114" t="n">
        <x:f>'01_RAW_INPUT'!M21</x:f>
        <x:v>0.040000000000000036</x:v>
      </x:c>
    </x:row>
    <x:row r="22" ht="20" customHeight="1">
      <x:c r="A22" s="108" t="str">
        <x:f>'01_RAW_INPUT'!A22</x:f>
        <x:v>23Q4</x:v>
      </x:c>
      <x:c r="B22" s="110" t="n">
        <x:f>'01_RAW_INPUT'!B22</x:f>
        <x:v>240</x:v>
      </x:c>
      <x:c r="C22" s="112" t="n">
        <x:f>'01_RAW_INPUT'!C22</x:f>
        <x:v>15.8</x:v>
      </x:c>
      <x:c r="E22" s="108" t="str">
        <x:f>'01_RAW_INPUT'!F22</x:f>
        <x:v>24Q4</x:v>
      </x:c>
      <x:c r="F22" s="114" t="n">
        <x:f>'01_RAW_INPUT'!G22</x:f>
        <x:v>0.42</x:v>
      </x:c>
      <x:c r="G22" s="114" t="n">
        <x:f>'01_RAW_INPUT'!H22</x:f>
        <x:v>0.27</x:v>
      </x:c>
      <x:c r="H22" s="114" t="n">
        <x:f>'01_RAW_INPUT'!I22</x:f>
        <x:v>0.07</x:v>
      </x:c>
      <x:c r="I22" s="114" t="n">
        <x:f>'01_RAW_INPUT'!J22</x:f>
        <x:v>0.09</x:v>
      </x:c>
      <x:c r="J22" s="114" t="n">
        <x:f>'01_RAW_INPUT'!K22</x:f>
        <x:v>0.05</x:v>
      </x:c>
      <x:c r="K22" s="114" t="n">
        <x:f>'01_RAW_INPUT'!L22</x:f>
        <x:v>0.06</x:v>
      </x:c>
      <x:c r="L22" s="114" t="n">
        <x:f>'01_RAW_INPUT'!M22</x:f>
        <x:v>0.040000000000000036</x:v>
      </x:c>
    </x:row>
    <x:row r="23" ht="20" customHeight="1">
      <x:c r="A23" s="108" t="str">
        <x:f>'01_RAW_INPUT'!A23</x:f>
        <x:v>24Q1</x:v>
      </x:c>
      <x:c r="B23" s="110" t="n">
        <x:f>'01_RAW_INPUT'!B23</x:f>
        <x:v>1490</x:v>
      </x:c>
      <x:c r="C23" s="112" t="n">
        <x:f>'01_RAW_INPUT'!C23</x:f>
        <x:v>18.3</x:v>
      </x:c>
      <x:c r="E23" s="108" t="str">
        <x:f>'01_RAW_INPUT'!F23</x:f>
        <x:v>25Q1</x:v>
      </x:c>
      <x:c r="F23" s="114" t="n">
        <x:f>'01_RAW_INPUT'!G23</x:f>
        <x:v>0.46</x:v>
      </x:c>
      <x:c r="G23" s="114" t="n">
        <x:f>'01_RAW_INPUT'!H23</x:f>
        <x:v>0.25</x:v>
      </x:c>
      <x:c r="H23" s="114" t="n">
        <x:f>'01_RAW_INPUT'!I23</x:f>
        <x:v>0.06</x:v>
      </x:c>
      <x:c r="I23" s="114" t="n">
        <x:f>'01_RAW_INPUT'!J23</x:f>
        <x:v>0.09</x:v>
      </x:c>
      <x:c r="J23" s="114" t="n">
        <x:f>'01_RAW_INPUT'!K23</x:f>
        <x:v>0.05</x:v>
      </x:c>
      <x:c r="K23" s="114" t="n">
        <x:f>'01_RAW_INPUT'!L23</x:f>
        <x:v>0.06</x:v>
      </x:c>
      <x:c r="L23" s="114" t="n">
        <x:f>'01_RAW_INPUT'!M23</x:f>
        <x:v>0.030000000000000027</x:v>
      </x:c>
    </x:row>
    <x:row r="24" ht="20" customHeight="1">
      <x:c r="A24" s="108" t="str">
        <x:f>'01_RAW_INPUT'!A24</x:f>
        <x:v>24Q2</x:v>
      </x:c>
      <x:c r="B24" s="110" t="n">
        <x:f>'01_RAW_INPUT'!B24</x:f>
        <x:v>1630</x:v>
      </x:c>
      <x:c r="C24" s="112" t="n">
        <x:f>'01_RAW_INPUT'!C24</x:f>
        <x:v>13.2</x:v>
      </x:c>
      <x:c r="E24" s="108" t="str">
        <x:f>'01_RAW_INPUT'!F24</x:f>
        <x:v>25Q2</x:v>
      </x:c>
      <x:c r="F24" s="114" t="n">
        <x:f>'01_RAW_INPUT'!G24</x:f>
        <x:v>0.5</x:v>
      </x:c>
      <x:c r="G24" s="114" t="n">
        <x:f>'01_RAW_INPUT'!H24</x:f>
        <x:v>0.23</x:v>
      </x:c>
      <x:c r="H24" s="114" t="n">
        <x:f>'01_RAW_INPUT'!I24</x:f>
        <x:v>0.06</x:v>
      </x:c>
      <x:c r="I24" s="114" t="n">
        <x:f>'01_RAW_INPUT'!J24</x:f>
        <x:v>0.08</x:v>
      </x:c>
      <x:c r="J24" s="114" t="n">
        <x:f>'01_RAW_INPUT'!K24</x:f>
        <x:v>0.05</x:v>
      </x:c>
      <x:c r="K24" s="114" t="n">
        <x:f>'01_RAW_INPUT'!L24</x:f>
        <x:v>0.06</x:v>
      </x:c>
      <x:c r="L24" s="114" t="n">
        <x:f>'01_RAW_INPUT'!M24</x:f>
        <x:v>0.020000000000000018</x:v>
      </x:c>
    </x:row>
    <x:row r="25" ht="20" customHeight="1">
      <x:c r="A25" s="108" t="str">
        <x:f>'01_RAW_INPUT'!A25</x:f>
        <x:v>24Q3</x:v>
      </x:c>
      <x:c r="B25" s="110" t="n">
        <x:f>'01_RAW_INPUT'!B25</x:f>
        <x:v>1180</x:v>
      </x:c>
      <x:c r="C25" s="112" t="n">
        <x:f>'01_RAW_INPUT'!C25</x:f>
        <x:v>9.8</x:v>
      </x:c>
      <x:c r="E25" s="108" t="str">
        <x:f>'01_RAW_INPUT'!F25</x:f>
        <x:v>25Q3</x:v>
      </x:c>
      <x:c r="F25" s="114" t="n">
        <x:f>'01_RAW_INPUT'!G25</x:f>
        <x:v>0.55</x:v>
      </x:c>
      <x:c r="G25" s="114" t="n">
        <x:f>'01_RAW_INPUT'!H25</x:f>
        <x:v>0.21</x:v>
      </x:c>
      <x:c r="H25" s="114" t="n">
        <x:f>'01_RAW_INPUT'!I25</x:f>
        <x:v>0.05</x:v>
      </x:c>
      <x:c r="I25" s="114" t="n">
        <x:f>'01_RAW_INPUT'!J25</x:f>
        <x:v>0.07</x:v>
      </x:c>
      <x:c r="J25" s="114" t="n">
        <x:f>'01_RAW_INPUT'!K25</x:f>
        <x:v>0.05</x:v>
      </x:c>
      <x:c r="K25" s="114" t="n">
        <x:f>'01_RAW_INPUT'!L25</x:f>
        <x:v>0.05</x:v>
      </x:c>
      <x:c r="L25" s="114" t="n">
        <x:f>'01_RAW_INPUT'!M25</x:f>
        <x:v>0.019999999999999796</x:v>
      </x:c>
    </x:row>
    <x:row r="26" ht="20" customHeight="1">
      <x:c r="A26" s="108" t="str">
        <x:f>'01_RAW_INPUT'!A26</x:f>
        <x:v>24Q4</x:v>
      </x:c>
      <x:c r="B26" s="110" t="n">
        <x:f>'01_RAW_INPUT'!B26</x:f>
        <x:v>930</x:v>
      </x:c>
      <x:c r="C26" s="112" t="n">
        <x:f>'01_RAW_INPUT'!C26</x:f>
        <x:v>10.6</x:v>
      </x:c>
      <x:c r="E26" s="109" t="str">
        <x:f>'01_RAW_INPUT'!F26</x:f>
        <x:v>25Q4</x:v>
      </x:c>
      <x:c r="F26" s="115" t="n">
        <x:f>'01_RAW_INPUT'!G26</x:f>
        <x:v>0.61</x:v>
      </x:c>
      <x:c r="G26" s="115" t="n">
        <x:f>'01_RAW_INPUT'!H26</x:f>
        <x:v>0.18</x:v>
      </x:c>
      <x:c r="H26" s="115" t="n">
        <x:f>'01_RAW_INPUT'!I26</x:f>
        <x:v>0.04</x:v>
      </x:c>
      <x:c r="I26" s="115" t="n">
        <x:f>'01_RAW_INPUT'!J26</x:f>
        <x:v>0.06</x:v>
      </x:c>
      <x:c r="J26" s="115" t="n">
        <x:f>'01_RAW_INPUT'!K26</x:f>
        <x:v>0.04</x:v>
      </x:c>
      <x:c r="K26" s="115" t="n">
        <x:f>'01_RAW_INPUT'!L26</x:f>
        <x:v>0.04</x:v>
      </x:c>
      <x:c r="L26" s="115" t="n">
        <x:f>'01_RAW_INPUT'!M26</x:f>
        <x:v>0.029999999999999805</x:v>
      </x:c>
    </x:row>
    <x:row r="27" ht="20" customHeight="1">
      <x:c r="A27" s="108" t="str">
        <x:f>'01_RAW_INPUT'!A27</x:f>
        <x:v>25Q1</x:v>
      </x:c>
      <x:c r="B27" s="110" t="n">
        <x:f>'01_RAW_INPUT'!B27</x:f>
        <x:v>1510</x:v>
      </x:c>
      <x:c r="C27" s="112" t="n">
        <x:f>'01_RAW_INPUT'!C27</x:f>
        <x:v>12.4</x:v>
      </x:c>
    </x:row>
    <x:row r="28" ht="20" customHeight="1">
      <x:c r="A28" s="108" t="str">
        <x:f>'01_RAW_INPUT'!A28</x:f>
        <x:v>25Q2</x:v>
      </x:c>
      <x:c r="B28" s="110" t="n">
        <x:f>'01_RAW_INPUT'!B28</x:f>
        <x:v>1320</x:v>
      </x:c>
      <x:c r="C28" s="112" t="n">
        <x:f>'01_RAW_INPUT'!C28</x:f>
        <x:v>9.1</x:v>
      </x:c>
    </x:row>
    <x:row r="29" ht="20" customHeight="1">
      <x:c r="A29" s="108" t="str">
        <x:f>'01_RAW_INPUT'!A29</x:f>
        <x:v>25Q3</x:v>
      </x:c>
      <x:c r="B29" s="110" t="n">
        <x:f>'01_RAW_INPUT'!B29</x:f>
        <x:v>1420</x:v>
      </x:c>
      <x:c r="C29" s="112" t="n">
        <x:f>'01_RAW_INPUT'!C29</x:f>
        <x:v>8.8</x:v>
      </x:c>
    </x:row>
    <x:row r="30" ht="20" customHeight="1">
      <x:c r="A30" s="108" t="str">
        <x:f>'01_RAW_INPUT'!A30</x:f>
        <x:v>25Q4</x:v>
      </x:c>
      <x:c r="B30" s="110" t="n">
        <x:f>'01_RAW_INPUT'!B30</x:f>
        <x:v>1580</x:v>
      </x:c>
      <x:c r="C30" s="112" t="n">
        <x:f>'01_RAW_INPUT'!C30</x:f>
        <x:v>11.7</x:v>
      </x:c>
    </x:row>
    <x:row r="31" ht="20" customHeight="1">
      <x:c r="A31" s="108" t="str">
        <x:f>'01_RAW_INPUT'!A31</x:f>
        <x:v>26Q1</x:v>
      </x:c>
      <x:c r="B31" s="110" t="n">
        <x:f>'01_RAW_INPUT'!B31</x:f>
        <x:v>1980</x:v>
      </x:c>
      <x:c r="C31" s="112" t="n">
        <x:f>'01_RAW_INPUT'!C31</x:f>
        <x:v>17.9</x:v>
      </x:c>
    </x:row>
    <x:row r="32" ht="20" customHeight="1">
      <x:c r="A32" s="108" t="str">
        <x:f>'01_RAW_INPUT'!A32</x:f>
        <x:v>26Q2E</x:v>
      </x:c>
      <x:c r="B32" s="110" t="n">
        <x:f>'01_RAW_INPUT'!B32</x:f>
        <x:v>2140</x:v>
      </x:c>
      <x:c r="C32" s="112" t="n">
        <x:f>'01_RAW_INPUT'!C32</x:f>
        <x:v>22.8</x:v>
      </x:c>
    </x:row>
    <x:row r="33" ht="20" customHeight="1">
      <x:c r="A33" s="108" t="str">
        <x:f>'01_RAW_INPUT'!A33</x:f>
        <x:v>26Q3E</x:v>
      </x:c>
      <x:c r="B33" s="110" t="n">
        <x:f>'01_RAW_INPUT'!B33</x:f>
        <x:v>2460</x:v>
      </x:c>
      <x:c r="C33" s="112" t="n">
        <x:f>'01_RAW_INPUT'!C33</x:f>
        <x:v>25.1</x:v>
      </x:c>
    </x:row>
    <x:row r="34" ht="20" customHeight="1">
      <x:c r="A34" s="109" t="str">
        <x:f>'01_RAW_INPUT'!A34</x:f>
        <x:v>26Q4E</x:v>
      </x:c>
      <x:c r="B34" s="111" t="n">
        <x:f>'01_RAW_INPUT'!B34</x:f>
        <x:v>3010</x:v>
      </x:c>
      <x:c r="C34" s="113" t="n">
        <x:f>'01_RAW_INPUT'!C34</x:f>
        <x:v>31.2</x:v>
      </x:c>
    </x:row>
    <x:row r="38" ht="24" customHeight="1">
      <x:c r="A38" s="11" t="str">
        <x:v>chart_annual_performance</x:v>
      </x:c>
      <x:c r="B38" s="11" t="str">
        <x:v>chart_annual_performance</x:v>
      </x:c>
      <x:c r="C38" s="11" t="str">
        <x:v>chart_annual_performance</x:v>
      </x:c>
      <x:c r="E38" s="11" t="str">
        <x:v>chart_product_mix</x:v>
      </x:c>
      <x:c r="F38" s="11" t="str">
        <x:v>chart_product_mix</x:v>
      </x:c>
      <x:c r="G38" s="11" t="str">
        <x:v>chart_product_mix</x:v>
      </x:c>
    </x:row>
    <x:row r="39" ht="28" customHeight="1">
      <x:c r="A39" s="54" t="str">
        <x:v>year</x:v>
      </x:c>
      <x:c r="B39" s="55" t="str">
        <x:v>revenue_십억원</x:v>
      </x:c>
      <x:c r="C39" s="56" t="str">
        <x:v>opm</x:v>
      </x:c>
      <x:c r="E39" s="54" t="str">
        <x:v>period</x:v>
      </x:c>
      <x:c r="F39" s="55" t="str">
        <x:v>Socket_십억원</x:v>
      </x:c>
      <x:c r="G39" s="56" t="str">
        <x:v>Non_socket_십억원</x:v>
      </x:c>
    </x:row>
    <x:row r="40" ht="20" customHeight="1">
      <x:c r="A40" s="108" t="str">
        <x:f>'01_RAW_INPUT'!A40</x:f>
        <x:v>2019</x:v>
      </x:c>
      <x:c r="B40" s="110" t="n">
        <x:f>'01_RAW_INPUT'!B40</x:f>
        <x:v>88</x:v>
      </x:c>
      <x:c r="C40" s="114" t="n">
        <x:f>'01_RAW_INPUT'!C40</x:f>
        <x:v>0.03</x:v>
      </x:c>
      <x:c r="E40" s="108" t="str">
        <x:f>'01_RAW_INPUT'!F33</x:f>
        <x:v>19Q1</x:v>
      </x:c>
      <x:c r="F40" s="116" t="n">
        <x:f>'01_RAW_INPUT'!G33</x:f>
        <x:v>18</x:v>
      </x:c>
      <x:c r="G40" s="116" t="n">
        <x:f>'01_RAW_INPUT'!H33</x:f>
        <x:v>2</x:v>
      </x:c>
    </x:row>
    <x:row r="41" ht="20" customHeight="1">
      <x:c r="A41" s="108" t="str">
        <x:f>'01_RAW_INPUT'!A41</x:f>
        <x:v>2020</x:v>
      </x:c>
      <x:c r="B41" s="110" t="n">
        <x:f>'01_RAW_INPUT'!B41</x:f>
        <x:v>121</x:v>
      </x:c>
      <x:c r="C41" s="114" t="n">
        <x:f>'01_RAW_INPUT'!C41</x:f>
        <x:v>0.15</x:v>
      </x:c>
      <x:c r="E41" s="108" t="str">
        <x:f>'01_RAW_INPUT'!F34</x:f>
        <x:v>19Q2</x:v>
      </x:c>
      <x:c r="F41" s="116" t="n">
        <x:f>'01_RAW_INPUT'!G34</x:f>
        <x:v>22</x:v>
      </x:c>
      <x:c r="G41" s="116" t="n">
        <x:f>'01_RAW_INPUT'!H34</x:f>
        <x:v>3</x:v>
      </x:c>
    </x:row>
    <x:row r="42" ht="20" customHeight="1">
      <x:c r="A42" s="108" t="str">
        <x:f>'01_RAW_INPUT'!A42</x:f>
        <x:v>2021</x:v>
      </x:c>
      <x:c r="B42" s="110" t="n">
        <x:f>'01_RAW_INPUT'!B42</x:f>
        <x:v>145</x:v>
      </x:c>
      <x:c r="C42" s="114" t="n">
        <x:f>'01_RAW_INPUT'!C42</x:f>
        <x:v>0.26</x:v>
      </x:c>
      <x:c r="E42" s="108" t="str">
        <x:f>'01_RAW_INPUT'!F35</x:f>
        <x:v>19Q3</x:v>
      </x:c>
      <x:c r="F42" s="116" t="n">
        <x:f>'01_RAW_INPUT'!G35</x:f>
        <x:v>17</x:v>
      </x:c>
      <x:c r="G42" s="116" t="n">
        <x:f>'01_RAW_INPUT'!H35</x:f>
        <x:v>3</x:v>
      </x:c>
    </x:row>
    <x:row r="43" ht="20" customHeight="1">
      <x:c r="A43" s="108" t="str">
        <x:f>'01_RAW_INPUT'!A43</x:f>
        <x:v>2022</x:v>
      </x:c>
      <x:c r="B43" s="110" t="n">
        <x:f>'01_RAW_INPUT'!B43</x:f>
        <x:v>178</x:v>
      </x:c>
      <x:c r="C43" s="114" t="n">
        <x:f>'01_RAW_INPUT'!C43</x:f>
        <x:v>0.31</x:v>
      </x:c>
      <x:c r="E43" s="108" t="str">
        <x:f>'01_RAW_INPUT'!F36</x:f>
        <x:v>19Q4</x:v>
      </x:c>
      <x:c r="F43" s="116" t="n">
        <x:f>'01_RAW_INPUT'!G36</x:f>
        <x:v>26</x:v>
      </x:c>
      <x:c r="G43" s="116" t="n">
        <x:f>'01_RAW_INPUT'!H36</x:f>
        <x:v>2</x:v>
      </x:c>
    </x:row>
    <x:row r="44" ht="20" customHeight="1">
      <x:c r="A44" s="108" t="str">
        <x:f>'01_RAW_INPUT'!A44</x:f>
        <x:v>2023</x:v>
      </x:c>
      <x:c r="B44" s="110" t="n">
        <x:f>'01_RAW_INPUT'!B44</x:f>
        <x:v>84</x:v>
      </x:c>
      <x:c r="C44" s="114" t="n">
        <x:f>'01_RAW_INPUT'!C44</x:f>
        <x:v>0.08</x:v>
      </x:c>
      <x:c r="E44" s="108" t="str">
        <x:f>'01_RAW_INPUT'!F37</x:f>
        <x:v>20Q1</x:v>
      </x:c>
      <x:c r="F44" s="116" t="n">
        <x:f>'01_RAW_INPUT'!G37</x:f>
        <x:v>21</x:v>
      </x:c>
      <x:c r="G44" s="116" t="n">
        <x:f>'01_RAW_INPUT'!H37</x:f>
        <x:v>3</x:v>
      </x:c>
    </x:row>
    <x:row r="45" ht="20" customHeight="1">
      <x:c r="A45" s="108" t="str">
        <x:f>'01_RAW_INPUT'!A45</x:f>
        <x:v>2024</x:v>
      </x:c>
      <x:c r="B45" s="110" t="n">
        <x:f>'01_RAW_INPUT'!B45</x:f>
        <x:v>172</x:v>
      </x:c>
      <x:c r="C45" s="114" t="n">
        <x:f>'01_RAW_INPUT'!C45</x:f>
        <x:v>0.25</x:v>
      </x:c>
      <x:c r="E45" s="108" t="str">
        <x:f>'01_RAW_INPUT'!F38</x:f>
        <x:v>20Q2</x:v>
      </x:c>
      <x:c r="F45" s="116" t="n">
        <x:f>'01_RAW_INPUT'!G38</x:f>
        <x:v>28</x:v>
      </x:c>
      <x:c r="G45" s="116" t="n">
        <x:f>'01_RAW_INPUT'!H38</x:f>
        <x:v>4</x:v>
      </x:c>
    </x:row>
    <x:row r="46" ht="20" customHeight="1">
      <x:c r="A46" s="108" t="str">
        <x:f>'01_RAW_INPUT'!A46</x:f>
        <x:v>2025E</x:v>
      </x:c>
      <x:c r="B46" s="110" t="n">
        <x:f>'01_RAW_INPUT'!B46</x:f>
        <x:v>220</x:v>
      </x:c>
      <x:c r="C46" s="114" t="n">
        <x:f>'01_RAW_INPUT'!C46</x:f>
        <x:v>0.27</x:v>
      </x:c>
      <x:c r="E46" s="108" t="str">
        <x:f>'01_RAW_INPUT'!F39</x:f>
        <x:v>20Q3</x:v>
      </x:c>
      <x:c r="F46" s="116" t="n">
        <x:f>'01_RAW_INPUT'!G39</x:f>
        <x:v>37</x:v>
      </x:c>
      <x:c r="G46" s="116" t="n">
        <x:f>'01_RAW_INPUT'!H39</x:f>
        <x:v>2</x:v>
      </x:c>
    </x:row>
    <x:row r="47" ht="20" customHeight="1">
      <x:c r="A47" s="108" t="str">
        <x:f>'01_RAW_INPUT'!A47</x:f>
        <x:v>2026E</x:v>
      </x:c>
      <x:c r="B47" s="110" t="n">
        <x:f>'01_RAW_INPUT'!B47</x:f>
        <x:v>312</x:v>
      </x:c>
      <x:c r="C47" s="114" t="n">
        <x:f>'01_RAW_INPUT'!C47</x:f>
        <x:v>0.31</x:v>
      </x:c>
      <x:c r="E47" s="108" t="str">
        <x:f>'01_RAW_INPUT'!F40</x:f>
        <x:v>20Q4</x:v>
      </x:c>
      <x:c r="F47" s="116" t="n">
        <x:f>'01_RAW_INPUT'!G40</x:f>
        <x:v>31</x:v>
      </x:c>
      <x:c r="G47" s="116" t="n">
        <x:f>'01_RAW_INPUT'!H40</x:f>
        <x:v>4</x:v>
      </x:c>
    </x:row>
    <x:row r="48" ht="20" customHeight="1">
      <x:c r="A48" s="109" t="str">
        <x:f>'01_RAW_INPUT'!A48</x:f>
        <x:v>2027E</x:v>
      </x:c>
      <x:c r="B48" s="111" t="n">
        <x:f>'01_RAW_INPUT'!B48</x:f>
        <x:v>374</x:v>
      </x:c>
      <x:c r="C48" s="115" t="n">
        <x:f>'01_RAW_INPUT'!C48</x:f>
        <x:v>0.33</x:v>
      </x:c>
      <x:c r="E48" s="108" t="str">
        <x:f>'01_RAW_INPUT'!F41</x:f>
        <x:v>21Q1</x:v>
      </x:c>
      <x:c r="F48" s="116" t="n">
        <x:f>'01_RAW_INPUT'!G41</x:f>
        <x:v>24</x:v>
      </x:c>
      <x:c r="G48" s="116" t="n">
        <x:f>'01_RAW_INPUT'!H41</x:f>
        <x:v>3</x:v>
      </x:c>
    </x:row>
    <x:row r="49" ht="20" customHeight="1">
      <x:c r="E49" s="108" t="str">
        <x:f>'01_RAW_INPUT'!F42</x:f>
        <x:v>21Q2</x:v>
      </x:c>
      <x:c r="F49" s="116" t="n">
        <x:f>'01_RAW_INPUT'!G42</x:f>
        <x:v>33</x:v>
      </x:c>
      <x:c r="G49" s="116" t="n">
        <x:f>'01_RAW_INPUT'!H42</x:f>
        <x:v>5</x:v>
      </x:c>
    </x:row>
    <x:row r="50" ht="20" customHeight="1">
      <x:c r="E50" s="108" t="str">
        <x:f>'01_RAW_INPUT'!F43</x:f>
        <x:v>21Q3</x:v>
      </x:c>
      <x:c r="F50" s="116" t="n">
        <x:f>'01_RAW_INPUT'!G43</x:f>
        <x:v>29</x:v>
      </x:c>
      <x:c r="G50" s="116" t="n">
        <x:f>'01_RAW_INPUT'!H43</x:f>
        <x:v>4</x:v>
      </x:c>
    </x:row>
    <x:row r="51" ht="20" customHeight="1">
      <x:c r="E51" s="108" t="str">
        <x:f>'01_RAW_INPUT'!F44</x:f>
        <x:v>21Q4</x:v>
      </x:c>
      <x:c r="F51" s="116" t="n">
        <x:f>'01_RAW_INPUT'!G44</x:f>
        <x:v>34</x:v>
      </x:c>
      <x:c r="G51" s="116" t="n">
        <x:f>'01_RAW_INPUT'!H44</x:f>
        <x:v>5</x:v>
      </x:c>
    </x:row>
    <x:row r="52" ht="20" customHeight="1">
      <x:c r="E52" s="108" t="str">
        <x:f>'01_RAW_INPUT'!F45</x:f>
        <x:v>22Q1</x:v>
      </x:c>
      <x:c r="F52" s="116" t="n">
        <x:f>'01_RAW_INPUT'!G45</x:f>
        <x:v>38</x:v>
      </x:c>
      <x:c r="G52" s="116" t="n">
        <x:f>'01_RAW_INPUT'!H45</x:f>
        <x:v>6</x:v>
      </x:c>
    </x:row>
    <x:row r="53" ht="20" customHeight="1">
      <x:c r="E53" s="108" t="str">
        <x:f>'01_RAW_INPUT'!F46</x:f>
        <x:v>22Q2</x:v>
      </x:c>
      <x:c r="F53" s="116" t="n">
        <x:f>'01_RAW_INPUT'!G46</x:f>
        <x:v>45</x:v>
      </x:c>
      <x:c r="G53" s="116" t="n">
        <x:f>'01_RAW_INPUT'!H46</x:f>
        <x:v>7</x:v>
      </x:c>
    </x:row>
    <x:row r="54" ht="20" customHeight="1">
      <x:c r="E54" s="108" t="str">
        <x:f>'01_RAW_INPUT'!F47</x:f>
        <x:v>22Q3</x:v>
      </x:c>
      <x:c r="F54" s="116" t="n">
        <x:f>'01_RAW_INPUT'!G47</x:f>
        <x:v>49</x:v>
      </x:c>
      <x:c r="G54" s="116" t="n">
        <x:f>'01_RAW_INPUT'!H47</x:f>
        <x:v>5</x:v>
      </x:c>
    </x:row>
    <x:row r="55" ht="20" customHeight="1">
      <x:c r="E55" s="108" t="str">
        <x:f>'01_RAW_INPUT'!F48</x:f>
        <x:v>22Q4</x:v>
      </x:c>
      <x:c r="F55" s="116" t="n">
        <x:f>'01_RAW_INPUT'!G48</x:f>
        <x:v>41</x:v>
      </x:c>
      <x:c r="G55" s="116" t="n">
        <x:f>'01_RAW_INPUT'!H48</x:f>
        <x:v>5</x:v>
      </x:c>
    </x:row>
    <x:row r="56" ht="20" customHeight="1">
      <x:c r="E56" s="108" t="str">
        <x:f>'01_RAW_INPUT'!F49</x:f>
        <x:v>23Q1</x:v>
      </x:c>
      <x:c r="F56" s="116" t="n">
        <x:f>'01_RAW_INPUT'!G49</x:f>
        <x:v>45</x:v>
      </x:c>
      <x:c r="G56" s="116" t="n">
        <x:f>'01_RAW_INPUT'!H49</x:f>
        <x:v>3</x:v>
      </x:c>
    </x:row>
    <x:row r="57" ht="20" customHeight="1">
      <x:c r="E57" s="108" t="str">
        <x:f>'01_RAW_INPUT'!F50</x:f>
        <x:v>23Q2</x:v>
      </x:c>
      <x:c r="F57" s="116" t="n">
        <x:f>'01_RAW_INPUT'!G50</x:f>
        <x:v>34</x:v>
      </x:c>
      <x:c r="G57" s="116" t="n">
        <x:f>'01_RAW_INPUT'!H50</x:f>
        <x:v>4</x:v>
      </x:c>
    </x:row>
    <x:row r="58" ht="20" customHeight="1">
      <x:c r="E58" s="108" t="str">
        <x:f>'01_RAW_INPUT'!F51</x:f>
        <x:v>23Q3</x:v>
      </x:c>
      <x:c r="F58" s="116" t="n">
        <x:f>'01_RAW_INPUT'!G51</x:f>
        <x:v>33</x:v>
      </x:c>
      <x:c r="G58" s="116" t="n">
        <x:f>'01_RAW_INPUT'!H51</x:f>
        <x:v>4</x:v>
      </x:c>
    </x:row>
    <x:row r="59" ht="20" customHeight="1">
      <x:c r="E59" s="108" t="str">
        <x:f>'01_RAW_INPUT'!F52</x:f>
        <x:v>23Q4</x:v>
      </x:c>
      <x:c r="F59" s="116" t="n">
        <x:f>'01_RAW_INPUT'!G52</x:f>
        <x:v>28</x:v>
      </x:c>
      <x:c r="G59" s="116" t="n">
        <x:f>'01_RAW_INPUT'!H52</x:f>
        <x:v>5</x:v>
      </x:c>
    </x:row>
    <x:row r="60" ht="20" customHeight="1">
      <x:c r="E60" s="108" t="str">
        <x:f>'01_RAW_INPUT'!F53</x:f>
        <x:v>24Q1</x:v>
      </x:c>
      <x:c r="F60" s="116" t="n">
        <x:f>'01_RAW_INPUT'!G53</x:f>
        <x:v>24</x:v>
      </x:c>
      <x:c r="G60" s="116" t="n">
        <x:f>'01_RAW_INPUT'!H53</x:f>
        <x:v>4</x:v>
      </x:c>
    </x:row>
    <x:row r="61" ht="20" customHeight="1">
      <x:c r="E61" s="108" t="str">
        <x:f>'01_RAW_INPUT'!F54</x:f>
        <x:v>24Q2</x:v>
      </x:c>
      <x:c r="F61" s="116" t="n">
        <x:f>'01_RAW_INPUT'!G54</x:f>
        <x:v>31</x:v>
      </x:c>
      <x:c r="G61" s="116" t="n">
        <x:f>'01_RAW_INPUT'!H54</x:f>
        <x:v>5</x:v>
      </x:c>
    </x:row>
    <x:row r="62" ht="20" customHeight="1">
      <x:c r="E62" s="108" t="str">
        <x:f>'01_RAW_INPUT'!F55</x:f>
        <x:v>24Q3</x:v>
      </x:c>
      <x:c r="F62" s="116" t="n">
        <x:f>'01_RAW_INPUT'!G55</x:f>
        <x:v>49</x:v>
      </x:c>
      <x:c r="G62" s="116" t="n">
        <x:f>'01_RAW_INPUT'!H55</x:f>
        <x:v>2</x:v>
      </x:c>
    </x:row>
    <x:row r="63" ht="20" customHeight="1">
      <x:c r="E63" s="108" t="str">
        <x:f>'01_RAW_INPUT'!F56</x:f>
        <x:v>24Q4</x:v>
      </x:c>
      <x:c r="F63" s="116" t="n">
        <x:f>'01_RAW_INPUT'!G56</x:f>
        <x:v>50</x:v>
      </x:c>
      <x:c r="G63" s="116" t="n">
        <x:f>'01_RAW_INPUT'!H56</x:f>
        <x:v>2</x:v>
      </x:c>
    </x:row>
    <x:row r="64" ht="20" customHeight="1">
      <x:c r="E64" s="108" t="str">
        <x:f>'01_RAW_INPUT'!F57</x:f>
        <x:v>25Q1</x:v>
      </x:c>
      <x:c r="F64" s="116" t="n">
        <x:f>'01_RAW_INPUT'!G57</x:f>
        <x:v>38</x:v>
      </x:c>
      <x:c r="G64" s="116" t="n">
        <x:f>'01_RAW_INPUT'!H57</x:f>
        <x:v>4</x:v>
      </x:c>
    </x:row>
    <x:row r="65" ht="20" customHeight="1">
      <x:c r="E65" s="108" t="str">
        <x:f>'01_RAW_INPUT'!F58</x:f>
        <x:v>25Q2</x:v>
      </x:c>
      <x:c r="F65" s="116" t="n">
        <x:f>'01_RAW_INPUT'!G58</x:f>
        <x:v>34</x:v>
      </x:c>
      <x:c r="G65" s="116" t="n">
        <x:f>'01_RAW_INPUT'!H58</x:f>
        <x:v>4</x:v>
      </x:c>
    </x:row>
    <x:row r="66" ht="20" customHeight="1">
      <x:c r="E66" s="108" t="str">
        <x:f>'01_RAW_INPUT'!F59</x:f>
        <x:v>25Q3</x:v>
      </x:c>
      <x:c r="F66" s="116" t="n">
        <x:f>'01_RAW_INPUT'!G59</x:f>
        <x:v>29</x:v>
      </x:c>
      <x:c r="G66" s="116" t="n">
        <x:f>'01_RAW_INPUT'!H59</x:f>
        <x:v>4</x:v>
      </x:c>
    </x:row>
    <x:row r="67" ht="20" customHeight="1">
      <x:c r="E67" s="108" t="str">
        <x:f>'01_RAW_INPUT'!F60</x:f>
        <x:v>25Q4</x:v>
      </x:c>
      <x:c r="F67" s="116" t="n">
        <x:f>'01_RAW_INPUT'!G60</x:f>
        <x:v>52</x:v>
      </x:c>
      <x:c r="G67" s="116" t="n">
        <x:f>'01_RAW_INPUT'!H60</x:f>
        <x:v>12</x:v>
      </x:c>
    </x:row>
    <x:row r="68" ht="20" customHeight="1">
      <x:c r="E68" s="108" t="str">
        <x:f>'01_RAW_INPUT'!F61</x:f>
        <x:v>26Q1</x:v>
      </x:c>
      <x:c r="F68" s="116" t="n">
        <x:f>'01_RAW_INPUT'!G61</x:f>
        <x:v>60</x:v>
      </x:c>
      <x:c r="G68" s="116" t="n">
        <x:f>'01_RAW_INPUT'!H61</x:f>
        <x:v>6</x:v>
      </x:c>
    </x:row>
    <x:row r="69" ht="20" customHeight="1">
      <x:c r="E69" s="108" t="str">
        <x:f>'01_RAW_INPUT'!F62</x:f>
        <x:v>26Q2E</x:v>
      </x:c>
      <x:c r="F69" s="116" t="n">
        <x:f>'01_RAW_INPUT'!G62</x:f>
        <x:v>62</x:v>
      </x:c>
      <x:c r="G69" s="116" t="n">
        <x:f>'01_RAW_INPUT'!H62</x:f>
        <x:v>10</x:v>
      </x:c>
    </x:row>
    <x:row r="70" ht="20" customHeight="1">
      <x:c r="E70" s="108" t="str">
        <x:f>'01_RAW_INPUT'!F63</x:f>
        <x:v>26Q3E</x:v>
      </x:c>
      <x:c r="F70" s="116" t="n">
        <x:f>'01_RAW_INPUT'!G63</x:f>
        <x:v>59</x:v>
      </x:c>
      <x:c r="G70" s="116" t="n">
        <x:f>'01_RAW_INPUT'!H63</x:f>
        <x:v>17</x:v>
      </x:c>
    </x:row>
    <x:row r="71" ht="20" customHeight="1">
      <x:c r="E71" s="109" t="str">
        <x:f>'01_RAW_INPUT'!F64</x:f>
        <x:v>26Q4E</x:v>
      </x:c>
      <x:c r="F71" s="117" t="n">
        <x:f>'01_RAW_INPUT'!G64</x:f>
        <x:v>68</x:v>
      </x:c>
      <x:c r="G71" s="117" t="n">
        <x:f>'01_RAW_INPUT'!H64</x:f>
        <x:v>20</x:v>
      </x:c>
    </x:row>
  </x:sheetData>
  <x:mergeCells>
    <x:mergeCell ref="A1:L2"/>
    <x:mergeCell ref="A3:L3"/>
    <x:mergeCell ref="A5:C5"/>
    <x:mergeCell ref="E5:L5"/>
    <x:mergeCell ref="A38:C38"/>
    <x:mergeCell ref="E38:G38"/>
  </x:mergeCells>
  <x:pageMargins left="0.7" right="0.7" top="0.75" bottom="0.75" header="0.3" footer="0.3"/>
  <x:tableParts count="4">
    <x:tablePart xmlns:r="http://schemas.openxmlformats.org/officeDocument/2006/relationships" r:id="R94b68c0fd0344e76"/>
    <x:tablePart xmlns:r="http://schemas.openxmlformats.org/officeDocument/2006/relationships" r:id="R5c6f41f6559e47fc"/>
    <x:tablePart xmlns:r="http://schemas.openxmlformats.org/officeDocument/2006/relationships" r:id="Rd2d179f9fe9d4a71"/>
    <x:tablePart xmlns:r="http://schemas.openxmlformats.org/officeDocument/2006/relationships" r:id="R686c6359108f46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24" hidden="0" customWidth="1"/>
    <x:col min="4" max="4" width="29" hidden="0" customWidth="1"/>
    <x:col min="5" max="5" width="25" hidden="0" customWidth="1"/>
    <x:col min="6" max="6" width="25" hidden="0" customWidth="1"/>
    <x:col min="7" max="7" width="25" hidden="0" customWidth="1"/>
    <x:col min="8" max="8" width="24" hidden="0" customWidth="1"/>
    <x:col min="9" max="9" width="15" hidden="0" customWidth="1"/>
    <x:col min="10" max="10" width="28" hidden="0" customWidth="1"/>
  </x:cols>
  <x:sheetData>
    <x:row r="1" ht="34" customHeight="1">
      <x:c r="A1" s="4" t="str">
        <x:v>02 · CHART MAPPING MANIFEST</x:v>
      </x:c>
      <x:c r="B1" s="4" t="str">
        <x:v>02 · CHART MAPPING MANIFEST</x:v>
      </x:c>
      <x:c r="C1" s="4" t="str">
        <x:v>02 · CHART MAPPING MANIFEST</x:v>
      </x:c>
      <x:c r="D1" s="4" t="str">
        <x:v>02 · CHART MAPPING MANIFEST</x:v>
      </x:c>
      <x:c r="E1" s="4" t="str">
        <x:v>02 · CHART MAPPING MANIFEST</x:v>
      </x:c>
      <x:c r="F1" s="4" t="str">
        <x:v>02 · CHART MAPPING MANIFEST</x:v>
      </x:c>
      <x:c r="G1" s="4" t="str">
        <x:v>02 · CHART MAPPING MANIFEST</x:v>
      </x:c>
      <x:c r="H1" s="4" t="str">
        <x:v>02 · CHART MAPPING MANIFEST</x:v>
      </x:c>
      <x:c r="I1" s="4" t="str">
        <x:v>02 · CHART MAPPING MANIFEST</x:v>
      </x:c>
      <x:c r="J1" s="4" t="str">
        <x:v>02 · CHART MAPPING MANIFEST</x:v>
      </x:c>
    </x:row>
    <x:row r="2" ht="34" customHeight="1">
      <x:c r="A2" s="4" t="str">
        <x:v>02 · CHART MAPPING MANIFEST</x:v>
      </x:c>
      <x:c r="B2" s="4" t="str">
        <x:v>02 · CHART MAPPING MANIFEST</x:v>
      </x:c>
      <x:c r="C2" s="4" t="str">
        <x:v>02 · CHART MAPPING MANIFEST</x:v>
      </x:c>
      <x:c r="D2" s="4" t="str">
        <x:v>02 · CHART MAPPING MANIFEST</x:v>
      </x:c>
      <x:c r="E2" s="4" t="str">
        <x:v>02 · CHART MAPPING MANIFEST</x:v>
      </x:c>
      <x:c r="F2" s="4" t="str">
        <x:v>02 · CHART MAPPING MANIFEST</x:v>
      </x:c>
      <x:c r="G2" s="4" t="str">
        <x:v>02 · CHART MAPPING MANIFEST</x:v>
      </x:c>
      <x:c r="H2" s="4" t="str">
        <x:v>02 · CHART MAPPING MANIFEST</x:v>
      </x:c>
      <x:c r="I2" s="4" t="str">
        <x:v>02 · CHART MAPPING MANIFEST</x:v>
      </x:c>
      <x:c r="J2" s="4" t="str">
        <x:v>02 · CHART MAPPING MANIFEST</x:v>
      </x:c>
    </x:row>
    <x:row r="3">
      <x:c r="A3" s="95" t="str">
        <x:v>PDF의 chart slot과 _REFLO_BRIDGE 테이블을 연결하는 예시입니다. 주소가 아니라 chart_id와 semantic key를 안정 식별자로 사용합니다.</x:v>
      </x:c>
      <x:c r="B3" s="95"/>
      <x:c r="C3" s="95"/>
      <x:c r="D3" s="95"/>
      <x:c r="E3" s="95"/>
      <x:c r="F3" s="95"/>
      <x:c r="G3" s="95"/>
      <x:c r="H3" s="95"/>
      <x:c r="I3" s="95"/>
      <x:c r="J3" s="95"/>
    </x:row>
    <x:row r="5" ht="28" customHeight="1">
      <x:c r="A5" s="54" t="str">
        <x:v>chart_id</x:v>
      </x:c>
      <x:c r="B5" s="55" t="str">
        <x:v>PDF 제목</x:v>
      </x:c>
      <x:c r="C5" s="55" t="str">
        <x:v>template_slot_id</x:v>
      </x:c>
      <x:c r="D5" s="55" t="str">
        <x:v>category_range</x:v>
      </x:c>
      <x:c r="E5" s="55" t="str">
        <x:v>series_1</x:v>
      </x:c>
      <x:c r="F5" s="55" t="str">
        <x:v>series_2</x:v>
      </x:c>
      <x:c r="G5" s="55" t="str">
        <x:v>additional_series</x:v>
      </x:c>
      <x:c r="H5" s="55" t="str">
        <x:v>권장 표현</x:v>
      </x:c>
      <x:c r="I5" s="55" t="str">
        <x:v>단위</x:v>
      </x:c>
      <x:c r="J5" s="56" t="str">
        <x:v>검증 규칙</x:v>
      </x:c>
    </x:row>
    <x:row r="6" ht="44" customHeight="1">
      <x:c r="A6" s="120" t="str">
        <x:v>chart_op_marketcap</x:v>
      </x:c>
      <x:c r="B6" s="121" t="str">
        <x:v>분기 영업이익 vs 시가총액</x:v>
      </x:c>
      <x:c r="C6" s="122" t="str">
        <x:v>p7.op_marketcap</x:v>
      </x:c>
      <x:c r="D6" s="122" t="str">
        <x:v>'_REFLO_BRIDGE'!$A$7:$A$34</x:v>
      </x:c>
      <x:c r="E6" s="122" t="str">
        <x:v>B7:B34 · operating_profit</x:v>
      </x:c>
      <x:c r="F6" s="122" t="str">
        <x:v>C7:C34 · market_cap</x:v>
      </x:c>
      <x:c r="G6" s="122" t="str">
        <x:v>—</x:v>
      </x:c>
      <x:c r="H6" s="121" t="str">
        <x:v>column + line · dual axis</x:v>
      </x:c>
      <x:c r="I6" s="121" t="str">
        <x:v>억원 / 조원</x:v>
      </x:c>
      <x:c r="J6" s="121" t="str">
        <x:v>기간 및 2개 series 길이 일치</x:v>
      </x:c>
    </x:row>
    <x:row r="7" ht="44" customHeight="1">
      <x:c r="A7" s="120" t="str">
        <x:v>chart_application_mix</x:v>
      </x:c>
      <x:c r="B7" s="121" t="str">
        <x:v>애플리케이션별 매출 비중</x:v>
      </x:c>
      <x:c r="C7" s="122" t="str">
        <x:v>p8.application_mix</x:v>
      </x:c>
      <x:c r="D7" s="122" t="str">
        <x:v>'_REFLO_BRIDGE'!$E$7:$E$26</x:v>
      </x:c>
      <x:c r="E7" s="122" t="str">
        <x:v>F7:F26 · 데이터센터</x:v>
      </x:c>
      <x:c r="F7" s="122" t="str">
        <x:v>G7:G26 · 스마트폰</x:v>
      </x:c>
      <x:c r="G7" s="122" t="str">
        <x:v>H:L · 나머지 5개 series</x:v>
      </x:c>
      <x:c r="H7" s="121" t="str">
        <x:v>stacked column</x:v>
      </x:c>
      <x:c r="I7" s="121" t="str">
        <x:v>%</x:v>
      </x:c>
      <x:c r="J7" s="121" t="str">
        <x:v>분기별 합계 100%</x:v>
      </x:c>
    </x:row>
    <x:row r="8" ht="44" customHeight="1">
      <x:c r="A8" s="120" t="str">
        <x:v>chart_annual_performance</x:v>
      </x:c>
      <x:c r="B8" s="121" t="str">
        <x:v>연간 매출액 및 OPM</x:v>
      </x:c>
      <x:c r="C8" s="122" t="str">
        <x:v>p9.annual_performance</x:v>
      </x:c>
      <x:c r="D8" s="122" t="str">
        <x:v>'_REFLO_BRIDGE'!$A$40:$A$48</x:v>
      </x:c>
      <x:c r="E8" s="122" t="str">
        <x:v>B40:B48 · revenue</x:v>
      </x:c>
      <x:c r="F8" s="122" t="str">
        <x:v>C40:C48 · OPM</x:v>
      </x:c>
      <x:c r="G8" s="122" t="str">
        <x:v>—</x:v>
      </x:c>
      <x:c r="H8" s="121" t="str">
        <x:v>column + line · dual axis</x:v>
      </x:c>
      <x:c r="I8" s="121" t="str">
        <x:v>십억원 / %</x:v>
      </x:c>
      <x:c r="J8" s="121" t="str">
        <x:v>Actual·Estimate 구분</x:v>
      </x:c>
    </x:row>
    <x:row r="9" ht="44" customHeight="1">
      <x:c r="A9" s="123" t="str">
        <x:v>chart_product_mix</x:v>
      </x:c>
      <x:c r="B9" s="124" t="str">
        <x:v>제품별 매출</x:v>
      </x:c>
      <x:c r="C9" s="125" t="str">
        <x:v>p10.product_mix</x:v>
      </x:c>
      <x:c r="D9" s="125" t="str">
        <x:v>'_REFLO_BRIDGE'!$E$40:$E$71</x:v>
      </x:c>
      <x:c r="E9" s="125" t="str">
        <x:v>F40:F71 · Socket</x:v>
      </x:c>
      <x:c r="F9" s="125" t="str">
        <x:v>G40:G71 · Non-socket</x:v>
      </x:c>
      <x:c r="G9" s="125" t="str">
        <x:v>—</x:v>
      </x:c>
      <x:c r="H9" s="124" t="str">
        <x:v>stacked column</x:v>
      </x:c>
      <x:c r="I9" s="124" t="str">
        <x:v>십억원</x:v>
      </x:c>
      <x:c r="J9" s="124" t="str">
        <x:v>기간 및 2개 series 길이 일치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b25459a062a34b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34" customHeight="1">
      <x:c r="A1" s="4" t="str">
        <x:v>03 · CHART PREVIEW — 표준 테이블 기반</x:v>
      </x:c>
      <x:c r="B1" s="4" t="str">
        <x:v>03 · CHART PREVIEW — 표준 테이블 기반</x:v>
      </x:c>
      <x:c r="C1" s="4" t="str">
        <x:v>03 · CHART PREVIEW — 표준 테이블 기반</x:v>
      </x:c>
      <x:c r="D1" s="4" t="str">
        <x:v>03 · CHART PREVIEW — 표준 테이블 기반</x:v>
      </x:c>
      <x:c r="E1" s="4" t="str">
        <x:v>03 · CHART PREVIEW — 표준 테이블 기반</x:v>
      </x:c>
      <x:c r="F1" s="4" t="str">
        <x:v>03 · CHART PREVIEW — 표준 테이블 기반</x:v>
      </x:c>
      <x:c r="G1" s="4" t="str">
        <x:v>03 · CHART PREVIEW — 표준 테이블 기반</x:v>
      </x:c>
      <x:c r="H1" s="4" t="str">
        <x:v>03 · CHART PREVIEW — 표준 테이블 기반</x:v>
      </x:c>
      <x:c r="I1" s="4" t="str">
        <x:v>03 · CHART PREVIEW — 표준 테이블 기반</x:v>
      </x:c>
      <x:c r="J1" s="4" t="str">
        <x:v>03 · CHART PREVIEW — 표준 테이블 기반</x:v>
      </x:c>
      <x:c r="K1" s="4" t="str">
        <x:v>03 · CHART PREVIEW — 표준 테이블 기반</x:v>
      </x:c>
      <x:c r="L1" s="4" t="str">
        <x:v>03 · CHART PREVIEW — 표준 테이블 기반</x:v>
      </x:c>
      <x:c r="M1" s="4" t="str">
        <x:v>03 · CHART PREVIEW — 표준 테이블 기반</x:v>
      </x:c>
      <x:c r="N1" s="4" t="str">
        <x:v>03 · CHART PREVIEW — 표준 테이블 기반</x:v>
      </x:c>
      <x:c r="O1" s="4" t="str">
        <x:v>03 · CHART PREVIEW — 표준 테이블 기반</x:v>
      </x:c>
      <x:c r="P1" s="4" t="str">
        <x:v>03 · CHART PREVIEW — 표준 테이블 기반</x:v>
      </x:c>
      <x:c r="Q1" s="4" t="str">
        <x:v>03 · CHART PREVIEW — 표준 테이블 기반</x:v>
      </x:c>
    </x:row>
    <x:row r="2" ht="34" customHeight="1">
      <x:c r="A2" s="4" t="str">
        <x:v>03 · CHART PREVIEW — 표준 테이블 기반</x:v>
      </x:c>
      <x:c r="B2" s="4" t="str">
        <x:v>03 · CHART PREVIEW — 표준 테이블 기반</x:v>
      </x:c>
      <x:c r="C2" s="4" t="str">
        <x:v>03 · CHART PREVIEW — 표준 테이블 기반</x:v>
      </x:c>
      <x:c r="D2" s="4" t="str">
        <x:v>03 · CHART PREVIEW — 표준 테이블 기반</x:v>
      </x:c>
      <x:c r="E2" s="4" t="str">
        <x:v>03 · CHART PREVIEW — 표준 테이블 기반</x:v>
      </x:c>
      <x:c r="F2" s="4" t="str">
        <x:v>03 · CHART PREVIEW — 표준 테이블 기반</x:v>
      </x:c>
      <x:c r="G2" s="4" t="str">
        <x:v>03 · CHART PREVIEW — 표준 테이블 기반</x:v>
      </x:c>
      <x:c r="H2" s="4" t="str">
        <x:v>03 · CHART PREVIEW — 표준 테이블 기반</x:v>
      </x:c>
      <x:c r="I2" s="4" t="str">
        <x:v>03 · CHART PREVIEW — 표준 테이블 기반</x:v>
      </x:c>
      <x:c r="J2" s="4" t="str">
        <x:v>03 · CHART PREVIEW — 표준 테이블 기반</x:v>
      </x:c>
      <x:c r="K2" s="4" t="str">
        <x:v>03 · CHART PREVIEW — 표준 테이블 기반</x:v>
      </x:c>
      <x:c r="L2" s="4" t="str">
        <x:v>03 · CHART PREVIEW — 표준 테이블 기반</x:v>
      </x:c>
      <x:c r="M2" s="4" t="str">
        <x:v>03 · CHART PREVIEW — 표준 테이블 기반</x:v>
      </x:c>
      <x:c r="N2" s="4" t="str">
        <x:v>03 · CHART PREVIEW — 표준 테이블 기반</x:v>
      </x:c>
      <x:c r="O2" s="4" t="str">
        <x:v>03 · CHART PREVIEW — 표준 테이블 기반</x:v>
      </x:c>
      <x:c r="P2" s="4" t="str">
        <x:v>03 · CHART PREVIEW — 표준 테이블 기반</x:v>
      </x:c>
      <x:c r="Q2" s="4" t="str">
        <x:v>03 · CHART PREVIEW — 표준 테이블 기반</x:v>
      </x:c>
    </x:row>
    <x:row r="3">
      <x:c r="A3" s="95" t="str">
        <x:v>Excel 차트는 데이터 연결 확인용입니다. 최종 PDF에서는 Template IR의 원본 디자인으로 다시 렌더링합니다.</x:v>
      </x:c>
      <x:c r="B3" s="95"/>
      <x:c r="C3" s="95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</x:row>
    <x:row r="40">
      <x:c r="A40" s="135"/>
      <x:c r="B40" s="135"/>
      <x:c r="C40" s="135"/>
      <x:c r="D40" s="135"/>
      <x:c r="E40" s="135"/>
      <x:c r="F40" s="135"/>
      <x:c r="G40" s="135"/>
      <x:c r="H40" s="135"/>
      <x:c r="I40" s="135"/>
      <x:c r="J40" s="135"/>
      <x:c r="K40" s="135"/>
      <x:c r="L40" s="135"/>
      <x:c r="M40" s="135"/>
      <x:c r="N40" s="135"/>
      <x:c r="O40" s="135"/>
      <x:c r="P40" s="135"/>
      <x:c r="Q40" s="135"/>
    </x:row>
    <x:row r="41">
      <x:c r="A41" s="131" t="str">
        <x:v>period</x:v>
      </x:c>
      <x:c r="B41" s="131" t="str">
        <x:v>영업이익(억원)</x:v>
      </x:c>
      <x:c r="C41" s="131" t="str">
        <x:v>시가총액(천억원)</x:v>
      </x:c>
      <x:c r="D41" s="135"/>
      <x:c r="E41" s="131" t="str">
        <x:v>period</x:v>
      </x:c>
      <x:c r="F41" s="131" t="str">
        <x:v>데이터센터</x:v>
      </x:c>
      <x:c r="G41" s="131" t="str">
        <x:v>스마트폰</x:v>
      </x:c>
      <x:c r="H41" s="131" t="str">
        <x:v>PC/노트북</x:v>
      </x:c>
      <x:c r="I41" s="131" t="str">
        <x:v>Auto</x:v>
      </x:c>
      <x:c r="J41" s="131" t="str">
        <x:v>Wearable</x:v>
      </x:c>
      <x:c r="K41" s="131" t="str">
        <x:v>LSI</x:v>
      </x:c>
      <x:c r="L41" s="131" t="str">
        <x:v>기타</x:v>
      </x:c>
      <x:c r="M41" s="135"/>
      <x:c r="N41" s="131" t="str">
        <x:v>year</x:v>
      </x:c>
      <x:c r="O41" s="131" t="str">
        <x:v>매출액(십억원)</x:v>
      </x:c>
      <x:c r="P41" s="131" t="str">
        <x:v>OPM × 10</x:v>
      </x:c>
      <x:c r="Q41" s="135"/>
    </x:row>
    <x:row r="42">
      <x:c r="A42" s="131" t="str">
        <x:f>'_REFLO_BRIDGE'!A7</x:f>
        <x:v>20Q1</x:v>
      </x:c>
      <x:c r="B42" s="132" t="n">
        <x:f>'_REFLO_BRIDGE'!B7</x:f>
        <x:v>1180</x:v>
      </x:c>
      <x:c r="C42" s="132" t="n">
        <x:f>'_REFLO_BRIDGE'!C7*100</x:f>
        <x:v>180</x:v>
      </x:c>
      <x:c r="D42" s="135"/>
      <x:c r="E42" s="131" t="str">
        <x:f>'_REFLO_BRIDGE'!E7</x:f>
        <x:v>21Q1</x:v>
      </x:c>
      <x:c r="F42" s="133" t="n">
        <x:f>'_REFLO_BRIDGE'!F7</x:f>
        <x:v>0.24</x:v>
      </x:c>
      <x:c r="G42" s="133" t="n">
        <x:f>'_REFLO_BRIDGE'!G7</x:f>
        <x:v>0.38</x:v>
      </x:c>
      <x:c r="H42" s="133" t="n">
        <x:f>'_REFLO_BRIDGE'!H7</x:f>
        <x:v>0.12</x:v>
      </x:c>
      <x:c r="I42" s="133" t="n">
        <x:f>'_REFLO_BRIDGE'!I7</x:f>
        <x:v>0.07</x:v>
      </x:c>
      <x:c r="J42" s="133" t="n">
        <x:f>'_REFLO_BRIDGE'!J7</x:f>
        <x:v>0.05</x:v>
      </x:c>
      <x:c r="K42" s="133" t="n">
        <x:f>'_REFLO_BRIDGE'!K7</x:f>
        <x:v>0.08</x:v>
      </x:c>
      <x:c r="L42" s="133" t="n">
        <x:f>'_REFLO_BRIDGE'!L7</x:f>
        <x:v>0.05999999999999994</x:v>
      </x:c>
      <x:c r="M42" s="135"/>
      <x:c r="N42" s="131" t="str">
        <x:f>'_REFLO_BRIDGE'!A40</x:f>
        <x:v>2019</x:v>
      </x:c>
      <x:c r="O42" s="132" t="n">
        <x:f>'_REFLO_BRIDGE'!B40</x:f>
        <x:v>88</x:v>
      </x:c>
      <x:c r="P42" s="132" t="n">
        <x:f>'_REFLO_BRIDGE'!C40*1000</x:f>
        <x:v>30</x:v>
      </x:c>
      <x:c r="Q42" s="135"/>
    </x:row>
    <x:row r="43">
      <x:c r="A43" s="131" t="str">
        <x:f>'_REFLO_BRIDGE'!A8</x:f>
        <x:v>20Q2</x:v>
      </x:c>
      <x:c r="B43" s="132" t="n">
        <x:f>'_REFLO_BRIDGE'!B8</x:f>
        <x:v>1320</x:v>
      </x:c>
      <x:c r="C43" s="132" t="n">
        <x:f>'_REFLO_BRIDGE'!C8*100</x:f>
        <x:v>240</x:v>
      </x:c>
      <x:c r="D43" s="135"/>
      <x:c r="E43" s="131" t="str">
        <x:f>'_REFLO_BRIDGE'!E8</x:f>
        <x:v>21Q2</x:v>
      </x:c>
      <x:c r="F43" s="133" t="n">
        <x:f>'_REFLO_BRIDGE'!F8</x:f>
        <x:v>0.26</x:v>
      </x:c>
      <x:c r="G43" s="133" t="n">
        <x:f>'_REFLO_BRIDGE'!G8</x:f>
        <x:v>0.37</x:v>
      </x:c>
      <x:c r="H43" s="133" t="n">
        <x:f>'_REFLO_BRIDGE'!H8</x:f>
        <x:v>0.11</x:v>
      </x:c>
      <x:c r="I43" s="133" t="n">
        <x:f>'_REFLO_BRIDGE'!I8</x:f>
        <x:v>0.07</x:v>
      </x:c>
      <x:c r="J43" s="133" t="n">
        <x:f>'_REFLO_BRIDGE'!J8</x:f>
        <x:v>0.05</x:v>
      </x:c>
      <x:c r="K43" s="133" t="n">
        <x:f>'_REFLO_BRIDGE'!K8</x:f>
        <x:v>0.08</x:v>
      </x:c>
      <x:c r="L43" s="133" t="n">
        <x:f>'_REFLO_BRIDGE'!L8</x:f>
        <x:v>0.05999999999999994</x:v>
      </x:c>
      <x:c r="M43" s="135"/>
      <x:c r="N43" s="131" t="str">
        <x:f>'_REFLO_BRIDGE'!A41</x:f>
        <x:v>2020</x:v>
      </x:c>
      <x:c r="O43" s="132" t="n">
        <x:f>'_REFLO_BRIDGE'!B41</x:f>
        <x:v>121</x:v>
      </x:c>
      <x:c r="P43" s="132" t="n">
        <x:f>'_REFLO_BRIDGE'!C41*1000</x:f>
        <x:v>150</x:v>
      </x:c>
      <x:c r="Q43" s="135"/>
    </x:row>
    <x:row r="44">
      <x:c r="A44" s="131" t="str">
        <x:f>'_REFLO_BRIDGE'!A9</x:f>
        <x:v>20Q3</x:v>
      </x:c>
      <x:c r="B44" s="132" t="n">
        <x:f>'_REFLO_BRIDGE'!B9</x:f>
        <x:v>1040</x:v>
      </x:c>
      <x:c r="C44" s="132" t="n">
        <x:f>'_REFLO_BRIDGE'!C9*100</x:f>
        <x:v>260</x:v>
      </x:c>
      <x:c r="D44" s="135"/>
      <x:c r="E44" s="131" t="str">
        <x:f>'_REFLO_BRIDGE'!E9</x:f>
        <x:v>21Q3</x:v>
      </x:c>
      <x:c r="F44" s="133" t="n">
        <x:f>'_REFLO_BRIDGE'!F9</x:f>
        <x:v>0.28</x:v>
      </x:c>
      <x:c r="G44" s="133" t="n">
        <x:f>'_REFLO_BRIDGE'!G9</x:f>
        <x:v>0.36</x:v>
      </x:c>
      <x:c r="H44" s="133" t="n">
        <x:f>'_REFLO_BRIDGE'!H9</x:f>
        <x:v>0.1</x:v>
      </x:c>
      <x:c r="I44" s="133" t="n">
        <x:f>'_REFLO_BRIDGE'!I9</x:f>
        <x:v>0.08</x:v>
      </x:c>
      <x:c r="J44" s="133" t="n">
        <x:f>'_REFLO_BRIDGE'!J9</x:f>
        <x:v>0.05</x:v>
      </x:c>
      <x:c r="K44" s="133" t="n">
        <x:f>'_REFLO_BRIDGE'!K9</x:f>
        <x:v>0.07</x:v>
      </x:c>
      <x:c r="L44" s="133" t="n">
        <x:f>'_REFLO_BRIDGE'!L9</x:f>
        <x:v>0.06000000000000005</x:v>
      </x:c>
      <x:c r="M44" s="135"/>
      <x:c r="N44" s="131" t="str">
        <x:f>'_REFLO_BRIDGE'!A42</x:f>
        <x:v>2021</x:v>
      </x:c>
      <x:c r="O44" s="132" t="n">
        <x:f>'_REFLO_BRIDGE'!B42</x:f>
        <x:v>145</x:v>
      </x:c>
      <x:c r="P44" s="132" t="n">
        <x:f>'_REFLO_BRIDGE'!C42*1000</x:f>
        <x:v>260</x:v>
      </x:c>
      <x:c r="Q44" s="135"/>
    </x:row>
    <x:row r="45">
      <x:c r="A45" s="131" t="str">
        <x:f>'_REFLO_BRIDGE'!A10</x:f>
        <x:v>20Q4</x:v>
      </x:c>
      <x:c r="B45" s="132" t="n">
        <x:f>'_REFLO_BRIDGE'!B10</x:f>
        <x:v>980</x:v>
      </x:c>
      <x:c r="C45" s="132" t="n">
        <x:f>'_REFLO_BRIDGE'!C10*100</x:f>
        <x:v>290</x:v>
      </x:c>
      <x:c r="D45" s="135"/>
      <x:c r="E45" s="131" t="str">
        <x:f>'_REFLO_BRIDGE'!E10</x:f>
        <x:v>21Q4</x:v>
      </x:c>
      <x:c r="F45" s="133" t="n">
        <x:f>'_REFLO_BRIDGE'!F10</x:f>
        <x:v>0.27</x:v>
      </x:c>
      <x:c r="G45" s="133" t="n">
        <x:f>'_REFLO_BRIDGE'!G10</x:f>
        <x:v>0.36</x:v>
      </x:c>
      <x:c r="H45" s="133" t="n">
        <x:f>'_REFLO_BRIDGE'!H10</x:f>
        <x:v>0.11</x:v>
      </x:c>
      <x:c r="I45" s="133" t="n">
        <x:f>'_REFLO_BRIDGE'!I10</x:f>
        <x:v>0.08</x:v>
      </x:c>
      <x:c r="J45" s="133" t="n">
        <x:f>'_REFLO_BRIDGE'!J10</x:f>
        <x:v>0.05</x:v>
      </x:c>
      <x:c r="K45" s="133" t="n">
        <x:f>'_REFLO_BRIDGE'!K10</x:f>
        <x:v>0.07</x:v>
      </x:c>
      <x:c r="L45" s="133" t="n">
        <x:f>'_REFLO_BRIDGE'!L10</x:f>
        <x:v>0.06000000000000005</x:v>
      </x:c>
      <x:c r="M45" s="135"/>
      <x:c r="N45" s="131" t="str">
        <x:f>'_REFLO_BRIDGE'!A43</x:f>
        <x:v>2022</x:v>
      </x:c>
      <x:c r="O45" s="132" t="n">
        <x:f>'_REFLO_BRIDGE'!B43</x:f>
        <x:v>178</x:v>
      </x:c>
      <x:c r="P45" s="132" t="n">
        <x:f>'_REFLO_BRIDGE'!C43*1000</x:f>
        <x:v>310</x:v>
      </x:c>
      <x:c r="Q45" s="135"/>
    </x:row>
    <x:row r="46">
      <x:c r="A46" s="131" t="str">
        <x:f>'_REFLO_BRIDGE'!A11</x:f>
        <x:v>21Q1</x:v>
      </x:c>
      <x:c r="B46" s="132" t="n">
        <x:f>'_REFLO_BRIDGE'!B11</x:f>
        <x:v>1250</x:v>
      </x:c>
      <x:c r="C46" s="132" t="n">
        <x:f>'_REFLO_BRIDGE'!C11*100</x:f>
        <x:v>340</x:v>
      </x:c>
      <x:c r="D46" s="135"/>
      <x:c r="E46" s="131" t="str">
        <x:f>'_REFLO_BRIDGE'!E11</x:f>
        <x:v>22Q1</x:v>
      </x:c>
      <x:c r="F46" s="133" t="n">
        <x:f>'_REFLO_BRIDGE'!F11</x:f>
        <x:v>0.31</x:v>
      </x:c>
      <x:c r="G46" s="133" t="n">
        <x:f>'_REFLO_BRIDGE'!G11</x:f>
        <x:v>0.35</x:v>
      </x:c>
      <x:c r="H46" s="133" t="n">
        <x:f>'_REFLO_BRIDGE'!H11</x:f>
        <x:v>0.1</x:v>
      </x:c>
      <x:c r="I46" s="133" t="n">
        <x:f>'_REFLO_BRIDGE'!I11</x:f>
        <x:v>0.08</x:v>
      </x:c>
      <x:c r="J46" s="133" t="n">
        <x:f>'_REFLO_BRIDGE'!J11</x:f>
        <x:v>0.05</x:v>
      </x:c>
      <x:c r="K46" s="133" t="n">
        <x:f>'_REFLO_BRIDGE'!K11</x:f>
        <x:v>0.07</x:v>
      </x:c>
      <x:c r="L46" s="133" t="n">
        <x:f>'_REFLO_BRIDGE'!L11</x:f>
        <x:v>0.040000000000000036</x:v>
      </x:c>
      <x:c r="M46" s="135"/>
      <x:c r="N46" s="131" t="str">
        <x:f>'_REFLO_BRIDGE'!A44</x:f>
        <x:v>2023</x:v>
      </x:c>
      <x:c r="O46" s="132" t="n">
        <x:f>'_REFLO_BRIDGE'!B44</x:f>
        <x:v>84</x:v>
      </x:c>
      <x:c r="P46" s="132" t="n">
        <x:f>'_REFLO_BRIDGE'!C44*1000</x:f>
        <x:v>80</x:v>
      </x:c>
      <x:c r="Q46" s="135"/>
    </x:row>
    <x:row r="47">
      <x:c r="A47" s="131" t="str">
        <x:f>'_REFLO_BRIDGE'!A12</x:f>
        <x:v>21Q2</x:v>
      </x:c>
      <x:c r="B47" s="132" t="n">
        <x:f>'_REFLO_BRIDGE'!B12</x:f>
        <x:v>1450</x:v>
      </x:c>
      <x:c r="C47" s="132" t="n">
        <x:f>'_REFLO_BRIDGE'!C12*100</x:f>
        <x:v>380</x:v>
      </x:c>
      <x:c r="D47" s="135"/>
      <x:c r="E47" s="131" t="str">
        <x:f>'_REFLO_BRIDGE'!E12</x:f>
        <x:v>22Q2</x:v>
      </x:c>
      <x:c r="F47" s="133" t="n">
        <x:f>'_REFLO_BRIDGE'!F12</x:f>
        <x:v>0.36</x:v>
      </x:c>
      <x:c r="G47" s="133" t="n">
        <x:f>'_REFLO_BRIDGE'!G12</x:f>
        <x:v>0.32</x:v>
      </x:c>
      <x:c r="H47" s="133" t="n">
        <x:f>'_REFLO_BRIDGE'!H12</x:f>
        <x:v>0.09</x:v>
      </x:c>
      <x:c r="I47" s="133" t="n">
        <x:f>'_REFLO_BRIDGE'!I12</x:f>
        <x:v>0.08</x:v>
      </x:c>
      <x:c r="J47" s="133" t="n">
        <x:f>'_REFLO_BRIDGE'!J12</x:f>
        <x:v>0.05</x:v>
      </x:c>
      <x:c r="K47" s="133" t="n">
        <x:f>'_REFLO_BRIDGE'!K12</x:f>
        <x:v>0.07</x:v>
      </x:c>
      <x:c r="L47" s="133" t="n">
        <x:f>'_REFLO_BRIDGE'!L12</x:f>
        <x:v>0.030000000000000027</x:v>
      </x:c>
      <x:c r="M47" s="135"/>
      <x:c r="N47" s="131" t="str">
        <x:f>'_REFLO_BRIDGE'!A45</x:f>
        <x:v>2024</x:v>
      </x:c>
      <x:c r="O47" s="132" t="n">
        <x:f>'_REFLO_BRIDGE'!B45</x:f>
        <x:v>172</x:v>
      </x:c>
      <x:c r="P47" s="132" t="n">
        <x:f>'_REFLO_BRIDGE'!C45*1000</x:f>
        <x:v>250</x:v>
      </x:c>
      <x:c r="Q47" s="135"/>
    </x:row>
    <x:row r="48">
      <x:c r="A48" s="131" t="str">
        <x:f>'_REFLO_BRIDGE'!A13</x:f>
        <x:v>21Q3</x:v>
      </x:c>
      <x:c r="B48" s="132" t="n">
        <x:f>'_REFLO_BRIDGE'!B13</x:f>
        <x:v>1800</x:v>
      </x:c>
      <x:c r="C48" s="132" t="n">
        <x:f>'_REFLO_BRIDGE'!C13*100</x:f>
        <x:v>430</x:v>
      </x:c>
      <x:c r="D48" s="135"/>
      <x:c r="E48" s="131" t="str">
        <x:f>'_REFLO_BRIDGE'!E13</x:f>
        <x:v>22Q3</x:v>
      </x:c>
      <x:c r="F48" s="133" t="n">
        <x:f>'_REFLO_BRIDGE'!F13</x:f>
        <x:v>0.42</x:v>
      </x:c>
      <x:c r="G48" s="133" t="n">
        <x:f>'_REFLO_BRIDGE'!G13</x:f>
        <x:v>0.28</x:v>
      </x:c>
      <x:c r="H48" s="133" t="n">
        <x:f>'_REFLO_BRIDGE'!H13</x:f>
        <x:v>0.08</x:v>
      </x:c>
      <x:c r="I48" s="133" t="n">
        <x:f>'_REFLO_BRIDGE'!I13</x:f>
        <x:v>0.09</x:v>
      </x:c>
      <x:c r="J48" s="133" t="n">
        <x:f>'_REFLO_BRIDGE'!J13</x:f>
        <x:v>0.05</x:v>
      </x:c>
      <x:c r="K48" s="133" t="n">
        <x:f>'_REFLO_BRIDGE'!K13</x:f>
        <x:v>0.05</x:v>
      </x:c>
      <x:c r="L48" s="133" t="n">
        <x:f>'_REFLO_BRIDGE'!L13</x:f>
        <x:v>0.030000000000000027</x:v>
      </x:c>
      <x:c r="M48" s="135"/>
      <x:c r="N48" s="131" t="str">
        <x:f>'_REFLO_BRIDGE'!A46</x:f>
        <x:v>2025E</x:v>
      </x:c>
      <x:c r="O48" s="132" t="n">
        <x:f>'_REFLO_BRIDGE'!B46</x:f>
        <x:v>220</x:v>
      </x:c>
      <x:c r="P48" s="132" t="n">
        <x:f>'_REFLO_BRIDGE'!C46*1000</x:f>
        <x:v>270</x:v>
      </x:c>
      <x:c r="Q48" s="135"/>
    </x:row>
    <x:row r="49">
      <x:c r="A49" s="131" t="str">
        <x:f>'_REFLO_BRIDGE'!A14</x:f>
        <x:v>21Q4</x:v>
      </x:c>
      <x:c r="B49" s="132" t="n">
        <x:f>'_REFLO_BRIDGE'!B14</x:f>
        <x:v>1520</x:v>
      </x:c>
      <x:c r="C49" s="132" t="n">
        <x:f>'_REFLO_BRIDGE'!C14*100</x:f>
        <x:v>470</x:v>
      </x:c>
      <x:c r="D49" s="135"/>
      <x:c r="E49" s="131" t="str">
        <x:f>'_REFLO_BRIDGE'!E14</x:f>
        <x:v>22Q4</x:v>
      </x:c>
      <x:c r="F49" s="133" t="n">
        <x:f>'_REFLO_BRIDGE'!F14</x:f>
        <x:v>0.38</x:v>
      </x:c>
      <x:c r="G49" s="133" t="n">
        <x:f>'_REFLO_BRIDGE'!G14</x:f>
        <x:v>0.29</x:v>
      </x:c>
      <x:c r="H49" s="133" t="n">
        <x:f>'_REFLO_BRIDGE'!H14</x:f>
        <x:v>0.08</x:v>
      </x:c>
      <x:c r="I49" s="133" t="n">
        <x:f>'_REFLO_BRIDGE'!I14</x:f>
        <x:v>0.09</x:v>
      </x:c>
      <x:c r="J49" s="133" t="n">
        <x:f>'_REFLO_BRIDGE'!J14</x:f>
        <x:v>0.05</x:v>
      </x:c>
      <x:c r="K49" s="133" t="n">
        <x:f>'_REFLO_BRIDGE'!K14</x:f>
        <x:v>0.06</x:v>
      </x:c>
      <x:c r="L49" s="133" t="n">
        <x:f>'_REFLO_BRIDGE'!L14</x:f>
        <x:v>0.050000000000000044</x:v>
      </x:c>
      <x:c r="M49" s="135"/>
      <x:c r="N49" s="131" t="str">
        <x:f>'_REFLO_BRIDGE'!A47</x:f>
        <x:v>2026E</x:v>
      </x:c>
      <x:c r="O49" s="132" t="n">
        <x:f>'_REFLO_BRIDGE'!B47</x:f>
        <x:v>312</x:v>
      </x:c>
      <x:c r="P49" s="132" t="n">
        <x:f>'_REFLO_BRIDGE'!C47*1000</x:f>
        <x:v>310</x:v>
      </x:c>
      <x:c r="Q49" s="135"/>
    </x:row>
    <x:row r="50">
      <x:c r="A50" s="131" t="str">
        <x:f>'_REFLO_BRIDGE'!A15</x:f>
        <x:v>22Q1</x:v>
      </x:c>
      <x:c r="B50" s="132" t="n">
        <x:f>'_REFLO_BRIDGE'!B15</x:f>
        <x:v>1410</x:v>
      </x:c>
      <x:c r="C50" s="132" t="n">
        <x:f>'_REFLO_BRIDGE'!C15*100</x:f>
        <x:v>520</x:v>
      </x:c>
      <x:c r="D50" s="135"/>
      <x:c r="E50" s="131" t="str">
        <x:f>'_REFLO_BRIDGE'!E15</x:f>
        <x:v>23Q1</x:v>
      </x:c>
      <x:c r="F50" s="133" t="n">
        <x:f>'_REFLO_BRIDGE'!F15</x:f>
        <x:v>0.34</x:v>
      </x:c>
      <x:c r="G50" s="133" t="n">
        <x:f>'_REFLO_BRIDGE'!G15</x:f>
        <x:v>0.31</x:v>
      </x:c>
      <x:c r="H50" s="133" t="n">
        <x:f>'_REFLO_BRIDGE'!H15</x:f>
        <x:v>0.09</x:v>
      </x:c>
      <x:c r="I50" s="133" t="n">
        <x:f>'_REFLO_BRIDGE'!I15</x:f>
        <x:v>0.1</x:v>
      </x:c>
      <x:c r="J50" s="133" t="n">
        <x:f>'_REFLO_BRIDGE'!J15</x:f>
        <x:v>0.05</x:v>
      </x:c>
      <x:c r="K50" s="133" t="n">
        <x:f>'_REFLO_BRIDGE'!K15</x:f>
        <x:v>0.06</x:v>
      </x:c>
      <x:c r="L50" s="133" t="n">
        <x:f>'_REFLO_BRIDGE'!L15</x:f>
        <x:v>0.050000000000000044</x:v>
      </x:c>
      <x:c r="M50" s="135"/>
      <x:c r="N50" s="131" t="str">
        <x:f>'_REFLO_BRIDGE'!A48</x:f>
        <x:v>2027E</x:v>
      </x:c>
      <x:c r="O50" s="132" t="n">
        <x:f>'_REFLO_BRIDGE'!B48</x:f>
        <x:v>374</x:v>
      </x:c>
      <x:c r="P50" s="132" t="n">
        <x:f>'_REFLO_BRIDGE'!C48*1000</x:f>
        <x:v>330</x:v>
      </x:c>
      <x:c r="Q50" s="135"/>
    </x:row>
    <x:row r="51">
      <x:c r="A51" s="131" t="str">
        <x:f>'_REFLO_BRIDGE'!A16</x:f>
        <x:v>22Q2</x:v>
      </x:c>
      <x:c r="B51" s="132" t="n">
        <x:f>'_REFLO_BRIDGE'!B16</x:f>
        <x:v>1330</x:v>
      </x:c>
      <x:c r="C51" s="132" t="n">
        <x:f>'_REFLO_BRIDGE'!C16*100</x:f>
        <x:v>480</x:v>
      </x:c>
      <x:c r="D51" s="135"/>
      <x:c r="E51" s="131" t="str">
        <x:f>'_REFLO_BRIDGE'!E16</x:f>
        <x:v>23Q2</x:v>
      </x:c>
      <x:c r="F51" s="133" t="n">
        <x:f>'_REFLO_BRIDGE'!F16</x:f>
        <x:v>0.3</x:v>
      </x:c>
      <x:c r="G51" s="133" t="n">
        <x:f>'_REFLO_BRIDGE'!G16</x:f>
        <x:v>0.33</x:v>
      </x:c>
      <x:c r="H51" s="133" t="n">
        <x:f>'_REFLO_BRIDGE'!H16</x:f>
        <x:v>0.09</x:v>
      </x:c>
      <x:c r="I51" s="133" t="n">
        <x:f>'_REFLO_BRIDGE'!I16</x:f>
        <x:v>0.1</x:v>
      </x:c>
      <x:c r="J51" s="133" t="n">
        <x:f>'_REFLO_BRIDGE'!J16</x:f>
        <x:v>0.05</x:v>
      </x:c>
      <x:c r="K51" s="133" t="n">
        <x:f>'_REFLO_BRIDGE'!K16</x:f>
        <x:v>0.07</x:v>
      </x:c>
      <x:c r="L51" s="133" t="n">
        <x:f>'_REFLO_BRIDGE'!L16</x:f>
        <x:v>0.06000000000000005</x:v>
      </x:c>
      <x:c r="M51" s="135"/>
      <x:c r="N51" s="135"/>
      <x:c r="O51" s="135"/>
      <x:c r="P51" s="135"/>
      <x:c r="Q51" s="135"/>
    </x:row>
    <x:row r="52">
      <x:c r="A52" s="131" t="str">
        <x:f>'_REFLO_BRIDGE'!A17</x:f>
        <x:v>22Q3</x:v>
      </x:c>
      <x:c r="B52" s="132" t="n">
        <x:f>'_REFLO_BRIDGE'!B17</x:f>
        <x:v>1480</x:v>
      </x:c>
      <x:c r="C52" s="132" t="n">
        <x:f>'_REFLO_BRIDGE'!C17*100</x:f>
        <x:v>570</x:v>
      </x:c>
      <x:c r="D52" s="135"/>
      <x:c r="E52" s="131" t="str">
        <x:f>'_REFLO_BRIDGE'!E17</x:f>
        <x:v>23Q3</x:v>
      </x:c>
      <x:c r="F52" s="133" t="n">
        <x:f>'_REFLO_BRIDGE'!F17</x:f>
        <x:v>0.28</x:v>
      </x:c>
      <x:c r="G52" s="133" t="n">
        <x:f>'_REFLO_BRIDGE'!G17</x:f>
        <x:v>0.34</x:v>
      </x:c>
      <x:c r="H52" s="133" t="n">
        <x:f>'_REFLO_BRIDGE'!H17</x:f>
        <x:v>0.09</x:v>
      </x:c>
      <x:c r="I52" s="133" t="n">
        <x:f>'_REFLO_BRIDGE'!I17</x:f>
        <x:v>0.1</x:v>
      </x:c>
      <x:c r="J52" s="133" t="n">
        <x:f>'_REFLO_BRIDGE'!J17</x:f>
        <x:v>0.05</x:v>
      </x:c>
      <x:c r="K52" s="133" t="n">
        <x:f>'_REFLO_BRIDGE'!K17</x:f>
        <x:v>0.07</x:v>
      </x:c>
      <x:c r="L52" s="133" t="n">
        <x:f>'_REFLO_BRIDGE'!L17</x:f>
        <x:v>0.06999999999999984</x:v>
      </x:c>
      <x:c r="M52" s="135"/>
      <x:c r="N52" s="135"/>
      <x:c r="O52" s="135"/>
      <x:c r="P52" s="135"/>
      <x:c r="Q52" s="135"/>
    </x:row>
    <x:row r="53">
      <x:c r="A53" s="131" t="str">
        <x:f>'_REFLO_BRIDGE'!A18</x:f>
        <x:v>22Q4</x:v>
      </x:c>
      <x:c r="B53" s="132" t="n">
        <x:f>'_REFLO_BRIDGE'!B18</x:f>
        <x:v>2520</x:v>
      </x:c>
      <x:c r="C53" s="132" t="n">
        <x:f>'_REFLO_BRIDGE'!C18*100</x:f>
        <x:v>509.99999999999994</x:v>
      </x:c>
      <x:c r="D53" s="135"/>
      <x:c r="E53" s="131" t="str">
        <x:f>'_REFLO_BRIDGE'!E18</x:f>
        <x:v>23Q4</x:v>
      </x:c>
      <x:c r="F53" s="133" t="n">
        <x:f>'_REFLO_BRIDGE'!F18</x:f>
        <x:v>0.26</x:v>
      </x:c>
      <x:c r="G53" s="133" t="n">
        <x:f>'_REFLO_BRIDGE'!G18</x:f>
        <x:v>0.35</x:v>
      </x:c>
      <x:c r="H53" s="133" t="n">
        <x:f>'_REFLO_BRIDGE'!H18</x:f>
        <x:v>0.09</x:v>
      </x:c>
      <x:c r="I53" s="133" t="n">
        <x:f>'_REFLO_BRIDGE'!I18</x:f>
        <x:v>0.11</x:v>
      </x:c>
      <x:c r="J53" s="133" t="n">
        <x:f>'_REFLO_BRIDGE'!J18</x:f>
        <x:v>0.05</x:v>
      </x:c>
      <x:c r="K53" s="133" t="n">
        <x:f>'_REFLO_BRIDGE'!K18</x:f>
        <x:v>0.07</x:v>
      </x:c>
      <x:c r="L53" s="133" t="n">
        <x:f>'_REFLO_BRIDGE'!L18</x:f>
        <x:v>0.07000000000000006</x:v>
      </x:c>
      <x:c r="M53" s="135"/>
      <x:c r="N53" s="135"/>
      <x:c r="O53" s="135"/>
      <x:c r="P53" s="135"/>
      <x:c r="Q53" s="135"/>
    </x:row>
    <x:row r="54">
      <x:c r="A54" s="131" t="str">
        <x:f>'_REFLO_BRIDGE'!A19</x:f>
        <x:v>23Q1</x:v>
      </x:c>
      <x:c r="B54" s="132" t="n">
        <x:f>'_REFLO_BRIDGE'!B19</x:f>
        <x:v>1980</x:v>
      </x:c>
      <x:c r="C54" s="132" t="n">
        <x:f>'_REFLO_BRIDGE'!C19*100</x:f>
        <x:v>459.99999999999994</x:v>
      </x:c>
      <x:c r="D54" s="135"/>
      <x:c r="E54" s="131" t="str">
        <x:f>'_REFLO_BRIDGE'!E19</x:f>
        <x:v>24Q1</x:v>
      </x:c>
      <x:c r="F54" s="133" t="n">
        <x:f>'_REFLO_BRIDGE'!F19</x:f>
        <x:v>0.29</x:v>
      </x:c>
      <x:c r="G54" s="133" t="n">
        <x:f>'_REFLO_BRIDGE'!G19</x:f>
        <x:v>0.34</x:v>
      </x:c>
      <x:c r="H54" s="133" t="n">
        <x:f>'_REFLO_BRIDGE'!H19</x:f>
        <x:v>0.08</x:v>
      </x:c>
      <x:c r="I54" s="133" t="n">
        <x:f>'_REFLO_BRIDGE'!I19</x:f>
        <x:v>0.11</x:v>
      </x:c>
      <x:c r="J54" s="133" t="n">
        <x:f>'_REFLO_BRIDGE'!J19</x:f>
        <x:v>0.05</x:v>
      </x:c>
      <x:c r="K54" s="133" t="n">
        <x:f>'_REFLO_BRIDGE'!K19</x:f>
        <x:v>0.07</x:v>
      </x:c>
      <x:c r="L54" s="133" t="n">
        <x:f>'_REFLO_BRIDGE'!L19</x:f>
        <x:v>0.06000000000000005</x:v>
      </x:c>
      <x:c r="M54" s="135"/>
      <x:c r="N54" s="131" t="str">
        <x:v>period</x:v>
      </x:c>
      <x:c r="O54" s="131" t="str">
        <x:v>Socket</x:v>
      </x:c>
      <x:c r="P54" s="131" t="str">
        <x:v>Non-socket</x:v>
      </x:c>
      <x:c r="Q54" s="135"/>
    </x:row>
    <x:row r="55">
      <x:c r="A55" s="131" t="str">
        <x:f>'_REFLO_BRIDGE'!A20</x:f>
        <x:v>23Q2</x:v>
      </x:c>
      <x:c r="B55" s="132" t="n">
        <x:f>'_REFLO_BRIDGE'!B20</x:f>
        <x:v>1710</x:v>
      </x:c>
      <x:c r="C55" s="132" t="n">
        <x:f>'_REFLO_BRIDGE'!C20*100</x:f>
        <x:v>590</x:v>
      </x:c>
      <x:c r="D55" s="135"/>
      <x:c r="E55" s="131" t="str">
        <x:f>'_REFLO_BRIDGE'!E20</x:f>
        <x:v>24Q2</x:v>
      </x:c>
      <x:c r="F55" s="133" t="n">
        <x:f>'_REFLO_BRIDGE'!F20</x:f>
        <x:v>0.33</x:v>
      </x:c>
      <x:c r="G55" s="133" t="n">
        <x:f>'_REFLO_BRIDGE'!G20</x:f>
        <x:v>0.32</x:v>
      </x:c>
      <x:c r="H55" s="133" t="n">
        <x:f>'_REFLO_BRIDGE'!H20</x:f>
        <x:v>0.08</x:v>
      </x:c>
      <x:c r="I55" s="133" t="n">
        <x:f>'_REFLO_BRIDGE'!I20</x:f>
        <x:v>0.1</x:v>
      </x:c>
      <x:c r="J55" s="133" t="n">
        <x:f>'_REFLO_BRIDGE'!J20</x:f>
        <x:v>0.05</x:v>
      </x:c>
      <x:c r="K55" s="133" t="n">
        <x:f>'_REFLO_BRIDGE'!K20</x:f>
        <x:v>0.07</x:v>
      </x:c>
      <x:c r="L55" s="133" t="n">
        <x:f>'_REFLO_BRIDGE'!L20</x:f>
        <x:v>0.050000000000000044</x:v>
      </x:c>
      <x:c r="M55" s="135"/>
      <x:c r="N55" s="131" t="str">
        <x:f>'_REFLO_BRIDGE'!E40</x:f>
        <x:v>19Q1</x:v>
      </x:c>
      <x:c r="O55" s="134" t="n">
        <x:f>'_REFLO_BRIDGE'!F40</x:f>
        <x:v>18</x:v>
      </x:c>
      <x:c r="P55" s="134" t="n">
        <x:f>'_REFLO_BRIDGE'!G40</x:f>
        <x:v>2</x:v>
      </x:c>
      <x:c r="Q55" s="135"/>
    </x:row>
    <x:row r="56">
      <x:c r="A56" s="131" t="str">
        <x:f>'_REFLO_BRIDGE'!A21</x:f>
        <x:v>23Q3</x:v>
      </x:c>
      <x:c r="B56" s="132" t="n">
        <x:f>'_REFLO_BRIDGE'!B21</x:f>
        <x:v>1580</x:v>
      </x:c>
      <x:c r="C56" s="132" t="n">
        <x:f>'_REFLO_BRIDGE'!C21*100</x:f>
        <x:v>1350</x:v>
      </x:c>
      <x:c r="D56" s="135"/>
      <x:c r="E56" s="131" t="str">
        <x:f>'_REFLO_BRIDGE'!E21</x:f>
        <x:v>24Q3</x:v>
      </x:c>
      <x:c r="F56" s="133" t="n">
        <x:f>'_REFLO_BRIDGE'!F21</x:f>
        <x:v>0.38</x:v>
      </x:c>
      <x:c r="G56" s="133" t="n">
        <x:f>'_REFLO_BRIDGE'!G21</x:f>
        <x:v>0.29</x:v>
      </x:c>
      <x:c r="H56" s="133" t="n">
        <x:f>'_REFLO_BRIDGE'!H21</x:f>
        <x:v>0.07</x:v>
      </x:c>
      <x:c r="I56" s="133" t="n">
        <x:f>'_REFLO_BRIDGE'!I21</x:f>
        <x:v>0.1</x:v>
      </x:c>
      <x:c r="J56" s="133" t="n">
        <x:f>'_REFLO_BRIDGE'!J21</x:f>
        <x:v>0.05</x:v>
      </x:c>
      <x:c r="K56" s="133" t="n">
        <x:f>'_REFLO_BRIDGE'!K21</x:f>
        <x:v>0.07</x:v>
      </x:c>
      <x:c r="L56" s="133" t="n">
        <x:f>'_REFLO_BRIDGE'!L21</x:f>
        <x:v>0.040000000000000036</x:v>
      </x:c>
      <x:c r="M56" s="135"/>
      <x:c r="N56" s="131" t="str">
        <x:f>'_REFLO_BRIDGE'!E41</x:f>
        <x:v>19Q2</x:v>
      </x:c>
      <x:c r="O56" s="134" t="n">
        <x:f>'_REFLO_BRIDGE'!F41</x:f>
        <x:v>22</x:v>
      </x:c>
      <x:c r="P56" s="134" t="n">
        <x:f>'_REFLO_BRIDGE'!G41</x:f>
        <x:v>3</x:v>
      </x:c>
      <x:c r="Q56" s="135"/>
    </x:row>
    <x:row r="57">
      <x:c r="A57" s="131" t="str">
        <x:f>'_REFLO_BRIDGE'!A22</x:f>
        <x:v>23Q4</x:v>
      </x:c>
      <x:c r="B57" s="132" t="n">
        <x:f>'_REFLO_BRIDGE'!B22</x:f>
        <x:v>240</x:v>
      </x:c>
      <x:c r="C57" s="132" t="n">
        <x:f>'_REFLO_BRIDGE'!C22*100</x:f>
        <x:v>1580</x:v>
      </x:c>
      <x:c r="D57" s="135"/>
      <x:c r="E57" s="131" t="str">
        <x:f>'_REFLO_BRIDGE'!E22</x:f>
        <x:v>24Q4</x:v>
      </x:c>
      <x:c r="F57" s="133" t="n">
        <x:f>'_REFLO_BRIDGE'!F22</x:f>
        <x:v>0.42</x:v>
      </x:c>
      <x:c r="G57" s="133" t="n">
        <x:f>'_REFLO_BRIDGE'!G22</x:f>
        <x:v>0.27</x:v>
      </x:c>
      <x:c r="H57" s="133" t="n">
        <x:f>'_REFLO_BRIDGE'!H22</x:f>
        <x:v>0.07</x:v>
      </x:c>
      <x:c r="I57" s="133" t="n">
        <x:f>'_REFLO_BRIDGE'!I22</x:f>
        <x:v>0.09</x:v>
      </x:c>
      <x:c r="J57" s="133" t="n">
        <x:f>'_REFLO_BRIDGE'!J22</x:f>
        <x:v>0.05</x:v>
      </x:c>
      <x:c r="K57" s="133" t="n">
        <x:f>'_REFLO_BRIDGE'!K22</x:f>
        <x:v>0.06</x:v>
      </x:c>
      <x:c r="L57" s="133" t="n">
        <x:f>'_REFLO_BRIDGE'!L22</x:f>
        <x:v>0.040000000000000036</x:v>
      </x:c>
      <x:c r="M57" s="135"/>
      <x:c r="N57" s="131" t="str">
        <x:f>'_REFLO_BRIDGE'!E42</x:f>
        <x:v>19Q3</x:v>
      </x:c>
      <x:c r="O57" s="134" t="n">
        <x:f>'_REFLO_BRIDGE'!F42</x:f>
        <x:v>17</x:v>
      </x:c>
      <x:c r="P57" s="134" t="n">
        <x:f>'_REFLO_BRIDGE'!G42</x:f>
        <x:v>3</x:v>
      </x:c>
      <x:c r="Q57" s="135"/>
    </x:row>
    <x:row r="58">
      <x:c r="A58" s="131" t="str">
        <x:f>'_REFLO_BRIDGE'!A23</x:f>
        <x:v>24Q1</x:v>
      </x:c>
      <x:c r="B58" s="132" t="n">
        <x:f>'_REFLO_BRIDGE'!B23</x:f>
        <x:v>1490</x:v>
      </x:c>
      <x:c r="C58" s="132" t="n">
        <x:f>'_REFLO_BRIDGE'!C23*100</x:f>
        <x:v>1830</x:v>
      </x:c>
      <x:c r="D58" s="135"/>
      <x:c r="E58" s="131" t="str">
        <x:f>'_REFLO_BRIDGE'!E23</x:f>
        <x:v>25Q1</x:v>
      </x:c>
      <x:c r="F58" s="133" t="n">
        <x:f>'_REFLO_BRIDGE'!F23</x:f>
        <x:v>0.46</x:v>
      </x:c>
      <x:c r="G58" s="133" t="n">
        <x:f>'_REFLO_BRIDGE'!G23</x:f>
        <x:v>0.25</x:v>
      </x:c>
      <x:c r="H58" s="133" t="n">
        <x:f>'_REFLO_BRIDGE'!H23</x:f>
        <x:v>0.06</x:v>
      </x:c>
      <x:c r="I58" s="133" t="n">
        <x:f>'_REFLO_BRIDGE'!I23</x:f>
        <x:v>0.09</x:v>
      </x:c>
      <x:c r="J58" s="133" t="n">
        <x:f>'_REFLO_BRIDGE'!J23</x:f>
        <x:v>0.05</x:v>
      </x:c>
      <x:c r="K58" s="133" t="n">
        <x:f>'_REFLO_BRIDGE'!K23</x:f>
        <x:v>0.06</x:v>
      </x:c>
      <x:c r="L58" s="133" t="n">
        <x:f>'_REFLO_BRIDGE'!L23</x:f>
        <x:v>0.030000000000000027</x:v>
      </x:c>
      <x:c r="M58" s="135"/>
      <x:c r="N58" s="131" t="str">
        <x:f>'_REFLO_BRIDGE'!E43</x:f>
        <x:v>19Q4</x:v>
      </x:c>
      <x:c r="O58" s="134" t="n">
        <x:f>'_REFLO_BRIDGE'!F43</x:f>
        <x:v>26</x:v>
      </x:c>
      <x:c r="P58" s="134" t="n">
        <x:f>'_REFLO_BRIDGE'!G43</x:f>
        <x:v>2</x:v>
      </x:c>
      <x:c r="Q58" s="135"/>
    </x:row>
    <x:row r="59">
      <x:c r="A59" s="131" t="str">
        <x:f>'_REFLO_BRIDGE'!A24</x:f>
        <x:v>24Q2</x:v>
      </x:c>
      <x:c r="B59" s="132" t="n">
        <x:f>'_REFLO_BRIDGE'!B24</x:f>
        <x:v>1630</x:v>
      </x:c>
      <x:c r="C59" s="132" t="n">
        <x:f>'_REFLO_BRIDGE'!C24*100</x:f>
        <x:v>1320</x:v>
      </x:c>
      <x:c r="D59" s="135"/>
      <x:c r="E59" s="131" t="str">
        <x:f>'_REFLO_BRIDGE'!E24</x:f>
        <x:v>25Q2</x:v>
      </x:c>
      <x:c r="F59" s="133" t="n">
        <x:f>'_REFLO_BRIDGE'!F24</x:f>
        <x:v>0.5</x:v>
      </x:c>
      <x:c r="G59" s="133" t="n">
        <x:f>'_REFLO_BRIDGE'!G24</x:f>
        <x:v>0.23</x:v>
      </x:c>
      <x:c r="H59" s="133" t="n">
        <x:f>'_REFLO_BRIDGE'!H24</x:f>
        <x:v>0.06</x:v>
      </x:c>
      <x:c r="I59" s="133" t="n">
        <x:f>'_REFLO_BRIDGE'!I24</x:f>
        <x:v>0.08</x:v>
      </x:c>
      <x:c r="J59" s="133" t="n">
        <x:f>'_REFLO_BRIDGE'!J24</x:f>
        <x:v>0.05</x:v>
      </x:c>
      <x:c r="K59" s="133" t="n">
        <x:f>'_REFLO_BRIDGE'!K24</x:f>
        <x:v>0.06</x:v>
      </x:c>
      <x:c r="L59" s="133" t="n">
        <x:f>'_REFLO_BRIDGE'!L24</x:f>
        <x:v>0.020000000000000018</x:v>
      </x:c>
      <x:c r="M59" s="135"/>
      <x:c r="N59" s="131" t="str">
        <x:f>'_REFLO_BRIDGE'!E44</x:f>
        <x:v>20Q1</x:v>
      </x:c>
      <x:c r="O59" s="134" t="n">
        <x:f>'_REFLO_BRIDGE'!F44</x:f>
        <x:v>21</x:v>
      </x:c>
      <x:c r="P59" s="134" t="n">
        <x:f>'_REFLO_BRIDGE'!G44</x:f>
        <x:v>3</x:v>
      </x:c>
      <x:c r="Q59" s="135"/>
    </x:row>
    <x:row r="60">
      <x:c r="A60" s="131" t="str">
        <x:f>'_REFLO_BRIDGE'!A25</x:f>
        <x:v>24Q3</x:v>
      </x:c>
      <x:c r="B60" s="132" t="n">
        <x:f>'_REFLO_BRIDGE'!B25</x:f>
        <x:v>1180</x:v>
      </x:c>
      <x:c r="C60" s="132" t="n">
        <x:f>'_REFLO_BRIDGE'!C25*100</x:f>
        <x:v>980.0000000000001</x:v>
      </x:c>
      <x:c r="D60" s="135"/>
      <x:c r="E60" s="131" t="str">
        <x:f>'_REFLO_BRIDGE'!E25</x:f>
        <x:v>25Q3</x:v>
      </x:c>
      <x:c r="F60" s="133" t="n">
        <x:f>'_REFLO_BRIDGE'!F25</x:f>
        <x:v>0.55</x:v>
      </x:c>
      <x:c r="G60" s="133" t="n">
        <x:f>'_REFLO_BRIDGE'!G25</x:f>
        <x:v>0.21</x:v>
      </x:c>
      <x:c r="H60" s="133" t="n">
        <x:f>'_REFLO_BRIDGE'!H25</x:f>
        <x:v>0.05</x:v>
      </x:c>
      <x:c r="I60" s="133" t="n">
        <x:f>'_REFLO_BRIDGE'!I25</x:f>
        <x:v>0.07</x:v>
      </x:c>
      <x:c r="J60" s="133" t="n">
        <x:f>'_REFLO_BRIDGE'!J25</x:f>
        <x:v>0.05</x:v>
      </x:c>
      <x:c r="K60" s="133" t="n">
        <x:f>'_REFLO_BRIDGE'!K25</x:f>
        <x:v>0.05</x:v>
      </x:c>
      <x:c r="L60" s="133" t="n">
        <x:f>'_REFLO_BRIDGE'!L25</x:f>
        <x:v>0.019999999999999796</x:v>
      </x:c>
      <x:c r="M60" s="135"/>
      <x:c r="N60" s="131" t="str">
        <x:f>'_REFLO_BRIDGE'!E45</x:f>
        <x:v>20Q2</x:v>
      </x:c>
      <x:c r="O60" s="134" t="n">
        <x:f>'_REFLO_BRIDGE'!F45</x:f>
        <x:v>28</x:v>
      </x:c>
      <x:c r="P60" s="134" t="n">
        <x:f>'_REFLO_BRIDGE'!G45</x:f>
        <x:v>4</x:v>
      </x:c>
      <x:c r="Q60" s="135"/>
    </x:row>
    <x:row r="61">
      <x:c r="A61" s="131" t="str">
        <x:f>'_REFLO_BRIDGE'!A26</x:f>
        <x:v>24Q4</x:v>
      </x:c>
      <x:c r="B61" s="132" t="n">
        <x:f>'_REFLO_BRIDGE'!B26</x:f>
        <x:v>930</x:v>
      </x:c>
      <x:c r="C61" s="132" t="n">
        <x:f>'_REFLO_BRIDGE'!C26*100</x:f>
        <x:v>1060</x:v>
      </x:c>
      <x:c r="D61" s="135"/>
      <x:c r="E61" s="131" t="str">
        <x:f>'_REFLO_BRIDGE'!E26</x:f>
        <x:v>25Q4</x:v>
      </x:c>
      <x:c r="F61" s="133" t="n">
        <x:f>'_REFLO_BRIDGE'!F26</x:f>
        <x:v>0.61</x:v>
      </x:c>
      <x:c r="G61" s="133" t="n">
        <x:f>'_REFLO_BRIDGE'!G26</x:f>
        <x:v>0.18</x:v>
      </x:c>
      <x:c r="H61" s="133" t="n">
        <x:f>'_REFLO_BRIDGE'!H26</x:f>
        <x:v>0.04</x:v>
      </x:c>
      <x:c r="I61" s="133" t="n">
        <x:f>'_REFLO_BRIDGE'!I26</x:f>
        <x:v>0.06</x:v>
      </x:c>
      <x:c r="J61" s="133" t="n">
        <x:f>'_REFLO_BRIDGE'!J26</x:f>
        <x:v>0.04</x:v>
      </x:c>
      <x:c r="K61" s="133" t="n">
        <x:f>'_REFLO_BRIDGE'!K26</x:f>
        <x:v>0.04</x:v>
      </x:c>
      <x:c r="L61" s="133" t="n">
        <x:f>'_REFLO_BRIDGE'!L26</x:f>
        <x:v>0.029999999999999805</x:v>
      </x:c>
      <x:c r="M61" s="135"/>
      <x:c r="N61" s="131" t="str">
        <x:f>'_REFLO_BRIDGE'!E46</x:f>
        <x:v>20Q3</x:v>
      </x:c>
      <x:c r="O61" s="134" t="n">
        <x:f>'_REFLO_BRIDGE'!F46</x:f>
        <x:v>37</x:v>
      </x:c>
      <x:c r="P61" s="134" t="n">
        <x:f>'_REFLO_BRIDGE'!G46</x:f>
        <x:v>2</x:v>
      </x:c>
      <x:c r="Q61" s="135"/>
    </x:row>
    <x:row r="62">
      <x:c r="A62" s="131" t="str">
        <x:f>'_REFLO_BRIDGE'!A27</x:f>
        <x:v>25Q1</x:v>
      </x:c>
      <x:c r="B62" s="132" t="n">
        <x:f>'_REFLO_BRIDGE'!B27</x:f>
        <x:v>1510</x:v>
      </x:c>
      <x:c r="C62" s="132" t="n">
        <x:f>'_REFLO_BRIDGE'!C27*100</x:f>
        <x:v>1240</x:v>
      </x:c>
      <x:c r="D62" s="135"/>
      <x:c r="E62" s="135"/>
      <x:c r="F62" s="135"/>
      <x:c r="G62" s="135"/>
      <x:c r="H62" s="135"/>
      <x:c r="I62" s="135"/>
      <x:c r="J62" s="135"/>
      <x:c r="K62" s="135"/>
      <x:c r="L62" s="135"/>
      <x:c r="M62" s="135"/>
      <x:c r="N62" s="131" t="str">
        <x:f>'_REFLO_BRIDGE'!E47</x:f>
        <x:v>20Q4</x:v>
      </x:c>
      <x:c r="O62" s="134" t="n">
        <x:f>'_REFLO_BRIDGE'!F47</x:f>
        <x:v>31</x:v>
      </x:c>
      <x:c r="P62" s="134" t="n">
        <x:f>'_REFLO_BRIDGE'!G47</x:f>
        <x:v>4</x:v>
      </x:c>
      <x:c r="Q62" s="135"/>
    </x:row>
    <x:row r="63">
      <x:c r="A63" s="131" t="str">
        <x:f>'_REFLO_BRIDGE'!A28</x:f>
        <x:v>25Q2</x:v>
      </x:c>
      <x:c r="B63" s="132" t="n">
        <x:f>'_REFLO_BRIDGE'!B28</x:f>
        <x:v>1320</x:v>
      </x:c>
      <x:c r="C63" s="132" t="n">
        <x:f>'_REFLO_BRIDGE'!C28*100</x:f>
        <x:v>910</x:v>
      </x:c>
      <x:c r="D63" s="135"/>
      <x:c r="E63" s="135"/>
      <x:c r="F63" s="135"/>
      <x:c r="G63" s="135"/>
      <x:c r="H63" s="135"/>
      <x:c r="I63" s="135"/>
      <x:c r="J63" s="135"/>
      <x:c r="K63" s="135"/>
      <x:c r="L63" s="135"/>
      <x:c r="M63" s="135"/>
      <x:c r="N63" s="131" t="str">
        <x:f>'_REFLO_BRIDGE'!E48</x:f>
        <x:v>21Q1</x:v>
      </x:c>
      <x:c r="O63" s="134" t="n">
        <x:f>'_REFLO_BRIDGE'!F48</x:f>
        <x:v>24</x:v>
      </x:c>
      <x:c r="P63" s="134" t="n">
        <x:f>'_REFLO_BRIDGE'!G48</x:f>
        <x:v>3</x:v>
      </x:c>
      <x:c r="Q63" s="135"/>
    </x:row>
    <x:row r="64">
      <x:c r="A64" s="131" t="str">
        <x:f>'_REFLO_BRIDGE'!A29</x:f>
        <x:v>25Q3</x:v>
      </x:c>
      <x:c r="B64" s="132" t="n">
        <x:f>'_REFLO_BRIDGE'!B29</x:f>
        <x:v>1420</x:v>
      </x:c>
      <x:c r="C64" s="132" t="n">
        <x:f>'_REFLO_BRIDGE'!C29*100</x:f>
        <x:v>880.0000000000001</x:v>
      </x:c>
      <x:c r="D64" s="135"/>
      <x:c r="E64" s="135"/>
      <x:c r="F64" s="135"/>
      <x:c r="G64" s="135"/>
      <x:c r="H64" s="135"/>
      <x:c r="I64" s="135"/>
      <x:c r="J64" s="135"/>
      <x:c r="K64" s="135"/>
      <x:c r="L64" s="135"/>
      <x:c r="M64" s="135"/>
      <x:c r="N64" s="131" t="str">
        <x:f>'_REFLO_BRIDGE'!E49</x:f>
        <x:v>21Q2</x:v>
      </x:c>
      <x:c r="O64" s="134" t="n">
        <x:f>'_REFLO_BRIDGE'!F49</x:f>
        <x:v>33</x:v>
      </x:c>
      <x:c r="P64" s="134" t="n">
        <x:f>'_REFLO_BRIDGE'!G49</x:f>
        <x:v>5</x:v>
      </x:c>
      <x:c r="Q64" s="135"/>
    </x:row>
    <x:row r="65">
      <x:c r="A65" s="131" t="str">
        <x:f>'_REFLO_BRIDGE'!A30</x:f>
        <x:v>25Q4</x:v>
      </x:c>
      <x:c r="B65" s="132" t="n">
        <x:f>'_REFLO_BRIDGE'!B30</x:f>
        <x:v>1580</x:v>
      </x:c>
      <x:c r="C65" s="132" t="n">
        <x:f>'_REFLO_BRIDGE'!C30*100</x:f>
        <x:v>1170</x:v>
      </x:c>
      <x:c r="D65" s="135"/>
      <x:c r="E65" s="135"/>
      <x:c r="F65" s="135"/>
      <x:c r="G65" s="135"/>
      <x:c r="H65" s="135"/>
      <x:c r="I65" s="135"/>
      <x:c r="J65" s="135"/>
      <x:c r="K65" s="135"/>
      <x:c r="L65" s="135"/>
      <x:c r="M65" s="135"/>
      <x:c r="N65" s="131" t="str">
        <x:f>'_REFLO_BRIDGE'!E50</x:f>
        <x:v>21Q3</x:v>
      </x:c>
      <x:c r="O65" s="134" t="n">
        <x:f>'_REFLO_BRIDGE'!F50</x:f>
        <x:v>29</x:v>
      </x:c>
      <x:c r="P65" s="134" t="n">
        <x:f>'_REFLO_BRIDGE'!G50</x:f>
        <x:v>4</x:v>
      </x:c>
      <x:c r="Q65" s="135"/>
    </x:row>
    <x:row r="66">
      <x:c r="A66" s="131" t="str">
        <x:f>'_REFLO_BRIDGE'!A31</x:f>
        <x:v>26Q1</x:v>
      </x:c>
      <x:c r="B66" s="132" t="n">
        <x:f>'_REFLO_BRIDGE'!B31</x:f>
        <x:v>1980</x:v>
      </x:c>
      <x:c r="C66" s="132" t="n">
        <x:f>'_REFLO_BRIDGE'!C31*100</x:f>
        <x:v>1789.9999999999998</x:v>
      </x:c>
      <x:c r="D66" s="135"/>
      <x:c r="E66" s="135"/>
      <x:c r="F66" s="135"/>
      <x:c r="G66" s="135"/>
      <x:c r="H66" s="135"/>
      <x:c r="I66" s="135"/>
      <x:c r="J66" s="135"/>
      <x:c r="K66" s="135"/>
      <x:c r="L66" s="135"/>
      <x:c r="M66" s="135"/>
      <x:c r="N66" s="131" t="str">
        <x:f>'_REFLO_BRIDGE'!E51</x:f>
        <x:v>21Q4</x:v>
      </x:c>
      <x:c r="O66" s="134" t="n">
        <x:f>'_REFLO_BRIDGE'!F51</x:f>
        <x:v>34</x:v>
      </x:c>
      <x:c r="P66" s="134" t="n">
        <x:f>'_REFLO_BRIDGE'!G51</x:f>
        <x:v>5</x:v>
      </x:c>
      <x:c r="Q66" s="135"/>
    </x:row>
    <x:row r="67">
      <x:c r="A67" s="131" t="str">
        <x:f>'_REFLO_BRIDGE'!A32</x:f>
        <x:v>26Q2E</x:v>
      </x:c>
      <x:c r="B67" s="132" t="n">
        <x:f>'_REFLO_BRIDGE'!B32</x:f>
        <x:v>2140</x:v>
      </x:c>
      <x:c r="C67" s="132" t="n">
        <x:f>'_REFLO_BRIDGE'!C32*100</x:f>
        <x:v>2280</x:v>
      </x:c>
      <x:c r="D67" s="135"/>
      <x:c r="E67" s="135"/>
      <x:c r="F67" s="135"/>
      <x:c r="G67" s="135"/>
      <x:c r="H67" s="135"/>
      <x:c r="I67" s="135"/>
      <x:c r="J67" s="135"/>
      <x:c r="K67" s="135"/>
      <x:c r="L67" s="135"/>
      <x:c r="M67" s="135"/>
      <x:c r="N67" s="131" t="str">
        <x:f>'_REFLO_BRIDGE'!E52</x:f>
        <x:v>22Q1</x:v>
      </x:c>
      <x:c r="O67" s="134" t="n">
        <x:f>'_REFLO_BRIDGE'!F52</x:f>
        <x:v>38</x:v>
      </x:c>
      <x:c r="P67" s="134" t="n">
        <x:f>'_REFLO_BRIDGE'!G52</x:f>
        <x:v>6</x:v>
      </x:c>
      <x:c r="Q67" s="135"/>
    </x:row>
    <x:row r="68">
      <x:c r="A68" s="131" t="str">
        <x:f>'_REFLO_BRIDGE'!A33</x:f>
        <x:v>26Q3E</x:v>
      </x:c>
      <x:c r="B68" s="132" t="n">
        <x:f>'_REFLO_BRIDGE'!B33</x:f>
        <x:v>2460</x:v>
      </x:c>
      <x:c r="C68" s="132" t="n">
        <x:f>'_REFLO_BRIDGE'!C33*100</x:f>
        <x:v>2510</x:v>
      </x:c>
      <x:c r="D68" s="135"/>
      <x:c r="E68" s="135"/>
      <x:c r="F68" s="135"/>
      <x:c r="G68" s="135"/>
      <x:c r="H68" s="135"/>
      <x:c r="I68" s="135"/>
      <x:c r="J68" s="135"/>
      <x:c r="K68" s="135"/>
      <x:c r="L68" s="135"/>
      <x:c r="M68" s="135"/>
      <x:c r="N68" s="131" t="str">
        <x:f>'_REFLO_BRIDGE'!E53</x:f>
        <x:v>22Q2</x:v>
      </x:c>
      <x:c r="O68" s="134" t="n">
        <x:f>'_REFLO_BRIDGE'!F53</x:f>
        <x:v>45</x:v>
      </x:c>
      <x:c r="P68" s="134" t="n">
        <x:f>'_REFLO_BRIDGE'!G53</x:f>
        <x:v>7</x:v>
      </x:c>
      <x:c r="Q68" s="135"/>
    </x:row>
    <x:row r="69">
      <x:c r="A69" s="131" t="str">
        <x:f>'_REFLO_BRIDGE'!A34</x:f>
        <x:v>26Q4E</x:v>
      </x:c>
      <x:c r="B69" s="132" t="n">
        <x:f>'_REFLO_BRIDGE'!B34</x:f>
        <x:v>3010</x:v>
      </x:c>
      <x:c r="C69" s="132" t="n">
        <x:f>'_REFLO_BRIDGE'!C34*100</x:f>
        <x:v>3120</x:v>
      </x:c>
      <x:c r="D69" s="135"/>
      <x:c r="E69" s="135"/>
      <x:c r="F69" s="135"/>
      <x:c r="G69" s="135"/>
      <x:c r="H69" s="135"/>
      <x:c r="I69" s="135"/>
      <x:c r="J69" s="135"/>
      <x:c r="K69" s="135"/>
      <x:c r="L69" s="135"/>
      <x:c r="M69" s="135"/>
      <x:c r="N69" s="131" t="str">
        <x:f>'_REFLO_BRIDGE'!E54</x:f>
        <x:v>22Q3</x:v>
      </x:c>
      <x:c r="O69" s="134" t="n">
        <x:f>'_REFLO_BRIDGE'!F54</x:f>
        <x:v>49</x:v>
      </x:c>
      <x:c r="P69" s="134" t="n">
        <x:f>'_REFLO_BRIDGE'!G54</x:f>
        <x:v>5</x:v>
      </x:c>
      <x:c r="Q69" s="135"/>
    </x:row>
    <x:row r="70">
      <x:c r="A70" s="135"/>
      <x:c r="B70" s="135"/>
      <x:c r="C70" s="135"/>
      <x:c r="D70" s="135"/>
      <x:c r="E70" s="135"/>
      <x:c r="F70" s="135"/>
      <x:c r="G70" s="135"/>
      <x:c r="H70" s="135"/>
      <x:c r="I70" s="135"/>
      <x:c r="J70" s="135"/>
      <x:c r="K70" s="135"/>
      <x:c r="L70" s="135"/>
      <x:c r="M70" s="135"/>
      <x:c r="N70" s="131" t="str">
        <x:f>'_REFLO_BRIDGE'!E55</x:f>
        <x:v>22Q4</x:v>
      </x:c>
      <x:c r="O70" s="134" t="n">
        <x:f>'_REFLO_BRIDGE'!F55</x:f>
        <x:v>41</x:v>
      </x:c>
      <x:c r="P70" s="134" t="n">
        <x:f>'_REFLO_BRIDGE'!G55</x:f>
        <x:v>5</x:v>
      </x:c>
      <x:c r="Q70" s="135"/>
    </x:row>
    <x:row r="71">
      <x:c r="A71" s="135"/>
      <x:c r="B71" s="135"/>
      <x:c r="C71" s="135"/>
      <x:c r="D71" s="135"/>
      <x:c r="E71" s="135"/>
      <x:c r="F71" s="135"/>
      <x:c r="G71" s="135"/>
      <x:c r="H71" s="135"/>
      <x:c r="I71" s="135"/>
      <x:c r="J71" s="135"/>
      <x:c r="K71" s="135"/>
      <x:c r="L71" s="135"/>
      <x:c r="M71" s="135"/>
      <x:c r="N71" s="131" t="str">
        <x:f>'_REFLO_BRIDGE'!E56</x:f>
        <x:v>23Q1</x:v>
      </x:c>
      <x:c r="O71" s="134" t="n">
        <x:f>'_REFLO_BRIDGE'!F56</x:f>
        <x:v>45</x:v>
      </x:c>
      <x:c r="P71" s="134" t="n">
        <x:f>'_REFLO_BRIDGE'!G56</x:f>
        <x:v>3</x:v>
      </x:c>
      <x:c r="Q71" s="135"/>
    </x:row>
    <x:row r="72">
      <x:c r="A72" s="135"/>
      <x:c r="B72" s="135"/>
      <x:c r="C72" s="135"/>
      <x:c r="D72" s="135"/>
      <x:c r="E72" s="135"/>
      <x:c r="F72" s="135"/>
      <x:c r="G72" s="135"/>
      <x:c r="H72" s="135"/>
      <x:c r="I72" s="135"/>
      <x:c r="J72" s="135"/>
      <x:c r="K72" s="135"/>
      <x:c r="L72" s="135"/>
      <x:c r="M72" s="135"/>
      <x:c r="N72" s="131" t="str">
        <x:f>'_REFLO_BRIDGE'!E57</x:f>
        <x:v>23Q2</x:v>
      </x:c>
      <x:c r="O72" s="134" t="n">
        <x:f>'_REFLO_BRIDGE'!F57</x:f>
        <x:v>34</x:v>
      </x:c>
      <x:c r="P72" s="134" t="n">
        <x:f>'_REFLO_BRIDGE'!G57</x:f>
        <x:v>4</x:v>
      </x:c>
      <x:c r="Q72" s="135"/>
    </x:row>
    <x:row r="73">
      <x:c r="A73" s="135"/>
      <x:c r="B73" s="135"/>
      <x:c r="C73" s="135"/>
      <x:c r="D73" s="135"/>
      <x:c r="E73" s="135"/>
      <x:c r="F73" s="135"/>
      <x:c r="G73" s="135"/>
      <x:c r="H73" s="135"/>
      <x:c r="I73" s="135"/>
      <x:c r="J73" s="135"/>
      <x:c r="K73" s="135"/>
      <x:c r="L73" s="135"/>
      <x:c r="M73" s="135"/>
      <x:c r="N73" s="131" t="str">
        <x:f>'_REFLO_BRIDGE'!E58</x:f>
        <x:v>23Q3</x:v>
      </x:c>
      <x:c r="O73" s="134" t="n">
        <x:f>'_REFLO_BRIDGE'!F58</x:f>
        <x:v>33</x:v>
      </x:c>
      <x:c r="P73" s="134" t="n">
        <x:f>'_REFLO_BRIDGE'!G58</x:f>
        <x:v>4</x:v>
      </x:c>
      <x:c r="Q73" s="135"/>
    </x:row>
    <x:row r="74">
      <x:c r="A74" s="135"/>
      <x:c r="B74" s="135"/>
      <x:c r="C74" s="135"/>
      <x:c r="D74" s="135"/>
      <x:c r="E74" s="135"/>
      <x:c r="F74" s="135"/>
      <x:c r="G74" s="135"/>
      <x:c r="H74" s="135"/>
      <x:c r="I74" s="135"/>
      <x:c r="J74" s="135"/>
      <x:c r="K74" s="135"/>
      <x:c r="L74" s="135"/>
      <x:c r="M74" s="135"/>
      <x:c r="N74" s="131" t="str">
        <x:f>'_REFLO_BRIDGE'!E59</x:f>
        <x:v>23Q4</x:v>
      </x:c>
      <x:c r="O74" s="134" t="n">
        <x:f>'_REFLO_BRIDGE'!F59</x:f>
        <x:v>28</x:v>
      </x:c>
      <x:c r="P74" s="134" t="n">
        <x:f>'_REFLO_BRIDGE'!G59</x:f>
        <x:v>5</x:v>
      </x:c>
      <x:c r="Q74" s="135"/>
    </x:row>
    <x:row r="75">
      <x:c r="A75" s="135"/>
      <x:c r="B75" s="135"/>
      <x:c r="C75" s="135"/>
      <x:c r="D75" s="135"/>
      <x:c r="E75" s="135"/>
      <x:c r="F75" s="135"/>
      <x:c r="G75" s="135"/>
      <x:c r="H75" s="135"/>
      <x:c r="I75" s="135"/>
      <x:c r="J75" s="135"/>
      <x:c r="K75" s="135"/>
      <x:c r="L75" s="135"/>
      <x:c r="M75" s="135"/>
      <x:c r="N75" s="131" t="str">
        <x:f>'_REFLO_BRIDGE'!E60</x:f>
        <x:v>24Q1</x:v>
      </x:c>
      <x:c r="O75" s="134" t="n">
        <x:f>'_REFLO_BRIDGE'!F60</x:f>
        <x:v>24</x:v>
      </x:c>
      <x:c r="P75" s="134" t="n">
        <x:f>'_REFLO_BRIDGE'!G60</x:f>
        <x:v>4</x:v>
      </x:c>
      <x:c r="Q75" s="135"/>
    </x:row>
    <x:row r="76">
      <x:c r="A76" s="135"/>
      <x:c r="B76" s="135"/>
      <x:c r="C76" s="135"/>
      <x:c r="D76" s="135"/>
      <x:c r="E76" s="135"/>
      <x:c r="F76" s="135"/>
      <x:c r="G76" s="135"/>
      <x:c r="H76" s="135"/>
      <x:c r="I76" s="135"/>
      <x:c r="J76" s="135"/>
      <x:c r="K76" s="135"/>
      <x:c r="L76" s="135"/>
      <x:c r="M76" s="135"/>
      <x:c r="N76" s="131" t="str">
        <x:f>'_REFLO_BRIDGE'!E61</x:f>
        <x:v>24Q2</x:v>
      </x:c>
      <x:c r="O76" s="134" t="n">
        <x:f>'_REFLO_BRIDGE'!F61</x:f>
        <x:v>31</x:v>
      </x:c>
      <x:c r="P76" s="134" t="n">
        <x:f>'_REFLO_BRIDGE'!G61</x:f>
        <x:v>5</x:v>
      </x:c>
      <x:c r="Q76" s="135"/>
    </x:row>
    <x:row r="77">
      <x:c r="A77" s="135"/>
      <x:c r="B77" s="135"/>
      <x:c r="C77" s="135"/>
      <x:c r="D77" s="135"/>
      <x:c r="E77" s="135"/>
      <x:c r="F77" s="135"/>
      <x:c r="G77" s="135"/>
      <x:c r="H77" s="135"/>
      <x:c r="I77" s="135"/>
      <x:c r="J77" s="135"/>
      <x:c r="K77" s="135"/>
      <x:c r="L77" s="135"/>
      <x:c r="M77" s="135"/>
      <x:c r="N77" s="131" t="str">
        <x:f>'_REFLO_BRIDGE'!E62</x:f>
        <x:v>24Q3</x:v>
      </x:c>
      <x:c r="O77" s="134" t="n">
        <x:f>'_REFLO_BRIDGE'!F62</x:f>
        <x:v>49</x:v>
      </x:c>
      <x:c r="P77" s="134" t="n">
        <x:f>'_REFLO_BRIDGE'!G62</x:f>
        <x:v>2</x:v>
      </x:c>
      <x:c r="Q77" s="135"/>
    </x:row>
    <x:row r="78">
      <x:c r="A78" s="135"/>
      <x:c r="B78" s="135"/>
      <x:c r="C78" s="135"/>
      <x:c r="D78" s="135"/>
      <x:c r="E78" s="135"/>
      <x:c r="F78" s="135"/>
      <x:c r="G78" s="135"/>
      <x:c r="H78" s="135"/>
      <x:c r="I78" s="135"/>
      <x:c r="J78" s="135"/>
      <x:c r="K78" s="135"/>
      <x:c r="L78" s="135"/>
      <x:c r="M78" s="135"/>
      <x:c r="N78" s="131" t="str">
        <x:f>'_REFLO_BRIDGE'!E63</x:f>
        <x:v>24Q4</x:v>
      </x:c>
      <x:c r="O78" s="134" t="n">
        <x:f>'_REFLO_BRIDGE'!F63</x:f>
        <x:v>50</x:v>
      </x:c>
      <x:c r="P78" s="134" t="n">
        <x:f>'_REFLO_BRIDGE'!G63</x:f>
        <x:v>2</x:v>
      </x:c>
      <x:c r="Q78" s="135"/>
    </x:row>
    <x:row r="79">
      <x:c r="A79" s="135"/>
      <x:c r="B79" s="135"/>
      <x:c r="C79" s="135"/>
      <x:c r="D79" s="135"/>
      <x:c r="E79" s="135"/>
      <x:c r="F79" s="135"/>
      <x:c r="G79" s="135"/>
      <x:c r="H79" s="135"/>
      <x:c r="I79" s="135"/>
      <x:c r="J79" s="135"/>
      <x:c r="K79" s="135"/>
      <x:c r="L79" s="135"/>
      <x:c r="M79" s="135"/>
      <x:c r="N79" s="131" t="str">
        <x:f>'_REFLO_BRIDGE'!E64</x:f>
        <x:v>25Q1</x:v>
      </x:c>
      <x:c r="O79" s="134" t="n">
        <x:f>'_REFLO_BRIDGE'!F64</x:f>
        <x:v>38</x:v>
      </x:c>
      <x:c r="P79" s="134" t="n">
        <x:f>'_REFLO_BRIDGE'!G64</x:f>
        <x:v>4</x:v>
      </x:c>
      <x:c r="Q79" s="135"/>
    </x:row>
    <x:row r="80">
      <x:c r="A80" s="135"/>
      <x:c r="B80" s="135"/>
      <x:c r="C80" s="135"/>
      <x:c r="D80" s="135"/>
      <x:c r="E80" s="135"/>
      <x:c r="F80" s="135"/>
      <x:c r="G80" s="135"/>
      <x:c r="H80" s="135"/>
      <x:c r="I80" s="135"/>
      <x:c r="J80" s="135"/>
      <x:c r="K80" s="135"/>
      <x:c r="L80" s="135"/>
      <x:c r="M80" s="135"/>
      <x:c r="N80" s="131" t="str">
        <x:f>'_REFLO_BRIDGE'!E65</x:f>
        <x:v>25Q2</x:v>
      </x:c>
      <x:c r="O80" s="134" t="n">
        <x:f>'_REFLO_BRIDGE'!F65</x:f>
        <x:v>34</x:v>
      </x:c>
      <x:c r="P80" s="134" t="n">
        <x:f>'_REFLO_BRIDGE'!G65</x:f>
        <x:v>4</x:v>
      </x:c>
      <x:c r="Q80" s="135"/>
    </x:row>
    <x:row r="81">
      <x:c r="A81" s="135"/>
      <x:c r="B81" s="135"/>
      <x:c r="C81" s="135"/>
      <x:c r="D81" s="135"/>
      <x:c r="E81" s="135"/>
      <x:c r="F81" s="135"/>
      <x:c r="G81" s="135"/>
      <x:c r="H81" s="135"/>
      <x:c r="I81" s="135"/>
      <x:c r="J81" s="135"/>
      <x:c r="K81" s="135"/>
      <x:c r="L81" s="135"/>
      <x:c r="M81" s="135"/>
      <x:c r="N81" s="131" t="str">
        <x:f>'_REFLO_BRIDGE'!E66</x:f>
        <x:v>25Q3</x:v>
      </x:c>
      <x:c r="O81" s="134" t="n">
        <x:f>'_REFLO_BRIDGE'!F66</x:f>
        <x:v>29</x:v>
      </x:c>
      <x:c r="P81" s="134" t="n">
        <x:f>'_REFLO_BRIDGE'!G66</x:f>
        <x:v>4</x:v>
      </x:c>
      <x:c r="Q81" s="135"/>
    </x:row>
    <x:row r="82">
      <x:c r="A82" s="135"/>
      <x:c r="B82" s="135"/>
      <x:c r="C82" s="135"/>
      <x:c r="D82" s="135"/>
      <x:c r="E82" s="135"/>
      <x:c r="F82" s="135"/>
      <x:c r="G82" s="135"/>
      <x:c r="H82" s="135"/>
      <x:c r="I82" s="135"/>
      <x:c r="J82" s="135"/>
      <x:c r="K82" s="135"/>
      <x:c r="L82" s="135"/>
      <x:c r="M82" s="135"/>
      <x:c r="N82" s="131" t="str">
        <x:f>'_REFLO_BRIDGE'!E67</x:f>
        <x:v>25Q4</x:v>
      </x:c>
      <x:c r="O82" s="134" t="n">
        <x:f>'_REFLO_BRIDGE'!F67</x:f>
        <x:v>52</x:v>
      </x:c>
      <x:c r="P82" s="134" t="n">
        <x:f>'_REFLO_BRIDGE'!G67</x:f>
        <x:v>12</x:v>
      </x:c>
      <x:c r="Q82" s="135"/>
    </x:row>
    <x:row r="83">
      <x:c r="A83" s="135"/>
      <x:c r="B83" s="135"/>
      <x:c r="C83" s="135"/>
      <x:c r="D83" s="135"/>
      <x:c r="E83" s="135"/>
      <x:c r="F83" s="135"/>
      <x:c r="G83" s="135"/>
      <x:c r="H83" s="135"/>
      <x:c r="I83" s="135"/>
      <x:c r="J83" s="135"/>
      <x:c r="K83" s="135"/>
      <x:c r="L83" s="135"/>
      <x:c r="M83" s="135"/>
      <x:c r="N83" s="131" t="str">
        <x:f>'_REFLO_BRIDGE'!E68</x:f>
        <x:v>26Q1</x:v>
      </x:c>
      <x:c r="O83" s="134" t="n">
        <x:f>'_REFLO_BRIDGE'!F68</x:f>
        <x:v>60</x:v>
      </x:c>
      <x:c r="P83" s="134" t="n">
        <x:f>'_REFLO_BRIDGE'!G68</x:f>
        <x:v>6</x:v>
      </x:c>
      <x:c r="Q83" s="135"/>
    </x:row>
    <x:row r="84">
      <x:c r="A84" s="135"/>
      <x:c r="B84" s="135"/>
      <x:c r="C84" s="135"/>
      <x:c r="D84" s="135"/>
      <x:c r="E84" s="135"/>
      <x:c r="F84" s="135"/>
      <x:c r="G84" s="135"/>
      <x:c r="H84" s="135"/>
      <x:c r="I84" s="135"/>
      <x:c r="J84" s="135"/>
      <x:c r="K84" s="135"/>
      <x:c r="L84" s="135"/>
      <x:c r="M84" s="135"/>
      <x:c r="N84" s="131" t="str">
        <x:f>'_REFLO_BRIDGE'!E69</x:f>
        <x:v>26Q2E</x:v>
      </x:c>
      <x:c r="O84" s="134" t="n">
        <x:f>'_REFLO_BRIDGE'!F69</x:f>
        <x:v>62</x:v>
      </x:c>
      <x:c r="P84" s="134" t="n">
        <x:f>'_REFLO_BRIDGE'!G69</x:f>
        <x:v>10</x:v>
      </x:c>
      <x:c r="Q84" s="135"/>
    </x:row>
    <x:row r="85">
      <x:c r="A85" s="135"/>
      <x:c r="B85" s="135"/>
      <x:c r="C85" s="135"/>
      <x:c r="D85" s="135"/>
      <x:c r="E85" s="135"/>
      <x:c r="F85" s="135"/>
      <x:c r="G85" s="135"/>
      <x:c r="H85" s="135"/>
      <x:c r="I85" s="135"/>
      <x:c r="J85" s="135"/>
      <x:c r="K85" s="135"/>
      <x:c r="L85" s="135"/>
      <x:c r="M85" s="135"/>
      <x:c r="N85" s="131" t="str">
        <x:f>'_REFLO_BRIDGE'!E70</x:f>
        <x:v>26Q3E</x:v>
      </x:c>
      <x:c r="O85" s="134" t="n">
        <x:f>'_REFLO_BRIDGE'!F70</x:f>
        <x:v>59</x:v>
      </x:c>
      <x:c r="P85" s="134" t="n">
        <x:f>'_REFLO_BRIDGE'!G70</x:f>
        <x:v>17</x:v>
      </x:c>
      <x:c r="Q85" s="135"/>
    </x:row>
    <x:row r="86">
      <x:c r="A86" s="135"/>
      <x:c r="B86" s="135"/>
      <x:c r="C86" s="135"/>
      <x:c r="D86" s="135"/>
      <x:c r="E86" s="135"/>
      <x:c r="F86" s="135"/>
      <x:c r="G86" s="135"/>
      <x:c r="H86" s="135"/>
      <x:c r="I86" s="135"/>
      <x:c r="J86" s="135"/>
      <x:c r="K86" s="135"/>
      <x:c r="L86" s="135"/>
      <x:c r="M86" s="135"/>
      <x:c r="N86" s="131" t="str">
        <x:f>'_REFLO_BRIDGE'!E71</x:f>
        <x:v>26Q4E</x:v>
      </x:c>
      <x:c r="O86" s="134" t="n">
        <x:f>'_REFLO_BRIDGE'!F71</x:f>
        <x:v>68</x:v>
      </x:c>
      <x:c r="P86" s="134" t="n">
        <x:f>'_REFLO_BRIDGE'!G71</x:f>
        <x:v>20</x:v>
      </x:c>
      <x:c r="Q86" s="135"/>
    </x:row>
  </x:sheetData>
  <x:mergeCells>
    <x:mergeCell ref="A1:Q2"/>
    <x:mergeCell ref="A3:Q3"/>
  </x:mergeCells>
  <x:pageMargins left="0.7" right="0.7" top="0.75" bottom="0.75" header="0.3" footer="0.3"/>
  <x:drawing xmlns:r="http://schemas.openxmlformats.org/officeDocument/2006/relationships" r:id="R152414732ffb4afb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8" hidden="0" customWidth="1"/>
  </x:cols>
  <x:sheetData>
    <x:row r="1" ht="34" customHeight="1">
      <x:c r="A1" s="4" t="str">
        <x:v>04 · DATA INTEGRITY CHECKS</x:v>
      </x:c>
      <x:c r="B1" s="4" t="str">
        <x:v>04 · DATA INTEGRITY CHECKS</x:v>
      </x:c>
      <x:c r="C1" s="4" t="str">
        <x:v>04 · DATA INTEGRITY CHECKS</x:v>
      </x:c>
      <x:c r="D1" s="4" t="str">
        <x:v>04 · DATA INTEGRITY CHECKS</x:v>
      </x:c>
      <x:c r="E1" s="4" t="str">
        <x:v>04 · DATA INTEGRITY CHECKS</x:v>
      </x:c>
      <x:c r="F1" s="4" t="str">
        <x:v>04 · DATA INTEGRITY CHECKS</x:v>
      </x:c>
      <x:c r="G1" s="4" t="str">
        <x:v>04 · DATA INTEGRITY CHECKS</x:v>
      </x:c>
    </x:row>
    <x:row r="2" ht="34" customHeight="1">
      <x:c r="A2" s="4" t="str">
        <x:v>04 · DATA INTEGRITY CHECKS</x:v>
      </x:c>
      <x:c r="B2" s="4" t="str">
        <x:v>04 · DATA INTEGRITY CHECKS</x:v>
      </x:c>
      <x:c r="C2" s="4" t="str">
        <x:v>04 · DATA INTEGRITY CHECKS</x:v>
      </x:c>
      <x:c r="D2" s="4" t="str">
        <x:v>04 · DATA INTEGRITY CHECKS</x:v>
      </x:c>
      <x:c r="E2" s="4" t="str">
        <x:v>04 · DATA INTEGRITY CHECKS</x:v>
      </x:c>
      <x:c r="F2" s="4" t="str">
        <x:v>04 · DATA INTEGRITY CHECKS</x:v>
      </x:c>
      <x:c r="G2" s="4" t="str">
        <x:v>04 · DATA INTEGRITY CHECKS</x:v>
      </x:c>
    </x:row>
    <x:row r="3">
      <x:c r="A3" s="95" t="str">
        <x:v>차트 생성 전 category와 series의 크기·단위·합계를 확인하는 최소 검증 예시입니다.</x:v>
      </x:c>
      <x:c r="B3" s="95"/>
      <x:c r="C3" s="95"/>
      <x:c r="D3" s="95"/>
      <x:c r="E3" s="95"/>
      <x:c r="F3" s="95"/>
      <x:c r="G3" s="95"/>
    </x:row>
    <x:row r="5" ht="28" customHeight="1">
      <x:c r="A5" s="54" t="str">
        <x:v>check_id</x:v>
      </x:c>
      <x:c r="B5" s="55" t="str">
        <x:v>검증 항목</x:v>
      </x:c>
      <x:c r="C5" s="55" t="str">
        <x:v>Actual</x:v>
      </x:c>
      <x:c r="D5" s="55" t="str">
        <x:v>Expected</x:v>
      </x:c>
      <x:c r="E5" s="55" t="str">
        <x:v>Difference</x:v>
      </x:c>
      <x:c r="F5" s="55" t="str">
        <x:v>Status</x:v>
      </x:c>
      <x:c r="G5" s="56" t="str">
        <x:v>조치</x:v>
      </x:c>
    </x:row>
    <x:row r="6" ht="20" customHeight="1">
      <x:c r="A6" s="121" t="str">
        <x:v>CHK-01</x:v>
      </x:c>
      <x:c r="B6" s="121" t="str">
        <x:v>도표 7 category vs 영업이익 길이</x:v>
      </x:c>
      <x:c r="C6" s="121" t="n">
        <x:f>COUNTA('_REFLO_BRIDGE'!A7:A34)</x:f>
        <x:v>28</x:v>
      </x:c>
      <x:c r="D6" s="121" t="n">
        <x:f>COUNT('_REFLO_BRIDGE'!B7:B34)</x:f>
        <x:v>28</x:v>
      </x:c>
      <x:c r="E6" s="121" t="n">
        <x:f>C6-D6</x:f>
        <x:v>0</x:v>
      </x:c>
      <x:c r="F6" s="121" t="str">
        <x:f>IF(E6=0,"OK","CHECK")</x:f>
        <x:v>OK</x:v>
      </x:c>
      <x:c r="G6" s="121" t="str">
        <x:v>빈 기간 또는 값 확인</x:v>
      </x:c>
    </x:row>
    <x:row r="7" ht="20" customHeight="1">
      <x:c r="A7" s="121" t="str">
        <x:v>CHK-02</x:v>
      </x:c>
      <x:c r="B7" s="121" t="str">
        <x:v>도표 7 category vs 시가총액 길이</x:v>
      </x:c>
      <x:c r="C7" s="121" t="n">
        <x:f>COUNTA('_REFLO_BRIDGE'!A7:A34)</x:f>
        <x:v>28</x:v>
      </x:c>
      <x:c r="D7" s="121" t="n">
        <x:f>COUNT('_REFLO_BRIDGE'!C7:C34)</x:f>
        <x:v>28</x:v>
      </x:c>
      <x:c r="E7" s="121" t="n">
        <x:f>C7-D7</x:f>
        <x:v>0</x:v>
      </x:c>
      <x:c r="F7" s="121" t="str">
        <x:f>IF(E7=0,"OK","CHECK")</x:f>
        <x:v>OK</x:v>
      </x:c>
      <x:c r="G7" s="121" t="str">
        <x:v>빈 기간 또는 값 확인</x:v>
      </x:c>
    </x:row>
    <x:row r="8" ht="20" customHeight="1">
      <x:c r="A8" s="121" t="str">
        <x:v>CHK-03</x:v>
      </x:c>
      <x:c r="B8" s="121" t="str">
        <x:v>도표 8 첫 분기 비중 합계</x:v>
      </x:c>
      <x:c r="C8" s="149" t="n">
        <x:f>SUM('_REFLO_BRIDGE'!F7:L7)</x:f>
        <x:v>1</x:v>
      </x:c>
      <x:c r="D8" s="149" t="n">
        <x:v>1</x:v>
      </x:c>
      <x:c r="E8" s="149" t="n">
        <x:f>C8-D8</x:f>
        <x:v>0</x:v>
      </x:c>
      <x:c r="F8" s="121" t="str">
        <x:f>IF(ABS(E8)&lt;0.0001,"OK","CHECK")</x:f>
        <x:v>OK</x:v>
      </x:c>
      <x:c r="G8" s="121" t="str">
        <x:v>합계가 100%인지 확인</x:v>
      </x:c>
    </x:row>
    <x:row r="9" ht="20" customHeight="1">
      <x:c r="A9" s="121" t="str">
        <x:v>CHK-04</x:v>
      </x:c>
      <x:c r="B9" s="121" t="str">
        <x:v>도표 8 category vs 데이터센터 길이</x:v>
      </x:c>
      <x:c r="C9" s="121" t="n">
        <x:f>COUNTA('_REFLO_BRIDGE'!E7:E26)</x:f>
        <x:v>20</x:v>
      </x:c>
      <x:c r="D9" s="121" t="n">
        <x:f>COUNT('_REFLO_BRIDGE'!F7:F26)</x:f>
        <x:v>20</x:v>
      </x:c>
      <x:c r="E9" s="121" t="n">
        <x:f>C9-D9</x:f>
        <x:v>0</x:v>
      </x:c>
      <x:c r="F9" s="121" t="str">
        <x:f>IF(E9=0,"OK","CHECK")</x:f>
        <x:v>OK</x:v>
      </x:c>
      <x:c r="G9" s="121" t="str">
        <x:v>빈 기간 또는 값 확인</x:v>
      </x:c>
    </x:row>
    <x:row r="10" ht="20" customHeight="1">
      <x:c r="A10" s="121" t="str">
        <x:v>CHK-05</x:v>
      </x:c>
      <x:c r="B10" s="121" t="str">
        <x:v>도표 9 category vs 매출액 길이</x:v>
      </x:c>
      <x:c r="C10" s="121" t="n">
        <x:f>COUNTA('_REFLO_BRIDGE'!A40:A48)</x:f>
        <x:v>9</x:v>
      </x:c>
      <x:c r="D10" s="121" t="n">
        <x:f>COUNT('_REFLO_BRIDGE'!B40:B48)</x:f>
        <x:v>9</x:v>
      </x:c>
      <x:c r="E10" s="121" t="n">
        <x:f>C10-D10</x:f>
        <x:v>0</x:v>
      </x:c>
      <x:c r="F10" s="121" t="str">
        <x:f>IF(E10=0,"OK","CHECK")</x:f>
        <x:v>OK</x:v>
      </x:c>
      <x:c r="G10" s="121" t="str">
        <x:v>빈 연도 또는 값 확인</x:v>
      </x:c>
    </x:row>
    <x:row r="11" ht="20" customHeight="1">
      <x:c r="A11" s="124" t="str">
        <x:v>CHK-06</x:v>
      </x:c>
      <x:c r="B11" s="124" t="str">
        <x:v>도표 10 category vs Socket 길이</x:v>
      </x:c>
      <x:c r="C11" s="124" t="n">
        <x:f>COUNTA('_REFLO_BRIDGE'!E40:E71)</x:f>
        <x:v>32</x:v>
      </x:c>
      <x:c r="D11" s="124" t="n">
        <x:f>COUNT('_REFLO_BRIDGE'!F40:F71)</x:f>
        <x:v>32</x:v>
      </x:c>
      <x:c r="E11" s="124" t="n">
        <x:f>C11-D11</x:f>
        <x:v>0</x:v>
      </x:c>
      <x:c r="F11" s="124" t="str">
        <x:f>IF(E11=0,"OK","CHECK")</x:f>
        <x:v>OK</x:v>
      </x:c>
      <x:c r="G11" s="124" t="str">
        <x:v>빈 기간 또는 값 확인</x:v>
      </x:c>
    </x:row>
    <x:row r="12">
      <x:c r="A12" s="150"/>
      <x:c r="B12" s="150"/>
      <x:c r="C12" s="150"/>
      <x:c r="D12" s="150"/>
      <x:c r="E12" s="150"/>
      <x:c r="F12" s="150"/>
      <x:c r="G12" s="150"/>
    </x:row>
    <x:row r="13">
      <x:c r="A13" s="150"/>
      <x:c r="B13" s="150"/>
      <x:c r="C13" s="150"/>
      <x:c r="D13" s="150"/>
      <x:c r="E13" s="150"/>
      <x:c r="F13" s="150"/>
      <x:c r="G13" s="150"/>
    </x:row>
    <x:row r="14" ht="24" customHeight="1">
      <x:c r="A14" s="151" t="str">
        <x:v>전체 상태</x:v>
      </x:c>
      <x:c r="B14" s="151" t="str">
        <x:v>전체 상태</x:v>
      </x:c>
      <x:c r="C14" s="151" t="str">
        <x:v>전체 상태</x:v>
      </x:c>
      <x:c r="D14" s="151" t="str">
        <x:v>전체 상태</x:v>
      </x:c>
      <x:c r="E14" s="151" t="str">
        <x:v>전체 상태</x:v>
      </x:c>
      <x:c r="F14" s="151" t="str">
        <x:v>전체 상태</x:v>
      </x:c>
      <x:c r="G14" s="151" t="str">
        <x:v>전체 상태</x:v>
      </x:c>
    </x:row>
    <x:row r="15">
      <x:c r="A15" s="152" t="str">
        <x:v>Model status</x:v>
      </x:c>
      <x:c r="B15" s="152"/>
      <x:c r="C15" s="148" t="str">
        <x:f>IF(COUNTIF(F6:F11,"OK")=6,"OK","CHECK")</x:f>
        <x:v>OK</x:v>
      </x:c>
      <x:c r="D15" s="141"/>
      <x:c r="E15" s="141"/>
      <x:c r="F15" s="141"/>
      <x:c r="G15" s="142"/>
    </x:row>
    <x:row r="16">
      <x:c r="A16" s="152" t="str">
        <x:v>검증 기준</x:v>
      </x:c>
      <x:c r="B16" s="152" t="str">
        <x:v>모든 Status가 OK</x:v>
      </x:c>
      <x:c r="C16" s="30" t="str">
        <x:v>예시 파일은 구조 검증용이며 실제 source/evidence 검증은 별도로 필요합니다.</x:v>
      </x:c>
      <x:c r="D16" s="143"/>
      <x:c r="E16" s="143"/>
      <x:c r="F16" s="143"/>
      <x:c r="G16" s="144"/>
    </x:row>
  </x:sheetData>
  <x:mergeCells>
    <x:mergeCell ref="A1:G2"/>
    <x:mergeCell ref="A3:G3"/>
    <x:mergeCell ref="A14:G14"/>
    <x:mergeCell ref="C15:G15"/>
    <x:mergeCell ref="C16:G16"/>
  </x:mergeCells>
  <x:conditionalFormatting sqref="F6:F11">
    <x:cfRule type="containsText" dxfId="0" priority="1" operator="containsText" text="OK"/>
    <x:cfRule type="containsText" dxfId="1" priority="2" operator="containsText" text="CHECK"/>
  </x:conditionalFormatting>
  <x:pageMargins left="0.7" right="0.7" top="0.75" bottom="0.75" header="0.3" footer="0.3"/>
</x:worksheet>
</file>