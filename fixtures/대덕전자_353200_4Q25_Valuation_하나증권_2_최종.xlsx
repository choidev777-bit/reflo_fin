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yr08\OneDrive\바탕 화면\모델링2\대덕전자\"/>
    </mc:Choice>
  </mc:AlternateContent>
  <xr:revisionPtr revIDLastSave="0" documentId="8_{CDEC9FF2-D54E-4290-993D-64D9A51AD40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00_사용안내" sheetId="2" r:id="rId1"/>
    <sheet name="M1_실적추정_모델" sheetId="1" r:id="rId2"/>
    <sheet name="M2_목표주가_타겟멀티플" sheetId="3" r:id="rId3"/>
    <sheet name="M3_민감도분석" sheetId="4" r:id="rId4"/>
    <sheet name="01_p1_투자의견" sheetId="5" r:id="rId5"/>
    <sheet name="01A_p1_KeyData" sheetId="6" r:id="rId6"/>
    <sheet name="02_p1_Consensus" sheetId="7" r:id="rId7"/>
    <sheet name="03_p1_주가추이" sheetId="8" r:id="rId8"/>
    <sheet name="04_p1_FinancialData" sheetId="9" r:id="rId9"/>
    <sheet name="05_도표1_Valuation" sheetId="10" r:id="rId10"/>
    <sheet name="06_도표2_PER_Band" sheetId="11" r:id="rId11"/>
    <sheet name="07_도표3_PBR_Band" sheetId="12" r:id="rId12"/>
    <sheet name="08_도표4_분기실적추이" sheetId="13" r:id="rId13"/>
    <sheet name="09_도표5_수주잔고추이" sheetId="14" r:id="rId14"/>
    <sheet name="10_도표6_분기실적전망_수정후" sheetId="15" r:id="rId15"/>
    <sheet name="11_도표7_분기실적전망_수정전" sheetId="16" r:id="rId16"/>
    <sheet name="12_p4_손익계산서" sheetId="17" r:id="rId17"/>
    <sheet name="13_p4_대차대조표" sheetId="18" r:id="rId18"/>
    <sheet name="14_p4_투자지표" sheetId="19" r:id="rId19"/>
    <sheet name="15_p4_현금흐름표" sheetId="20" r:id="rId20"/>
    <sheet name="16_p5_투자의견변동_괴리율" sheetId="21" r:id="rId21"/>
    <sheet name="17_p5_투자등급_비율공시" sheetId="22" r:id="rId22"/>
    <sheet name="D1_DART확정실적_대사" sheetId="23" r:id="rId23"/>
    <sheet name="Z_출처_공시_리서치" sheetId="24" r:id="rId24"/>
  </sheets>
  <calcPr calcId="191029"/>
</workbook>
</file>

<file path=xl/calcChain.xml><?xml version="1.0" encoding="utf-8"?>
<calcChain xmlns="http://schemas.openxmlformats.org/spreadsheetml/2006/main">
  <c r="B18" i="23" l="1"/>
  <c r="D18" i="23" s="1"/>
  <c r="B17" i="23"/>
  <c r="D17" i="23" s="1"/>
  <c r="B11" i="23"/>
  <c r="D11" i="23" s="1"/>
  <c r="B10" i="23"/>
  <c r="D10" i="23" s="1"/>
  <c r="B9" i="23"/>
  <c r="D9" i="23" s="1"/>
  <c r="F19" i="22"/>
  <c r="F30" i="20"/>
  <c r="E30" i="20"/>
  <c r="D30" i="20"/>
  <c r="C30" i="20"/>
  <c r="B30" i="20"/>
  <c r="F34" i="19"/>
  <c r="E34" i="19"/>
  <c r="D34" i="19"/>
  <c r="C34" i="19"/>
  <c r="F43" i="18"/>
  <c r="E43" i="18"/>
  <c r="D43" i="18"/>
  <c r="C43" i="18"/>
  <c r="B43" i="18"/>
  <c r="F42" i="18"/>
  <c r="E42" i="18"/>
  <c r="D42" i="18"/>
  <c r="C42" i="18"/>
  <c r="B42" i="18"/>
  <c r="F41" i="18"/>
  <c r="E41" i="18"/>
  <c r="D41" i="18"/>
  <c r="C41" i="18"/>
  <c r="B41" i="18"/>
  <c r="F40" i="18"/>
  <c r="E40" i="18"/>
  <c r="D40" i="18"/>
  <c r="C40" i="18"/>
  <c r="B40" i="18"/>
  <c r="C44" i="17"/>
  <c r="B44" i="17"/>
  <c r="C43" i="17"/>
  <c r="B43" i="17"/>
  <c r="C41" i="17"/>
  <c r="B41" i="17"/>
  <c r="F19" i="17"/>
  <c r="E19" i="17"/>
  <c r="D19" i="17"/>
  <c r="B8" i="23" s="1"/>
  <c r="D8" i="23" s="1"/>
  <c r="F15" i="17"/>
  <c r="F17" i="17" s="1"/>
  <c r="E15" i="17"/>
  <c r="E17" i="17" s="1"/>
  <c r="D15" i="17"/>
  <c r="D17" i="17" s="1"/>
  <c r="C15" i="17"/>
  <c r="B15" i="17"/>
  <c r="F13" i="17"/>
  <c r="E13" i="17"/>
  <c r="D13" i="17"/>
  <c r="F9" i="17"/>
  <c r="E9" i="17"/>
  <c r="D9" i="17"/>
  <c r="C7" i="17"/>
  <c r="C42" i="17" s="1"/>
  <c r="B7" i="17"/>
  <c r="B42" i="17" s="1"/>
  <c r="L30" i="16"/>
  <c r="K30" i="16"/>
  <c r="J30" i="16"/>
  <c r="I30" i="16"/>
  <c r="H30" i="16"/>
  <c r="G30" i="16"/>
  <c r="F30" i="16"/>
  <c r="E30" i="16"/>
  <c r="D30" i="16"/>
  <c r="C30" i="16"/>
  <c r="B30" i="16"/>
  <c r="L28" i="16"/>
  <c r="L29" i="16" s="1"/>
  <c r="K28" i="16"/>
  <c r="K29" i="16" s="1"/>
  <c r="J28" i="16"/>
  <c r="J29" i="16" s="1"/>
  <c r="I28" i="16"/>
  <c r="I29" i="16" s="1"/>
  <c r="H28" i="16"/>
  <c r="H29" i="16" s="1"/>
  <c r="G28" i="16"/>
  <c r="G29" i="16" s="1"/>
  <c r="F28" i="16"/>
  <c r="F29" i="16" s="1"/>
  <c r="E28" i="16"/>
  <c r="E29" i="16" s="1"/>
  <c r="D28" i="16"/>
  <c r="D29" i="16" s="1"/>
  <c r="C28" i="16"/>
  <c r="C29" i="16" s="1"/>
  <c r="B28" i="16"/>
  <c r="B29" i="16" s="1"/>
  <c r="L30" i="15"/>
  <c r="K30" i="15"/>
  <c r="J30" i="15"/>
  <c r="I30" i="15"/>
  <c r="H30" i="15"/>
  <c r="G30" i="15"/>
  <c r="F30" i="15"/>
  <c r="E30" i="15"/>
  <c r="D30" i="15"/>
  <c r="C30" i="15"/>
  <c r="B30" i="15"/>
  <c r="L28" i="15"/>
  <c r="L29" i="15" s="1"/>
  <c r="K28" i="15"/>
  <c r="K29" i="15" s="1"/>
  <c r="J28" i="15"/>
  <c r="J29" i="15" s="1"/>
  <c r="I28" i="15"/>
  <c r="I29" i="15" s="1"/>
  <c r="H28" i="15"/>
  <c r="H29" i="15" s="1"/>
  <c r="G28" i="15"/>
  <c r="G29" i="15" s="1"/>
  <c r="F28" i="15"/>
  <c r="F29" i="15" s="1"/>
  <c r="E28" i="15"/>
  <c r="E29" i="15" s="1"/>
  <c r="D28" i="15"/>
  <c r="D29" i="15" s="1"/>
  <c r="C28" i="15"/>
  <c r="C29" i="15" s="1"/>
  <c r="B28" i="15"/>
  <c r="B29" i="15" s="1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B19" i="12"/>
  <c r="C19" i="12" s="1"/>
  <c r="D19" i="12" s="1"/>
  <c r="B18" i="12"/>
  <c r="C18" i="12" s="1"/>
  <c r="D18" i="12" s="1"/>
  <c r="B17" i="12"/>
  <c r="C17" i="12" s="1"/>
  <c r="D17" i="12" s="1"/>
  <c r="B16" i="12"/>
  <c r="C16" i="12" s="1"/>
  <c r="D16" i="12" s="1"/>
  <c r="B15" i="12"/>
  <c r="C15" i="12" s="1"/>
  <c r="D15" i="12" s="1"/>
  <c r="B19" i="11"/>
  <c r="C19" i="11" s="1"/>
  <c r="D19" i="11" s="1"/>
  <c r="B18" i="11"/>
  <c r="C18" i="11" s="1"/>
  <c r="D18" i="11" s="1"/>
  <c r="B17" i="11"/>
  <c r="C17" i="11" s="1"/>
  <c r="D17" i="11" s="1"/>
  <c r="B16" i="11"/>
  <c r="C16" i="11" s="1"/>
  <c r="D16" i="11" s="1"/>
  <c r="B15" i="11"/>
  <c r="C15" i="11" s="1"/>
  <c r="D15" i="11" s="1"/>
  <c r="C8" i="10"/>
  <c r="E21" i="9"/>
  <c r="D21" i="9"/>
  <c r="C21" i="9"/>
  <c r="B21" i="9"/>
  <c r="E20" i="9"/>
  <c r="D20" i="9"/>
  <c r="C20" i="9"/>
  <c r="B20" i="9"/>
  <c r="B9" i="8"/>
  <c r="B8" i="8"/>
  <c r="B7" i="8"/>
  <c r="B6" i="8"/>
  <c r="C15" i="7"/>
  <c r="B15" i="7"/>
  <c r="C41" i="3"/>
  <c r="C42" i="3" s="1"/>
  <c r="C23" i="3"/>
  <c r="C10" i="3"/>
  <c r="C7" i="3"/>
  <c r="J45" i="1"/>
  <c r="J44" i="1"/>
  <c r="C36" i="1"/>
  <c r="B36" i="1"/>
  <c r="F35" i="1"/>
  <c r="F36" i="1" s="1"/>
  <c r="E35" i="1"/>
  <c r="E36" i="1" s="1"/>
  <c r="C41" i="1" s="1"/>
  <c r="D35" i="1"/>
  <c r="D36" i="1" s="1"/>
  <c r="F34" i="1"/>
  <c r="E34" i="1"/>
  <c r="D34" i="1"/>
  <c r="F33" i="1"/>
  <c r="E33" i="1"/>
  <c r="D33" i="1"/>
  <c r="K28" i="1"/>
  <c r="H26" i="1"/>
  <c r="G26" i="1"/>
  <c r="F26" i="1"/>
  <c r="D26" i="1"/>
  <c r="C26" i="1"/>
  <c r="B26" i="1"/>
  <c r="E26" i="1" s="1"/>
  <c r="H25" i="1"/>
  <c r="G25" i="1"/>
  <c r="F25" i="1"/>
  <c r="I25" i="1" s="1"/>
  <c r="D25" i="1"/>
  <c r="C25" i="1"/>
  <c r="B25" i="1"/>
  <c r="E25" i="1" s="1"/>
  <c r="K21" i="1"/>
  <c r="J21" i="1"/>
  <c r="F16" i="1"/>
  <c r="E16" i="1"/>
  <c r="D16" i="1"/>
  <c r="C16" i="1"/>
  <c r="B16" i="1"/>
  <c r="K15" i="1"/>
  <c r="J15" i="1"/>
  <c r="K14" i="1"/>
  <c r="J14" i="1"/>
  <c r="K13" i="1"/>
  <c r="J13" i="1"/>
  <c r="K12" i="1"/>
  <c r="J12" i="1"/>
  <c r="L11" i="1"/>
  <c r="L16" i="1" s="1"/>
  <c r="K11" i="1"/>
  <c r="K16" i="1" s="1"/>
  <c r="J11" i="1"/>
  <c r="J16" i="1" s="1"/>
  <c r="I11" i="1"/>
  <c r="I16" i="1" s="1"/>
  <c r="H11" i="1"/>
  <c r="H16" i="1" s="1"/>
  <c r="G11" i="1"/>
  <c r="G16" i="1" s="1"/>
  <c r="F11" i="1"/>
  <c r="E11" i="1"/>
  <c r="D11" i="1"/>
  <c r="C11" i="1"/>
  <c r="B11" i="1"/>
  <c r="C45" i="17" l="1"/>
  <c r="C17" i="17"/>
  <c r="B45" i="17"/>
  <c r="B17" i="17"/>
  <c r="F45" i="17"/>
  <c r="F44" i="17"/>
  <c r="E45" i="17"/>
  <c r="E44" i="17"/>
  <c r="D45" i="17"/>
  <c r="D44" i="17"/>
  <c r="B7" i="23"/>
  <c r="D7" i="23" s="1"/>
  <c r="E33" i="19"/>
  <c r="E32" i="19"/>
  <c r="A7" i="4"/>
  <c r="A9" i="4"/>
  <c r="A8" i="4"/>
  <c r="A11" i="4"/>
  <c r="A10" i="4"/>
  <c r="D9" i="4"/>
  <c r="C24" i="3"/>
  <c r="C17" i="3"/>
  <c r="C14" i="3"/>
  <c r="C15" i="3" s="1"/>
  <c r="E6" i="4"/>
  <c r="D6" i="4"/>
  <c r="B6" i="4"/>
  <c r="C7" i="10"/>
  <c r="C12" i="10" s="1"/>
  <c r="C13" i="10" s="1"/>
  <c r="F6" i="4"/>
  <c r="C6" i="4"/>
  <c r="I26" i="1"/>
  <c r="B19" i="23"/>
  <c r="D19" i="23" s="1"/>
  <c r="F22" i="1"/>
  <c r="F17" i="1"/>
  <c r="F18" i="1"/>
  <c r="E17" i="1"/>
  <c r="E18" i="1"/>
  <c r="E22" i="1"/>
  <c r="D17" i="1"/>
  <c r="D18" i="1"/>
  <c r="D22" i="1"/>
  <c r="C17" i="1"/>
  <c r="C22" i="1"/>
  <c r="C18" i="1"/>
  <c r="B22" i="1"/>
  <c r="B17" i="1"/>
  <c r="B18" i="1"/>
  <c r="L17" i="1"/>
  <c r="F5" i="17"/>
  <c r="L22" i="1"/>
  <c r="F32" i="1"/>
  <c r="K17" i="1"/>
  <c r="E32" i="1"/>
  <c r="C40" i="1"/>
  <c r="K22" i="1"/>
  <c r="E5" i="17"/>
  <c r="J17" i="1"/>
  <c r="B40" i="1"/>
  <c r="D5" i="17"/>
  <c r="D43" i="17" s="1"/>
  <c r="D32" i="1"/>
  <c r="I17" i="1"/>
  <c r="I18" i="1"/>
  <c r="I22" i="1"/>
  <c r="H17" i="1"/>
  <c r="H18" i="1"/>
  <c r="H22" i="1"/>
  <c r="G17" i="1"/>
  <c r="G18" i="1"/>
  <c r="G22" i="1"/>
  <c r="J22" i="1"/>
  <c r="C7" i="4" l="1"/>
  <c r="D7" i="4"/>
  <c r="F7" i="4"/>
  <c r="B7" i="4"/>
  <c r="E7" i="4"/>
  <c r="B9" i="4"/>
  <c r="E9" i="4"/>
  <c r="C9" i="4"/>
  <c r="F9" i="4"/>
  <c r="B8" i="4"/>
  <c r="D8" i="4"/>
  <c r="F8" i="4"/>
  <c r="C8" i="4"/>
  <c r="E8" i="4"/>
  <c r="C11" i="4"/>
  <c r="F11" i="4"/>
  <c r="D11" i="4"/>
  <c r="B11" i="4"/>
  <c r="E11" i="4"/>
  <c r="B10" i="4"/>
  <c r="E10" i="4"/>
  <c r="C10" i="4"/>
  <c r="D10" i="4"/>
  <c r="F10" i="4"/>
  <c r="C16" i="3"/>
  <c r="C22" i="3" s="1"/>
  <c r="C21" i="3"/>
  <c r="C18" i="10"/>
  <c r="C14" i="10"/>
  <c r="C19" i="10" s="1"/>
  <c r="F43" i="17"/>
  <c r="F41" i="17"/>
  <c r="F7" i="17"/>
  <c r="F42" i="17" s="1"/>
  <c r="E43" i="17"/>
  <c r="E41" i="17"/>
  <c r="E7" i="17"/>
  <c r="E42" i="17" s="1"/>
  <c r="C14" i="7"/>
  <c r="D41" i="17"/>
  <c r="B6" i="23"/>
  <c r="D6" i="23" s="1"/>
  <c r="B14" i="7"/>
  <c r="D7" i="17"/>
  <c r="D42" i="17" s="1"/>
</calcChain>
</file>

<file path=xl/sharedStrings.xml><?xml version="1.0" encoding="utf-8"?>
<sst xmlns="http://schemas.openxmlformats.org/spreadsheetml/2006/main" count="1089" uniqueCount="593">
  <si>
    <t>표 1. 대덕전자 실적 추정 모델 — 세그먼트 매출부터 EPS까지</t>
  </si>
  <si>
    <t>대덕전자 (353200) | 4Q25 Earnings Review 기준 | 단위: 각 표 참조</t>
  </si>
  <si>
    <t>노랑=입력, 연청=자동/계산, 초록=타 시트 연결, 파랑글씨=하드코딩</t>
  </si>
  <si>
    <t xml:space="preserve">  ⓞ 공통 가정</t>
  </si>
  <si>
    <t>항목</t>
  </si>
  <si>
    <t>입력값</t>
  </si>
  <si>
    <t>단위</t>
  </si>
  <si>
    <t>비고</t>
  </si>
  <si>
    <t>발행주식수</t>
  </si>
  <si>
    <t>천주</t>
  </si>
  <si>
    <t>공시 자동 수집값 (사용자 입력 대상 아님). 01A_p1_KeyData 시트의 발행주식수, 2026.01.29 기준. 주당지표 계산의 분모입니다.</t>
  </si>
  <si>
    <t xml:space="preserve">  ① 세그먼트별 분기 매출 (사용자 입력) — Substrate PKG는 Memory·Logic의 소계입니다</t>
  </si>
  <si>
    <t>1Q25</t>
  </si>
  <si>
    <t>2Q25</t>
  </si>
  <si>
    <t>3Q25</t>
  </si>
  <si>
    <t>4Q25</t>
  </si>
  <si>
    <t>1Q26F</t>
  </si>
  <si>
    <t>2Q26F</t>
  </si>
  <si>
    <t>3Q26F</t>
  </si>
  <si>
    <t>4Q26F</t>
  </si>
  <si>
    <t>2025</t>
  </si>
  <si>
    <t>2026F</t>
  </si>
  <si>
    <t>2027F</t>
  </si>
  <si>
    <t>Substrate PKG</t>
  </si>
  <si>
    <t xml:space="preserve">   -Memory</t>
  </si>
  <si>
    <t xml:space="preserve">   -Logic</t>
  </si>
  <si>
    <t>MLB</t>
  </si>
  <si>
    <t>Flexible</t>
  </si>
  <si>
    <t>매출액 (계)</t>
  </si>
  <si>
    <t xml:space="preserve">    YoY</t>
  </si>
  <si>
    <t>%</t>
  </si>
  <si>
    <t xml:space="preserve">    QoQ</t>
  </si>
  <si>
    <t xml:space="preserve">  ② 영업이익</t>
  </si>
  <si>
    <t>영업이익</t>
  </si>
  <si>
    <t xml:space="preserve">  OPM</t>
  </si>
  <si>
    <t xml:space="preserve">  ③ 분기 세전이익·지배주주순이익 자동 배분</t>
  </si>
  <si>
    <t>세전이익 (분기 자동배분 / 연간 입력)</t>
  </si>
  <si>
    <t>지배주주순이익 (분기 자동배분 / 연간 입력)</t>
  </si>
  <si>
    <t>밸류에이션 적용 EPS (원, 2026F)</t>
  </si>
  <si>
    <t xml:space="preserve">  ④ 연간 손익 요약 (자동계산 — 위 분기·연간 입력을 합산)</t>
  </si>
  <si>
    <t>2023</t>
  </si>
  <si>
    <t>2024</t>
  </si>
  <si>
    <t>2025F</t>
  </si>
  <si>
    <t>매출액</t>
  </si>
  <si>
    <t>십억원</t>
  </si>
  <si>
    <t>세전이익</t>
  </si>
  <si>
    <t>지배주주순이익</t>
  </si>
  <si>
    <t>EPS</t>
  </si>
  <si>
    <t>원</t>
  </si>
  <si>
    <t xml:space="preserve">  ⑤ 원문(도표 6) 대비 확인</t>
  </si>
  <si>
    <t>체크 항목</t>
  </si>
  <si>
    <t>분기 합계 매출 vs 도표6 연간</t>
  </si>
  <si>
    <t>0에 가까울수록 도표6과 일치</t>
  </si>
  <si>
    <t>EPS(2026F) vs 도표1 적용 EPS</t>
  </si>
  <si>
    <t>대덕전자는 도표1 EPS가 추정재무제표 EPS와 동일합니다 (ISC와 달리 괴리 없음)</t>
  </si>
  <si>
    <t xml:space="preserve">  전년 동기 비교 기준 — 2024년 분기 실적 (하나증권 도표6·7 YoY%로 역산, DART 연간실적과 대조)</t>
  </si>
  <si>
    <t>매출액 (2024, 역산)</t>
  </si>
  <si>
    <t>영업이익 (2024, 역산)</t>
  </si>
  <si>
    <t>자료: 대덕전자, 하나증권 4Q25 Earnings Review (2026.01.30), DART 정기보고서 | 금액 단위: 십억원, EPS: 원</t>
  </si>
  <si>
    <t>주) 세그먼트 매출 구조는 Substrate PKG → Memory/Logic 하위항목 → MLB → Flexible 순서로 표시했습니다. Substrate PKG는 Memory와 Logic의 합계이며, 매출액(계)은 Substrate PKG + MLB + Flexible로 자동 계산됩니다.</t>
  </si>
  <si>
    <t>주) 2027F 매출액(세그먼트 분해)·세전이익 228.5·지배주주순이익 182.8(십억원)은 원문 도표 6·7에 없는 확장 추정치입니다. 매출은 세그먼트별 성장률 가정(Memory +14.8%, Logic +8.0%, MLB +2.0%, Flexible 0%)을 적용해 하나증권 밸류에이션 전제인 연간 매출 1,633.3십억원과 정확히 일치하도록 배분했고, 세전이익·순이익은 2026F 대비 증가율 추세를 준용했습니다.</t>
  </si>
  <si>
    <t>주) 2024년 분기 실적은 DART 개별 분기 공시가 없어, 도표 6·7에 인쇄된 YoY(%) 를 거꾸로 풀어 역산했습니다 (예: 4Q25 매출 317.9, YoY +54.0% → 4Q24 = 317.9/1.540 = 206.4). 분기 합계 892.2십억원이 DART 사업보고서(2026.03.18)의 2024년 확정 매출 892.1십억원과 0.1 이내로 일치해 교차검증됩니다.</t>
  </si>
  <si>
    <t>주) DART 확정 실적(사업보고서 2026.03.18, 분기보고서 2026.05.14)은 D1_DART확정실적_대사 시트에서 이 모델의 추정치와 나란히 비교합니다. 2025년 매출 1,065.3 / 영업이익 49.1 / 순이익 47.6(십억원)이 확정치이며 보고서 추정치(1,065.3 / 49.2 / 48.8)와 근접합니다.</t>
  </si>
  <si>
    <t>주) 비율은 % 기호 없이 소수로 저장하고 표시 형식만 %로 지정했습니다. 밸류에이션과 분기 배분은 수식으로 연결되어 있으며, 연노랑 연간 입력값을 변경하면 관련 시트가 함께 다시 계산됩니다.</t>
  </si>
  <si>
    <t>대덕전자 (353200) Valuation Workbook</t>
  </si>
  <si>
    <t>원자료: 하나증권 「대덕전자 (353200) — 기판 맹수, 앙!」 4Q25 Earnings Review, 2026.01.30, Analyst 김민경</t>
  </si>
  <si>
    <t xml:space="preserve">  1. 서식 규칙 (Formatting convention)</t>
  </si>
  <si>
    <t>구분</t>
  </si>
  <si>
    <t>서식</t>
  </si>
  <si>
    <t>설명</t>
  </si>
  <si>
    <t>애널리스트 입력 칸</t>
  </si>
  <si>
    <t>연노랑 바탕 + 파란 글씨 + 굵은 청록 테두리</t>
  </si>
  <si>
    <t>서비스가 사용자에게 입력받을 칸입니다. 다음 분기·연도 추정치와 밸류에이션 가정(비교 P/E·타겟 멀티플)만 여기에 들어갑니다. 여기만 고치면 실적 추정·목표주가·상승여력이 전부 다시 계산됩니다. (M1·M2 시트)</t>
  </si>
  <si>
    <t>공시·시장 자동 수집값</t>
  </si>
  <si>
    <t>연청회색 바탕 + 파란 글씨</t>
  </si>
  <si>
    <t>과거 확정 실적, 발행주식수, 현재주가처럼 서비스가 공시·시장 데이터에서 알아서 끌어오는 값입니다. 형식상 하드코딩이지만 사용자 입력 대상이 아니므로 노란 칸과 구분해 두었습니다.</t>
  </si>
  <si>
    <t>보고서 원문 전사값</t>
  </si>
  <si>
    <t>파란 글씨 (추정치 열은 연청회색 음영)</t>
  </si>
  <si>
    <t>하나증권 보고서에 인쇄된 숫자를 그대로 옮긴 값입니다. 추정 재무제표의 2025F~2027F 열은 가독성을 위해 연청회색 음영을 추가합니다.</t>
  </si>
  <si>
    <t>수식 계산값</t>
  </si>
  <si>
    <t>검정 글씨</t>
  </si>
  <si>
    <t>같은 시트 안의 값으로 계산된 결과입니다.</t>
  </si>
  <si>
    <t>다른 시트 참조값</t>
  </si>
  <si>
    <t>초록 글씨</t>
  </si>
  <si>
    <t>다른 시트를 참조해 계산된 결과입니다.</t>
  </si>
  <si>
    <t>확보하지 못한 구간</t>
  </si>
  <si>
    <t>진한 회색 바탕</t>
  </si>
  <si>
    <t>DART·리포트 어디에서도 값을 찾지 못한 칸입니다. 임의로 추정해 넣지 않았습니다.</t>
  </si>
  <si>
    <t>차트 이미지 판독(근사)</t>
  </si>
  <si>
    <t>옅은 주황 글씨, 기울임</t>
  </si>
  <si>
    <t>리포트에 표는 없고 차트만 있는 구간(도표4·5의 1Q21~4Q23)을 차트 이미지의 눈금을 읽어 근사한 값입니다. 연간 합계·YoY% 로 역산 가능한 구간은 우선 그 방법을 쓰고, 그래도 안 되는 21~23년만 이 방식을 썼습니다.</t>
  </si>
  <si>
    <t xml:space="preserve">  2. 시트 구성</t>
  </si>
  <si>
    <t>시트</t>
  </si>
  <si>
    <t>원문 위치</t>
  </si>
  <si>
    <t>내용</t>
  </si>
  <si>
    <t>M1_실적추정_모델</t>
  </si>
  <si>
    <t>(서비스 화면)</t>
  </si>
  <si>
    <t>실적 추정의 유일한 입력 원천. 세그먼트 매출은 Substrate PKG → Memory/Logic → MLB → Flexible 구조로 표시하고, Substrate PKG와 매출액 계는 자동 계산합니다.</t>
  </si>
  <si>
    <t>M2_목표주가_타겟멀티플</t>
  </si>
  <si>
    <t>(분석용 파생)</t>
  </si>
  <si>
    <t>Target P/E 적용 목표주가·상승여력. EPS 기준과 밸류에이션 방식은 드롭다운으로 선택</t>
  </si>
  <si>
    <t>M3_민감도분석</t>
  </si>
  <si>
    <t>M2의 EPS·P/E를 자동 참조하는 목표주가 민감도. 이 시트에는 직접 입력 셀이 없습니다.</t>
  </si>
  <si>
    <t>01_p1_투자의견</t>
  </si>
  <si>
    <t>p.1 표지</t>
  </si>
  <si>
    <t>투자의견·목표주가·현재주가</t>
  </si>
  <si>
    <t>01A_p1_KeyData</t>
  </si>
  <si>
    <t>p.1 Key Data</t>
  </si>
  <si>
    <t>시장지표·주가밴드·시가총액·주식수·주요주주</t>
  </si>
  <si>
    <t>02_p1_Consensus</t>
  </si>
  <si>
    <t>p.1 Consensus Data</t>
  </si>
  <si>
    <t>시장 컨센서스 (2025·2026)</t>
  </si>
  <si>
    <t>03_p1_주가추이</t>
  </si>
  <si>
    <t>p.1 Stock Price</t>
  </si>
  <si>
    <t>표지 주가 차트 대체</t>
  </si>
  <si>
    <t>04_p1_FinancialData</t>
  </si>
  <si>
    <t>p.1 Financial Data</t>
  </si>
  <si>
    <t>요약 투자지표</t>
  </si>
  <si>
    <t>05_도표1_Valuation</t>
  </si>
  <si>
    <t>도표 1</t>
  </si>
  <si>
    <t>밸류에이션</t>
  </si>
  <si>
    <t>06_도표2_PER_Band</t>
  </si>
  <si>
    <t>도표 2</t>
  </si>
  <si>
    <t>12MF P/E Band 배수</t>
  </si>
  <si>
    <t>07_도표3_PBR_Band</t>
  </si>
  <si>
    <t>도표 3</t>
  </si>
  <si>
    <t>12MF P/B Band 배수</t>
  </si>
  <si>
    <t>08_도표4_분기실적추이</t>
  </si>
  <si>
    <t>도표 4</t>
  </si>
  <si>
    <t>분기별 매출·OPM 추이</t>
  </si>
  <si>
    <t>09_도표5_수주잔고추이</t>
  </si>
  <si>
    <t>도표 5</t>
  </si>
  <si>
    <t>분기별 수주잔고 추이</t>
  </si>
  <si>
    <t>10_도표6_분기실적전망_수정후</t>
  </si>
  <si>
    <t>도표 6</t>
  </si>
  <si>
    <t>분기별 실적 전망 수정 후</t>
  </si>
  <si>
    <t>11_도표7_분기실적전망_수정전</t>
  </si>
  <si>
    <t>도표 7</t>
  </si>
  <si>
    <t>분기별 실적 전망 수정 전</t>
  </si>
  <si>
    <t>12_p4_손익계산서</t>
  </si>
  <si>
    <t>p.4 추정재무제표</t>
  </si>
  <si>
    <t>손익계산서 + 성장성·수익성 지표</t>
  </si>
  <si>
    <t>13_p4_대차대조표</t>
  </si>
  <si>
    <t>대차대조표</t>
  </si>
  <si>
    <t>14_p4_투자지표</t>
  </si>
  <si>
    <t>주당지표·주가지표·재무비율</t>
  </si>
  <si>
    <t>15_p4_현금흐름표</t>
  </si>
  <si>
    <t>현금흐름표</t>
  </si>
  <si>
    <t>16_p5_투자의견변동_괴리율</t>
  </si>
  <si>
    <t>p.5</t>
  </si>
  <si>
    <t>투자의견 변동 내역 및 목표주가 괴리율</t>
  </si>
  <si>
    <t>17_p5_투자등급_비율공시</t>
  </si>
  <si>
    <t>투자등급 분류 기준 및 투자의견 비율공시</t>
  </si>
  <si>
    <t>D1_DART확정실적_대사</t>
  </si>
  <si>
    <t>(파생)</t>
  </si>
  <si>
    <t>DART 확정 공시 실적 대사</t>
  </si>
  <si>
    <t>Z_출처_공시_리서치</t>
  </si>
  <si>
    <t>(부록)</t>
  </si>
  <si>
    <t>출처, 미확보 구간, DART 접수번호</t>
  </si>
  <si>
    <t xml:space="preserve">  3. 읽을 때 유의사항</t>
  </si>
  <si>
    <t>•</t>
  </si>
  <si>
    <t>보고서 본문의 줄글은 제외했고, 표에 인쇄된 수치와 차트만 시트로 옮겼습니다.</t>
  </si>
  <si>
    <t>표지의 투자의견과 Key Data도 각각 별도 시트로 구분했습니다.</t>
  </si>
  <si>
    <t>M3 민감도분석은 입력 시트가 아닙니다. M2에서 EPS 또는 P/E를 변경하면 자동으로 갱신됩니다.</t>
  </si>
  <si>
    <t>추정 재무제표의 2025F~2027F 셀은 연청회색 음영이며, 원문 전사값은 파란 글씨·수식은 검정·다른 시트 연결은 초록 글씨입니다.</t>
  </si>
  <si>
    <t>도표4·도표5 차트 판독 근사값은 주황 기울임체로 표시했습니다.</t>
  </si>
  <si>
    <t>모든 핵심 수식과 참조는 최종 파일에서 오류값이 없는지 다시 검사했습니다.</t>
  </si>
  <si>
    <t>목표주가 산출 — Target P/E 모델</t>
  </si>
  <si>
    <t>Target P/E 목표주가 산출. EPS와 밸류에이션 방식은 드롭다운 선택.</t>
  </si>
  <si>
    <t xml:space="preserve">  ① 입력값 — 노랑: 애널리스트 추정 입력 / 연청회색: 공시·시장 자동 수집</t>
  </si>
  <si>
    <t>비고 (원문 기준)</t>
  </si>
  <si>
    <t>선택</t>
  </si>
  <si>
    <t>적용 EPS 스위치</t>
  </si>
  <si>
    <t>보고서 원문 EPS</t>
  </si>
  <si>
    <t>드롭다운: M1 자체 계산 EPS 또는 도표1 원문 EPS. 기본값은 보고서 원문 EPS</t>
  </si>
  <si>
    <t>산출</t>
  </si>
  <si>
    <t>적정 P/E (선택 방식)</t>
  </si>
  <si>
    <t>배</t>
  </si>
  <si>
    <t>아래 밸류에이션 방식 드롭다운에 따라 자동 선택</t>
  </si>
  <si>
    <t>자동</t>
  </si>
  <si>
    <t>현재주가</t>
  </si>
  <si>
    <t>2026.01.29 종가 — 시장 데이터에서 자동 수집</t>
  </si>
  <si>
    <t>입력</t>
  </si>
  <si>
    <t>목표주가 반올림 단위</t>
  </si>
  <si>
    <t>제시 목표주가 라운딩 단위 (81,000원 = 1천원 단위 반올림)</t>
  </si>
  <si>
    <t>적용 EPS (2026F)</t>
  </si>
  <si>
    <t>스위치에 따라 M1 모델값 또는 도표1 원문값 3,033원 선택</t>
  </si>
  <si>
    <t xml:space="preserve">  ② 산출 (Output)</t>
  </si>
  <si>
    <t>산출값</t>
  </si>
  <si>
    <t>산식</t>
  </si>
  <si>
    <t>목표주가 (산출)</t>
  </si>
  <si>
    <t>적용 EPS × 적정 P/E</t>
  </si>
  <si>
    <t>목표주가 (제시)</t>
  </si>
  <si>
    <t>산출 목표주가를 반올림 단위로 라운딩</t>
  </si>
  <si>
    <t>상승여력</t>
  </si>
  <si>
    <t>목표주가(제시) ÷ 현재주가 − 1</t>
  </si>
  <si>
    <t>현재주가 내재 P/E</t>
  </si>
  <si>
    <t>현재주가 ÷ 적용 EPS</t>
  </si>
  <si>
    <t xml:space="preserve">  ③ 원문 대조 및 EPS 기준 비교 (정합성 체크)</t>
  </si>
  <si>
    <t>값</t>
  </si>
  <si>
    <t>원문값</t>
  </si>
  <si>
    <t>체크</t>
  </si>
  <si>
    <t>목표주가 (모델, 제시)</t>
  </si>
  <si>
    <t>원문 도표1 목표주가</t>
  </si>
  <si>
    <t>상승여력 (모델)</t>
  </si>
  <si>
    <t>원문 도표1 상승여력</t>
  </si>
  <si>
    <t>비교</t>
  </si>
  <si>
    <t>컨센서스 2026 EPS</t>
  </si>
  <si>
    <t>컨센서스는 하나증권보다 2026F EPS를 낮게(2,579원) 봅니다 — 도표1 3,033원 대비 -15%</t>
  </si>
  <si>
    <t>적용 EPS vs 컨센서스 차이</t>
  </si>
  <si>
    <t>하나증권 목표주가가 컨센서스보다 낙관적인 26F EPS를 전제로 함을 보여줍니다</t>
  </si>
  <si>
    <t>자료: 대덕전자, 하나증권</t>
  </si>
  <si>
    <t>주) 목표주가 산출값(≈80,600원)을 1천원 단위로 반올림하면 원문 제시 목표주가 81,000원이 재현됩니다. 상승여력은 제시 목표주가 기준 54.3%로 원문과 일치합니다.</t>
  </si>
  <si>
    <t xml:space="preserve">  ④ 밸류에이션 방식 및 Peer P/E (4Q25 리뷰 시점)</t>
  </si>
  <si>
    <t>밸류에이션 방식</t>
  </si>
  <si>
    <t>Peer 평균 P/E</t>
  </si>
  <si>
    <t>Peer 평균 / 보고서 원문 / 직접 입력</t>
  </si>
  <si>
    <t>직접 입력 P/E</t>
  </si>
  <si>
    <t>직접 입력 방식을 선택할 때 적용</t>
  </si>
  <si>
    <t>원문</t>
  </si>
  <si>
    <t>보고서 원문 P/E</t>
  </si>
  <si>
    <t>하나증권 4Q25 도표1의 Target P/E</t>
  </si>
  <si>
    <t>Peer 회사</t>
  </si>
  <si>
    <t>2026E P/E</t>
  </si>
  <si>
    <t>기준 / 상태</t>
  </si>
  <si>
    <t>Peer</t>
  </si>
  <si>
    <t>Ibiden</t>
  </si>
  <si>
    <t>4Q25 시점 근사·보고서 평균 역산 구성</t>
  </si>
  <si>
    <t>Unimicron</t>
  </si>
  <si>
    <t>삼성전기</t>
  </si>
  <si>
    <t>심텍</t>
  </si>
  <si>
    <t>해성디에스</t>
  </si>
  <si>
    <t>추가</t>
  </si>
  <si>
    <t>코리아써키트</t>
  </si>
  <si>
    <t>1Q26 보고서에서 추가된 Peer — 시연 시 값 입력</t>
  </si>
  <si>
    <t>빈 셀은 평균 계산에서 제외</t>
  </si>
  <si>
    <t>Peer 평균 - 보고서 P/E</t>
  </si>
  <si>
    <t>코리아써키트 입력 전 0.00배가 되어야 함</t>
  </si>
  <si>
    <t>Target P/E × 2026F EPS 목표주가 민감도 (원문에 없는 파생 분석)</t>
  </si>
  <si>
    <t>M2_목표주가_타겟멀티플 시트의 기준선(적정 P/E 26.58배, EPS 3,033원)을 중심으로 ±2배수/±10% 구간의 목표주가를 계산합니다.</t>
  </si>
  <si>
    <t xml:space="preserve">  목표주가 민감도표 (원)</t>
  </si>
  <si>
    <t>EPS \ P/E</t>
  </si>
  <si>
    <t>주) 이 시트에는 사용자가 직접 입력하는 셀이 없습니다. M2의 적용 EPS·적정 P/E를 변경하면 민감도 행·열과 기준값(D9)이 모두 자동으로 갱신됩니다.</t>
  </si>
  <si>
    <t>대덕전자 (353200) — 투자의견</t>
  </si>
  <si>
    <t>하나증권 리포트 p.1 게재</t>
  </si>
  <si>
    <t xml:space="preserve">  투자의견</t>
  </si>
  <si>
    <t>투자의견</t>
  </si>
  <si>
    <t>BUY (유지)</t>
  </si>
  <si>
    <t>변동 없음</t>
  </si>
  <si>
    <t>목표주가(12M)</t>
  </si>
  <si>
    <t>상향 (기존 59,000원)</t>
  </si>
  <si>
    <t>현재주가(2026.01.29)</t>
  </si>
  <si>
    <t>자료: 하나증권, 2026.01.29 기준</t>
  </si>
  <si>
    <t>주) 목표주가 81,000원과 현재주가 52,500원은 리포트 표지 원문 전사값입니다.</t>
  </si>
  <si>
    <t>대덕전자 (353200) — Key Data</t>
  </si>
  <si>
    <t xml:space="preserve">  Key Data</t>
  </si>
  <si>
    <t>KOSPI지수</t>
  </si>
  <si>
    <t>pt</t>
  </si>
  <si>
    <t>52주 최고</t>
  </si>
  <si>
    <t>52주 최저</t>
  </si>
  <si>
    <t>시가총액</t>
  </si>
  <si>
    <t>시가총액비중</t>
  </si>
  <si>
    <t>60일 평균 거래량</t>
  </si>
  <si>
    <t>60일 평균 거래대금</t>
  </si>
  <si>
    <t>외국인지분율</t>
  </si>
  <si>
    <t xml:space="preserve">  주요주주 지분율</t>
  </si>
  <si>
    <t>주주</t>
  </si>
  <si>
    <t>지분율</t>
  </si>
  <si>
    <t>대덕 외 5인</t>
  </si>
  <si>
    <t>국민연금공단</t>
  </si>
  <si>
    <t>주) 시가총액비중은 원문 0.06%를 소수값 0.0006으로 저장했습니다.</t>
  </si>
  <si>
    <t>Consensus Data</t>
  </si>
  <si>
    <t>하나증권 리포트 p.1 게재 / 단위: 십억원, 원</t>
  </si>
  <si>
    <t>2026</t>
  </si>
  <si>
    <t>매출액(십억원)</t>
  </si>
  <si>
    <t>영업이익(십억원)</t>
  </si>
  <si>
    <t>순이익(십억원)</t>
  </si>
  <si>
    <t>EPS(원)</t>
  </si>
  <si>
    <t>BPS(원)</t>
  </si>
  <si>
    <t>자료: 하나증권 (FnGuide 컨센서스 인용)</t>
  </si>
  <si>
    <t xml:space="preserve">  하나증권 추정치 대비 괴리 (파생)</t>
  </si>
  <si>
    <t>매출액 괴리 (하나증권/컨센서스-1)</t>
  </si>
  <si>
    <t>EPS 괴리 (하나증권/컨센서스-1)</t>
  </si>
  <si>
    <t>Stock Price — 표지 차트 대체</t>
  </si>
  <si>
    <t>원문은 「대덕전자(좌) vs 상대지수(우)」 월별 주가 차트입니다. 시세 제공 사이트가 대부분 자동 수집을 차단해 전체 월별 시계열은 확보하지 못했고, 리포트에 인쇄된 확정 수치만 아래에 옮겼습니다.</t>
  </si>
  <si>
    <t xml:space="preserve">  확보한 지표</t>
  </si>
  <si>
    <t>2026.01.29 종가</t>
  </si>
  <si>
    <t>시가총액(십억원)</t>
  </si>
  <si>
    <t>현재주가 × 발행주식수와 유사(단수차이 있음)</t>
  </si>
  <si>
    <t>월별 주가·상대지수 시계열 (21.1~26.1)</t>
  </si>
  <si>
    <t>미확보 사유: finance.naver.com, stockanalysis.com 등 시세 제공 사이트가 자동 수집을 차단했습니다. 16_p5_투자의견변동_괴리율 시트에 목표주가 변동 이력(날짜별)은 정확히 옮겨져 있어 참고할 수 있습니다.</t>
  </si>
  <si>
    <t>Financial Data (요약 투자지표)</t>
  </si>
  <si>
    <t>하나증권 리포트 p.1 게재 / 단위: 십억원, %, 배, 원</t>
  </si>
  <si>
    <t>투자지표</t>
  </si>
  <si>
    <t>순이익</t>
  </si>
  <si>
    <t>증감율</t>
  </si>
  <si>
    <t>PER</t>
  </si>
  <si>
    <t>PBR</t>
  </si>
  <si>
    <t>EV/EBITDA</t>
  </si>
  <si>
    <t>ROE</t>
  </si>
  <si>
    <t>BPS</t>
  </si>
  <si>
    <t>DPS</t>
  </si>
  <si>
    <t xml:space="preserve">  정합성 체크 (원문 수치를 수식으로 재계산)</t>
  </si>
  <si>
    <t>영업이익률 = 영업이익/매출액</t>
  </si>
  <si>
    <t>14_p4_투자지표 영업이익률과 대조</t>
  </si>
  <si>
    <t>PER 재계산 = 주가/EPS</t>
  </si>
  <si>
    <t>PER × EPS = 해당 연도 기준주가(원)</t>
  </si>
  <si>
    <t>자료: 하나증권</t>
  </si>
  <si>
    <t>주) 이 표는 4페이지 추정재무제표(12_p4_손익계산서·14_p4_투자지표)와 완전히 동일한 수치입니다. 표지 요약과 상세 재무제표가 일치함을 확인했습니다.</t>
  </si>
  <si>
    <t>도표 1. 대덕전자 Valuation — 수식 연동 모델</t>
  </si>
  <si>
    <t>M2 시트의 밸류에이션 방식 드롭다운과 Peer P/E 입력을 바꾸면 목표주가·상승여력과 M3 민감도분석이 자동으로 다시 계산됩니다.</t>
  </si>
  <si>
    <t xml:space="preserve">  ① 입력값</t>
  </si>
  <si>
    <t>26년 EPS — 하나증권 추정재무제표(도표6) 2026F EPS와 동일</t>
  </si>
  <si>
    <t>연결</t>
  </si>
  <si>
    <t>적정 P/E</t>
  </si>
  <si>
    <t>M2 밸류에이션 방식 드롭다운에서 선택</t>
  </si>
  <si>
    <t>EPS × 적정 P/E</t>
  </si>
  <si>
    <t>1천원 단위로 반올림</t>
  </si>
  <si>
    <t xml:space="preserve">  ③ 원문 대조 (정합성 체크)</t>
  </si>
  <si>
    <t>목표주가 (모델)</t>
  </si>
  <si>
    <t>주) 목표주가 산출값(≈80,617원)을 1천원 단위로 반올림해 원문 제시 목표주가 81,000원이 재현됩니다. 상승여력 54.3%도 원문과 일치합니다.</t>
  </si>
  <si>
    <t>도표 2. 대덕전자 12MF P/E Band</t>
  </si>
  <si>
    <t>원문은 차트여서 주가 시계열이 인쇄되어 있지 않습니다. 인쇄된 밴드 배수만 옮겼습니다.</t>
  </si>
  <si>
    <t>밴드</t>
  </si>
  <si>
    <t>배수 (배)</t>
  </si>
  <si>
    <t>Band 1 (상단)</t>
  </si>
  <si>
    <t>원문 차트에 표기된 밴드 배수</t>
  </si>
  <si>
    <t>Band 2</t>
  </si>
  <si>
    <t>Band 3 (중단)</t>
  </si>
  <si>
    <t>Band 4</t>
  </si>
  <si>
    <t>Band 5 (하단)</t>
  </si>
  <si>
    <t xml:space="preserve">  정합성 체크 (밴드 배수 기준 내재주가 — 원문에 없는 파생 계산)</t>
  </si>
  <si>
    <t>내재주가 (원)</t>
  </si>
  <si>
    <t>현재주가 대비</t>
  </si>
  <si>
    <t>2026F EPS 3,033원 적용 (참고용)</t>
  </si>
  <si>
    <t>주) 원문 차트는 21.1~26.1 구간의 수정주가와 5개 밴드선을 그린 그래프입니다. 주가 시계열에 데이터 라벨이 없어 눈금으로 추정하면 오차가 커지므로 옮기지 않았고, 인쇄된 밴드 배수만 위 표에 실었습니다.</t>
  </si>
  <si>
    <t>도표 3. 대덕전자 12MF P/B Band</t>
  </si>
  <si>
    <t>2026F BPS 20,014원 적용 (참고용)</t>
  </si>
  <si>
    <t>도표 4. 대덕전자 분기별 실적 추이 (매출·OPM)</t>
  </si>
  <si>
    <t>단위: 십억원, % / 원문은 차트만 있고 표가 없습니다. 신뢰도에 따라 글씨색을 구분했습니다: 파랑=원문표 그대로(1Q25~4Q26F), 검정=YoY%로 역산(2024), 주황 기울임=차트 이미지 눈금 판독(2021~2023).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</si>
  <si>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</si>
  <si>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</si>
  <si>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</si>
  <si>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</si>
  <si>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</si>
  <si>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</si>
  <si>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</si>
  <si>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</si>
  <si>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</si>
  <si>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</si>
  <si>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</si>
  <si>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</si>
  <si>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</si>
  <si>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</si>
  <si>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</si>
  <si>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</si>
  <si>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1Q26</t>
  </si>
  <si>
    <t>2Q26</t>
  </si>
  <si>
    <t>3Q26</t>
  </si>
  <si>
    <t>4Q26</t>
  </si>
  <si>
    <t>OPM</t>
  </si>
  <si>
    <t>자료: 대덕전자, 하나증권 (2021~2023은 도표4 차트 이미지 판독 근사치)</t>
  </si>
  <si>
    <t>도표 5. 대덕전자 분기별 수주잔고 추이</t>
  </si>
  <si>
    <t>단위: 억원 / 원문은 차트만 있고 표가 없습니다. 수주잔고는 DART 공시(재무제표 XBRL)에 구조화 항목으로 없어, 도표5 차트 이미지의 눈금을 읽어 근사한 값입니다 (주황 기울임 글씨).</t>
  </si>
  <si>
    <t>수주잔고</t>
  </si>
  <si>
    <t>자료: 대덕전자, 하나증권 (차트 이미지 판독 근사치, 억원)</t>
  </si>
  <si>
    <t>주) 수주잔고는 IFRS 표준 공시 항목이 아니며 대덕전자·하나증권이 제공한 수치로, DART XBRL(사업보고서·분기보고서)에서 구조화된 형태로 확인되지 않았습니다. 임의 추정이 아니라 원문 차트의 눈금을 읽은 근사치임을 밝혀둡니다 (마지막 분기 3Q25 ≈3,080억원으로 최대치를 기록).</t>
  </si>
  <si>
    <t>도표 6. 대덕전자 분기별 실적 전망(수정 후)</t>
  </si>
  <si>
    <t>단위: 십억원, % / 음영 = 전망치(F) 및 연간 열</t>
  </si>
  <si>
    <t xml:space="preserve">  -Memory</t>
  </si>
  <si>
    <t xml:space="preserve">  -Logic</t>
  </si>
  <si>
    <t>매출비중</t>
  </si>
  <si>
    <t>Substrate PKG(%)</t>
  </si>
  <si>
    <t xml:space="preserve">  -Memory(%)</t>
  </si>
  <si>
    <t xml:space="preserve">  -Logic(%)</t>
  </si>
  <si>
    <t>MLB(%)</t>
  </si>
  <si>
    <t>Flexible(%)</t>
  </si>
  <si>
    <t>OP</t>
  </si>
  <si>
    <t>세그먼트 합계 (Substrate+MLB+Flex)</t>
  </si>
  <si>
    <t xml:space="preserve">  vs 원문 매출액 (차이)</t>
  </si>
  <si>
    <t>OPM 재계산 (OP/매출액)</t>
  </si>
  <si>
    <t>주) 원문 연간 수치와 분기 합계 사이의 0.1 내외 차이는 보고서의 소수 첫째자리 반올림 표기에서 발생하는 것으로, 오기입이 아닙니다.</t>
  </si>
  <si>
    <t>도표 7. 대덕전자 분기별 실적 전망(수정 전)</t>
  </si>
  <si>
    <t>4Q25F</t>
  </si>
  <si>
    <t>추정 재무제표 — 손익계산서</t>
  </si>
  <si>
    <t>단위: 십억원 / 음영 = 전망치(F). 2026F·2027F 의 매출액·영업이익·세전이익·지배주주순이익은 M1_실적추정_모델 시트를 반영합니다(초록 글씨).</t>
  </si>
  <si>
    <t>매출원가</t>
  </si>
  <si>
    <t>매출총이익</t>
  </si>
  <si>
    <t>판관비</t>
  </si>
  <si>
    <t>금융손익</t>
  </si>
  <si>
    <t>종속/관계기업손익</t>
  </si>
  <si>
    <t>기타영업외손익</t>
  </si>
  <si>
    <t>법인세</t>
  </si>
  <si>
    <t>계속사업이익</t>
  </si>
  <si>
    <t>중단사업이익</t>
  </si>
  <si>
    <t>당기순이익</t>
  </si>
  <si>
    <t>비지배주주지분순이익</t>
  </si>
  <si>
    <t>지배주주지분포괄이익</t>
  </si>
  <si>
    <t>NOPAT</t>
  </si>
  <si>
    <t>EBITDA</t>
  </si>
  <si>
    <t xml:space="preserve">  성장성 (%)</t>
  </si>
  <si>
    <t>매출액증가율</t>
  </si>
  <si>
    <t>NOPAT증가율</t>
  </si>
  <si>
    <t>EBITDA증가율</t>
  </si>
  <si>
    <t>영업이익증가율</t>
  </si>
  <si>
    <t>(지배주주)순익증가율</t>
  </si>
  <si>
    <t>EPS증가율</t>
  </si>
  <si>
    <t xml:space="preserve">  수익성 (%)</t>
  </si>
  <si>
    <t>매출총이익률</t>
  </si>
  <si>
    <t>EBITDA이익률</t>
  </si>
  <si>
    <t>영업이익률</t>
  </si>
  <si>
    <t>계속사업이익률</t>
  </si>
  <si>
    <t>매출총이익 = 매출액 − 매출원가</t>
  </si>
  <si>
    <t>원문 매출총이익과 대조</t>
  </si>
  <si>
    <t>영업이익 = 매출총이익 − 판관비</t>
  </si>
  <si>
    <t>원문 영업이익과 대조</t>
  </si>
  <si>
    <t>영업이익률 재계산</t>
  </si>
  <si>
    <t>유효법인세율</t>
  </si>
  <si>
    <t>세전이익 - 법인세 - 계속사업이익</t>
  </si>
  <si>
    <t>0.1 내외는 원문 반올림 차이</t>
  </si>
  <si>
    <t>주) 원문은 소수 첫째자리까지 반올림 표기되어 있어, 재계산값과 0.1 내외 차이가 날 수 있습니다.</t>
  </si>
  <si>
    <t>추정 재무제표 — 대차대조표</t>
  </si>
  <si>
    <t>단위: 십억원 / 음영 = 전망치(F)</t>
  </si>
  <si>
    <t>유동자산</t>
  </si>
  <si>
    <t xml:space="preserve">  금융자산</t>
  </si>
  <si>
    <t xml:space="preserve">    현금성자산</t>
  </si>
  <si>
    <t xml:space="preserve">  매출채권</t>
  </si>
  <si>
    <t xml:space="preserve">  재고자산</t>
  </si>
  <si>
    <t xml:space="preserve">  기타유동자산</t>
  </si>
  <si>
    <t>비유동자산</t>
  </si>
  <si>
    <t xml:space="preserve">  투자자산</t>
  </si>
  <si>
    <t xml:space="preserve">    금융자산</t>
  </si>
  <si>
    <t xml:space="preserve">  유형자산</t>
  </si>
  <si>
    <t xml:space="preserve">  무형자산</t>
  </si>
  <si>
    <t xml:space="preserve">  기타비유동자산</t>
  </si>
  <si>
    <t>자산총계</t>
  </si>
  <si>
    <t>유동부채</t>
  </si>
  <si>
    <t xml:space="preserve">  금융부채</t>
  </si>
  <si>
    <t xml:space="preserve">  매입채무</t>
  </si>
  <si>
    <t xml:space="preserve">  기타유동부채</t>
  </si>
  <si>
    <t>비유동부채</t>
  </si>
  <si>
    <t xml:space="preserve">  기타비유동부채</t>
  </si>
  <si>
    <t>부채총계</t>
  </si>
  <si>
    <t>지배주주지분</t>
  </si>
  <si>
    <t xml:space="preserve">  자본금</t>
  </si>
  <si>
    <t xml:space="preserve">  자본잉여금</t>
  </si>
  <si>
    <t xml:space="preserve">  자본조정</t>
  </si>
  <si>
    <t xml:space="preserve">  기타포괄이익누계액</t>
  </si>
  <si>
    <t xml:space="preserve">  이익잉여금</t>
  </si>
  <si>
    <t>비지배주주지분</t>
  </si>
  <si>
    <t>자본총계</t>
  </si>
  <si>
    <t>순금융부채</t>
  </si>
  <si>
    <t>자산총계 = 유동자산 + 비유동자산</t>
  </si>
  <si>
    <t>부채총계 = 유동부채 + 비유동부채</t>
  </si>
  <si>
    <t>자본총계 = 자산총계 − 부채총계</t>
  </si>
  <si>
    <t>부채비율 = 부채총계/자본총계</t>
  </si>
  <si>
    <t>추정 재무제표 — 투자지표</t>
  </si>
  <si>
    <t>단위: 원, 배, %</t>
  </si>
  <si>
    <t xml:space="preserve">  주당지표(원)</t>
  </si>
  <si>
    <t>CFPS</t>
  </si>
  <si>
    <t>EBITDAPS</t>
  </si>
  <si>
    <t>SPS</t>
  </si>
  <si>
    <t xml:space="preserve">  주가지표(배)</t>
  </si>
  <si>
    <t>PCFR</t>
  </si>
  <si>
    <t>PSR</t>
  </si>
  <si>
    <t xml:space="preserve">  재무비율(%)</t>
  </si>
  <si>
    <t>ROA</t>
  </si>
  <si>
    <t>ROIC</t>
  </si>
  <si>
    <t>부채비율</t>
  </si>
  <si>
    <t>순부채비율</t>
  </si>
  <si>
    <t>이자보상배율(배)</t>
  </si>
  <si>
    <t>PER 재계산 = 현재주가/EPS (2026F)</t>
  </si>
  <si>
    <t>현재주가 52,500원 기준 (전망년도는 원문 표기 그대로)</t>
  </si>
  <si>
    <t>PBR 재계산 = 현재주가/BPS (2026F)</t>
  </si>
  <si>
    <t>ROE 재계산 = EPS/BPS(전기)</t>
  </si>
  <si>
    <t>주) PER·PBR 원문값은 각 연도 예상 실적 기준으로 산출되어 현재주가 역산값과 정확히 일치하지 않을 수 있습니다 (미래 연도 PER·PBR은 현재주가 기준으로 계산된 것으로 추정됩니다).</t>
  </si>
  <si>
    <t>추정 재무제표 — 현금흐름표</t>
  </si>
  <si>
    <t>영업활동 현금흐름</t>
  </si>
  <si>
    <t xml:space="preserve">  당기순이익</t>
  </si>
  <si>
    <t xml:space="preserve">  조정</t>
  </si>
  <si>
    <t xml:space="preserve">    감가상각비</t>
  </si>
  <si>
    <t xml:space="preserve">    외환거래손익</t>
  </si>
  <si>
    <t xml:space="preserve">    지분법손익</t>
  </si>
  <si>
    <t xml:space="preserve">    기타</t>
  </si>
  <si>
    <t>영업활동자산부채변동</t>
  </si>
  <si>
    <t>투자활동 현금흐름</t>
  </si>
  <si>
    <t xml:space="preserve">  투자자산감소(증가)</t>
  </si>
  <si>
    <t xml:space="preserve">  자본증가(감소)</t>
  </si>
  <si>
    <t xml:space="preserve">  기타</t>
  </si>
  <si>
    <t>재무활동 현금흐름</t>
  </si>
  <si>
    <t xml:space="preserve">  금융부채증가(감소)</t>
  </si>
  <si>
    <t xml:space="preserve">  기타재무활동</t>
  </si>
  <si>
    <t xml:space="preserve">  배당지급</t>
  </si>
  <si>
    <t>현금의 증감</t>
  </si>
  <si>
    <t>Unlevered CFO</t>
  </si>
  <si>
    <t>Free Cash Flow</t>
  </si>
  <si>
    <t>영업+투자+재무−현금증감 (미표시 조정)</t>
  </si>
  <si>
    <t>환율·현금성자산 분류 등 원문 미표시 조정액</t>
  </si>
  <si>
    <t>주) 원문 표에는 환율효과·현금성자산 분류 조정 등 일부 조정항목이 별도 표시되지 않아 영업·투자·재무활동 합계와 현금증감 간 차이가 발생할 수 있습니다.</t>
  </si>
  <si>
    <t>하나증권 리포트 p.5 게재</t>
  </si>
  <si>
    <t>날짜</t>
  </si>
  <si>
    <t>목표주가</t>
  </si>
  <si>
    <t>괴리율(평균)</t>
  </si>
  <si>
    <t>괴리율(최고/최저)</t>
  </si>
  <si>
    <t>26.1.30</t>
  </si>
  <si>
    <t>BUY</t>
  </si>
  <si>
    <t>25.11.4</t>
  </si>
  <si>
    <t>25.9.29</t>
  </si>
  <si>
    <t>25.7.29</t>
  </si>
  <si>
    <t>25.5.21</t>
  </si>
  <si>
    <t>25.5.13</t>
  </si>
  <si>
    <t>담당자 변경</t>
  </si>
  <si>
    <t>25.2.4</t>
  </si>
  <si>
    <t>24.11.1</t>
  </si>
  <si>
    <t>24.2.7</t>
  </si>
  <si>
    <t>주) 괴리율 평균/최고최저는 목표주가 제시 이후 실제 주가와의 괴리율입니다. 원문 차트(대덕전자 실제주가 vs 수정TP, 24.01~26.01)는 표에 없는 월별 주가 시계열이라 옮기지 않았습니다.</t>
  </si>
  <si>
    <t xml:space="preserve">  투자의견의 유효기간</t>
  </si>
  <si>
    <t>추천일 이후 12개월을 기준으로 적용</t>
  </si>
  <si>
    <t xml:space="preserve">  기업의 분류</t>
  </si>
  <si>
    <t>BUY(매수)_목표주가가 현주가 대비 15% 이상 상승 여력</t>
  </si>
  <si>
    <t>Neutral(중립)_목표주가가 현주가 대비 -15%~15% 등락</t>
  </si>
  <si>
    <t>Reduce(비중축소)_목표주가가 현주가 대비 15% 이상 하락 가능</t>
  </si>
  <si>
    <t xml:space="preserve">  산업의 분류</t>
  </si>
  <si>
    <t>Overweight(비중확대)_업종지수가 현재지수 대비 15% 이상 상승 여력</t>
  </si>
  <si>
    <t>Neutral(중립)_업종지수가 현재지수 대비 -15%~15% 등락</t>
  </si>
  <si>
    <t>Underweight(비중축소)_업종지수가 현재지수 대비 -15%~15% 등락</t>
  </si>
  <si>
    <t xml:space="preserve">  투자의견 비율공시 (최근 1년)</t>
  </si>
  <si>
    <t>투자등급</t>
  </si>
  <si>
    <t>BUY(매수)</t>
  </si>
  <si>
    <t>Neutral(중립)</t>
  </si>
  <si>
    <t>Reduce(매도)</t>
  </si>
  <si>
    <t>금융투자상품의 비율</t>
  </si>
  <si>
    <t>합계</t>
  </si>
  <si>
    <t>* 기준일: 2026년 01월 26일</t>
  </si>
  <si>
    <t>DART 확정 실적 대사 — 하나증권 추정치 검증 (원문에 없는 파생 분석)</t>
  </si>
  <si>
    <t>DART 확정 실적과 하나증권 4Q25 리뷰 추정치 비교(연결 기준).</t>
  </si>
  <si>
    <t xml:space="preserve">  ① 2025년 연간 실적 (사업보고서 2026.03.18, 연결)</t>
  </si>
  <si>
    <t>하나증권 추정(2025F)</t>
  </si>
  <si>
    <t>DART 확정</t>
  </si>
  <si>
    <t>차이</t>
  </si>
  <si>
    <t>지배주주순이익(십억원)</t>
  </si>
  <si>
    <t>EPS(원, 확정 발행주식수 기준)</t>
  </si>
  <si>
    <t>자산총계(십억원)</t>
  </si>
  <si>
    <t>부채총계(십억원)</t>
  </si>
  <si>
    <t>자료: DART 대덕전자(주) 사업보고서(2026.03.18), entity01478712, 연결재무제표 (IFRS-Full: Revenue, OperatingIncomeLoss, ProfitLossAttributableToOwnersOfParent, Assets, Liabilities)</t>
  </si>
  <si>
    <t xml:space="preserve">  ② 2026년 1분기 실적 (분기보고서 2026.05.14, 연결)</t>
  </si>
  <si>
    <t>하나증권 1Q26F(수정후)</t>
  </si>
  <si>
    <t>하나증권 4Q25 리뷰(2026.01.30) 시점 이후 확정된 실적입니다</t>
  </si>
  <si>
    <t>1Q26F는 4Q25 리뷰의 연간 순이익을 분기 OP 비중으로 배분한 추정값</t>
  </si>
  <si>
    <t>자료: DART 대덕전자(주) 분기보고서(2026.05.14), entity01478712_2026-03-31.xbrl, 연결재무제표</t>
  </si>
  <si>
    <t>주) 1Q26 확정 매출·영업이익이 하나증권의 4Q25 리뷰 시점 전망치(도표6 수정후)를 크게 상회합니다 — 반도체 기판 수요 회복이 예상보다 빨랐던 것으로 해석됩니다. 이 시트는 리뷰 작성 시점(2026.01.30) 이후 실제로 공개된 확정치와의 대사이며, M1_실적추정_모델 시트의 입력값 자체는 바꾸지 않았습니다 (리뷰 시점 가정을 지키기 위함).</t>
  </si>
  <si>
    <t>출처, 공시, 미확보 구간 정리</t>
  </si>
  <si>
    <t xml:space="preserve">  원문 리포트</t>
  </si>
  <si>
    <t>원자료</t>
  </si>
  <si>
    <t>하나증권 「대덕전자(353200) — 기판 맹수, 앙!」 4Q25 Earnings Review, 2026.01.30, Analyst 김민경 (minkyung.kim@hanafn.com)</t>
  </si>
  <si>
    <t xml:space="preserve">  DART 전자공시</t>
  </si>
  <si>
    <t>공시서류</t>
  </si>
  <si>
    <t>접수일자</t>
  </si>
  <si>
    <t>기업 고유번호</t>
  </si>
  <si>
    <t>사업보고서 (2025 사업연도)</t>
  </si>
  <si>
    <t>2026.03.18</t>
  </si>
  <si>
    <t>01478712</t>
  </si>
  <si>
    <t>대덕전자(주), 연결 재무제표 IFRS 원문 XBRL. FY2023~FY2025 연간 확정 실적</t>
  </si>
  <si>
    <t>분기보고서 (2026년 1분기)</t>
  </si>
  <si>
    <t>2026.05.14</t>
  </si>
  <si>
    <t>대덕전자(주), 연결 재무제표 IFRS 원문 XBRL. 1Q26 확정 실적, 1Q25 비교 표시</t>
  </si>
  <si>
    <t xml:space="preserve">  미확보 구간 (임의 추정하지 않음)</t>
  </si>
  <si>
    <t>도표4 분기별 실적추이 (1Q21~4Q23 매출·OPM)</t>
  </si>
  <si>
    <t>차트 이미지 눈금 판독 근사치로 대체 (주황 기울임 글씨). DART에 해당 기간 개별 분기 공시 없음</t>
  </si>
  <si>
    <t>도표5 분기별 수주잔고 추이 (전 구간)</t>
  </si>
  <si>
    <t>수주잔고는 IFRS 표준 공시 항목이 아니며 DART XBRL에 구조화 데이터로 없음. 차트 이미지 판독 근사치</t>
  </si>
  <si>
    <t>03_p1_주가추이 월별 시계열 (21.1~26.1)</t>
  </si>
  <si>
    <t>시세 제공 사이트 자동 수집 차단으로 미확보. 목표주가 변동 이력(16번 시트)으로 대체</t>
  </si>
  <si>
    <t>도표2·3 PER/PBR Band 주가 시계열</t>
  </si>
  <si>
    <t>원문 차트에 데이터 라벨 없음. 밴드 배수만 06·07 시트에 옮김</t>
  </si>
  <si>
    <t>본 파일은 하나증권 리서치 자료와 DART 전자공시를 정리한 학습·분석용 자료이며 투자 권유가 아닙니다.</t>
  </si>
  <si>
    <t xml:space="preserve">  추가 추정 및 시연 입력</t>
  </si>
  <si>
    <t>기준</t>
  </si>
  <si>
    <t>처리 방식</t>
  </si>
  <si>
    <t>검증</t>
  </si>
  <si>
    <t>분기 세전이익·지배주주순이익</t>
  </si>
  <si>
    <t>하나증권 4Q25 연간 추정치</t>
  </si>
  <si>
    <t>분기 영업이익 비중 배분, 4Q 잔여값</t>
  </si>
  <si>
    <t>분기 합계 = 연간 입력값</t>
  </si>
  <si>
    <t>Peer 2026E P/E</t>
  </si>
  <si>
    <t>2026.01.30 리뷰 시점</t>
  </si>
  <si>
    <t>원문 미공개 개별값은 평균 26.58배를 재현하는 시연용 근사·역산값</t>
  </si>
  <si>
    <t>코리아써키트 입력 전 평균 26.58배</t>
  </si>
  <si>
    <t>하나증권 1Q26 도표1 Peer 추가</t>
  </si>
  <si>
    <t>시연 입력용 빈 셀 유지</t>
  </si>
  <si>
    <t>입력 시 평균·목표주가 자동 갱신</t>
  </si>
  <si>
    <t>주의</t>
  </si>
  <si>
    <t>Peer 개별 P/E는 원문 직접 전사값이 아니므로 주황 기울임체로 구분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</si>
</sst>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80" formatCode="0.00\x"/>
    <numFmt numFmtId="183" formatCode="#,##0.0;[Red]\(#,##0.0\);\-"/>
    <numFmt numFmtId="184" formatCode="0.0%"/>
    <numFmt numFmtId="185" formatCode="0.0%;[Red]\(0.0%\);\-"/>
    <numFmt numFmtId="186" formatCode="#,##0;[Red]\(#,##0\);\-"/>
    <numFmt numFmtId="187" formatCode="#,##0.0"/>
  </numFmts>
  <fonts count="27" x14ac:knownFonts="1">
    <font>
      <sz val="11"/>
      <color theme="1"/>
      <name val="맑은 고딕"/>
      <family val="2"/>
      <charset val="1"/>
    </font>
    <font>
      <sz val="10"/>
      <name val="맑은 고딕"/>
      <family val="2"/>
      <charset val="1"/>
    </font>
    <font>
      <b/>
      <sz val="9"/>
      <color rgb="FFFFFFFF"/>
      <name val="맑은 고딕"/>
      <family val="2"/>
      <charset val="1"/>
    </font>
    <font>
      <b/>
      <sz val="9"/>
      <color rgb="FF000000"/>
      <name val="맑은 고딕"/>
      <family val="2"/>
      <charset val="1"/>
    </font>
    <font>
      <sz val="9"/>
      <color rgb="FF000000"/>
      <name val="맑은 고딕"/>
      <family val="2"/>
      <charset val="1"/>
    </font>
    <font>
      <b/>
      <sz val="9"/>
      <color rgb="FF008000"/>
      <name val="맑은 고딕"/>
      <family val="2"/>
      <charset val="1"/>
    </font>
    <font>
      <b/>
      <sz val="11"/>
      <color rgb="FF17365D"/>
      <name val="맑은 고딕"/>
      <family val="2"/>
      <charset val="1"/>
    </font>
    <font>
      <sz val="8"/>
      <color rgb="FF666666"/>
      <name val="맑은 고딕"/>
      <family val="2"/>
      <charset val="1"/>
    </font>
    <font>
      <b/>
      <sz val="9"/>
      <color rgb="FF0F5F5A"/>
      <name val="맑은 고딕"/>
      <family val="2"/>
      <charset val="1"/>
    </font>
    <font>
      <b/>
      <sz val="8"/>
      <color rgb="FF000000"/>
      <name val="맑은 고딕"/>
      <family val="2"/>
      <charset val="1"/>
    </font>
    <font>
      <sz val="8"/>
      <color rgb="FF000000"/>
      <name val="맑은 고딕"/>
      <family val="2"/>
      <charset val="1"/>
    </font>
    <font>
      <b/>
      <sz val="9"/>
      <color rgb="FF17365D"/>
      <name val="맑은 고딕"/>
      <family val="3"/>
      <charset val="129"/>
    </font>
    <font>
      <sz val="9"/>
      <color rgb="FF666666"/>
      <name val="맑은 고딕"/>
      <family val="3"/>
      <charset val="129"/>
    </font>
    <font>
      <b/>
      <sz val="9"/>
      <color rgb="FF0F5F5A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b/>
      <sz val="9"/>
      <color rgb="FF008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9"/>
      <color rgb="FFC65911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i/>
      <sz val="9"/>
      <color rgb="FF666666"/>
      <name val="맑은 고딕"/>
      <family val="3"/>
      <charset val="129"/>
    </font>
    <font>
      <b/>
      <sz val="10"/>
      <color rgb="FF1F7772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color rgb="FF008000"/>
      <name val="맑은 고딕"/>
      <family val="3"/>
      <charset val="129"/>
    </font>
    <font>
      <sz val="11"/>
      <color theme="1"/>
      <name val="맑은 고딕"/>
      <family val="2"/>
      <charset val="1"/>
    </font>
    <font>
      <sz val="8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7FBFB"/>
      </patternFill>
    </fill>
    <fill>
      <patternFill patternType="solid">
        <fgColor rgb="FFF3F6F6"/>
      </patternFill>
    </fill>
    <fill>
      <patternFill patternType="solid">
        <fgColor rgb="FF1F7772"/>
      </patternFill>
    </fill>
    <fill>
      <patternFill patternType="solid">
        <fgColor rgb="FFEAEFF5"/>
      </patternFill>
    </fill>
    <fill>
      <patternFill patternType="solid">
        <fgColor rgb="FFFFFFFF"/>
      </patternFill>
    </fill>
    <fill>
      <patternFill patternType="solid">
        <fgColor rgb="FF1F7772"/>
      </patternFill>
    </fill>
    <fill>
      <patternFill patternType="solid">
        <fgColor rgb="FFDDEBF7"/>
      </patternFill>
    </fill>
    <fill>
      <patternFill patternType="solid">
        <fgColor rgb="FFEAEFF5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7E6E6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7">
    <xf numFmtId="0" fontId="0" fillId="0" borderId="1"/>
    <xf numFmtId="43" fontId="1" fillId="0" borderId="1"/>
    <xf numFmtId="41" fontId="1" fillId="0" borderId="1"/>
    <xf numFmtId="44" fontId="1" fillId="0" borderId="1"/>
    <xf numFmtId="42" fontId="1" fillId="0" borderId="1"/>
    <xf numFmtId="9" fontId="1" fillId="0" borderId="1"/>
    <xf numFmtId="0" fontId="25" fillId="0" borderId="1"/>
  </cellStyleXfs>
  <cellXfs count="170">
    <xf numFmtId="0" fontId="0" fillId="0" borderId="0" xfId="0" applyBorder="1"/>
    <xf numFmtId="0" fontId="4" fillId="2" borderId="0" xfId="6" applyFont="1" applyFill="1" applyBorder="1" applyAlignment="1">
      <alignment vertical="center"/>
    </xf>
    <xf numFmtId="0" fontId="6" fillId="2" borderId="0" xfId="6" applyFont="1" applyFill="1" applyBorder="1" applyAlignment="1">
      <alignment vertical="center"/>
    </xf>
    <xf numFmtId="0" fontId="7" fillId="2" borderId="0" xfId="6" applyFont="1" applyFill="1" applyBorder="1" applyAlignment="1">
      <alignment vertical="center"/>
    </xf>
    <xf numFmtId="0" fontId="7" fillId="3" borderId="0" xfId="6" applyFont="1" applyFill="1" applyBorder="1" applyAlignment="1">
      <alignment vertical="center"/>
    </xf>
    <xf numFmtId="0" fontId="8" fillId="4" borderId="0" xfId="6" applyFont="1" applyFill="1" applyBorder="1" applyAlignment="1">
      <alignment vertical="center"/>
    </xf>
    <xf numFmtId="0" fontId="2" fillId="5" borderId="10" xfId="6" applyFont="1" applyFill="1" applyBorder="1" applyAlignment="1">
      <alignment horizontal="center" vertical="center"/>
    </xf>
    <xf numFmtId="0" fontId="2" fillId="5" borderId="11" xfId="6" applyFont="1" applyFill="1" applyBorder="1" applyAlignment="1">
      <alignment horizontal="center" vertical="center"/>
    </xf>
    <xf numFmtId="0" fontId="2" fillId="5" borderId="12" xfId="6" applyFont="1" applyFill="1" applyBorder="1" applyAlignment="1">
      <alignment horizontal="center" vertical="center"/>
    </xf>
    <xf numFmtId="0" fontId="4" fillId="2" borderId="7" xfId="6" applyFont="1" applyFill="1" applyBorder="1" applyAlignment="1">
      <alignment vertical="center"/>
    </xf>
    <xf numFmtId="0" fontId="4" fillId="2" borderId="8" xfId="6" applyFont="1" applyFill="1" applyBorder="1" applyAlignment="1">
      <alignment vertical="center"/>
    </xf>
    <xf numFmtId="0" fontId="4" fillId="2" borderId="9" xfId="6" applyFont="1" applyFill="1" applyBorder="1" applyAlignment="1">
      <alignment vertical="center"/>
    </xf>
    <xf numFmtId="0" fontId="4" fillId="2" borderId="5" xfId="6" applyFont="1" applyFill="1" applyBorder="1" applyAlignment="1">
      <alignment vertical="center"/>
    </xf>
    <xf numFmtId="0" fontId="4" fillId="2" borderId="6" xfId="6" applyFont="1" applyFill="1" applyBorder="1" applyAlignment="1">
      <alignment vertical="center"/>
    </xf>
    <xf numFmtId="0" fontId="8" fillId="4" borderId="3" xfId="6" applyFont="1" applyFill="1" applyBorder="1" applyAlignment="1">
      <alignment vertical="center"/>
    </xf>
    <xf numFmtId="0" fontId="8" fillId="4" borderId="4" xfId="6" applyFont="1" applyFill="1" applyBorder="1" applyAlignment="1">
      <alignment vertical="center"/>
    </xf>
    <xf numFmtId="183" fontId="4" fillId="2" borderId="0" xfId="6" applyNumberFormat="1" applyFont="1" applyFill="1" applyBorder="1" applyAlignment="1">
      <alignment vertical="center"/>
    </xf>
    <xf numFmtId="183" fontId="4" fillId="2" borderId="8" xfId="6" applyNumberFormat="1" applyFont="1" applyFill="1" applyBorder="1" applyAlignment="1">
      <alignment vertical="center"/>
    </xf>
    <xf numFmtId="183" fontId="2" fillId="5" borderId="11" xfId="6" applyNumberFormat="1" applyFont="1" applyFill="1" applyBorder="1" applyAlignment="1">
      <alignment horizontal="center" vertical="center"/>
    </xf>
    <xf numFmtId="0" fontId="7" fillId="2" borderId="0" xfId="6" applyFont="1" applyFill="1" applyBorder="1" applyAlignment="1">
      <alignment vertical="center" wrapText="1"/>
    </xf>
    <xf numFmtId="0" fontId="8" fillId="4" borderId="5" xfId="6" applyFont="1" applyFill="1" applyBorder="1" applyAlignment="1">
      <alignment vertical="center"/>
    </xf>
    <xf numFmtId="0" fontId="8" fillId="4" borderId="6" xfId="6" applyFont="1" applyFill="1" applyBorder="1" applyAlignment="1">
      <alignment vertical="center"/>
    </xf>
    <xf numFmtId="0" fontId="5" fillId="2" borderId="21" xfId="6" applyFont="1" applyFill="1" applyBorder="1" applyAlignment="1">
      <alignment vertical="center"/>
    </xf>
    <xf numFmtId="0" fontId="6" fillId="2" borderId="0" xfId="6" applyFont="1" applyFill="1" applyBorder="1" applyAlignment="1">
      <alignment vertical="center" wrapText="1"/>
    </xf>
    <xf numFmtId="0" fontId="6" fillId="2" borderId="2" xfId="6" applyFont="1" applyFill="1" applyBorder="1" applyAlignment="1">
      <alignment vertical="center"/>
    </xf>
    <xf numFmtId="0" fontId="6" fillId="2" borderId="3" xfId="6" applyFont="1" applyFill="1" applyBorder="1" applyAlignment="1">
      <alignment vertical="center"/>
    </xf>
    <xf numFmtId="0" fontId="6" fillId="2" borderId="4" xfId="6" applyFont="1" applyFill="1" applyBorder="1" applyAlignment="1">
      <alignment vertical="center"/>
    </xf>
    <xf numFmtId="0" fontId="7" fillId="2" borderId="5" xfId="6" applyFont="1" applyFill="1" applyBorder="1" applyAlignment="1">
      <alignment vertical="center"/>
    </xf>
    <xf numFmtId="0" fontId="7" fillId="2" borderId="6" xfId="6" applyFont="1" applyFill="1" applyBorder="1" applyAlignment="1">
      <alignment vertical="center"/>
    </xf>
    <xf numFmtId="185" fontId="4" fillId="2" borderId="0" xfId="6" applyNumberFormat="1" applyFont="1" applyFill="1" applyBorder="1" applyAlignment="1">
      <alignment vertical="center"/>
    </xf>
    <xf numFmtId="183" fontId="8" fillId="4" borderId="0" xfId="6" applyNumberFormat="1" applyFont="1" applyFill="1" applyBorder="1" applyAlignment="1">
      <alignment vertical="center"/>
    </xf>
    <xf numFmtId="186" fontId="4" fillId="2" borderId="0" xfId="6" applyNumberFormat="1" applyFont="1" applyFill="1" applyBorder="1" applyAlignment="1">
      <alignment vertical="center"/>
    </xf>
    <xf numFmtId="186" fontId="4" fillId="2" borderId="6" xfId="6" applyNumberFormat="1" applyFont="1" applyFill="1" applyBorder="1" applyAlignment="1">
      <alignment vertical="center"/>
    </xf>
    <xf numFmtId="0" fontId="7" fillId="2" borderId="5" xfId="6" applyFont="1" applyFill="1" applyBorder="1" applyAlignment="1">
      <alignment vertical="center" wrapText="1"/>
    </xf>
    <xf numFmtId="185" fontId="8" fillId="4" borderId="0" xfId="6" applyNumberFormat="1" applyFont="1" applyFill="1" applyBorder="1" applyAlignment="1">
      <alignment vertical="center"/>
    </xf>
    <xf numFmtId="0" fontId="6" fillId="2" borderId="3" xfId="6" applyFont="1" applyFill="1" applyBorder="1" applyAlignment="1">
      <alignment vertical="center" wrapText="1"/>
    </xf>
    <xf numFmtId="0" fontId="4" fillId="2" borderId="0" xfId="6" applyFont="1" applyFill="1" applyBorder="1" applyAlignment="1">
      <alignment vertical="center" wrapText="1"/>
    </xf>
    <xf numFmtId="0" fontId="4" fillId="2" borderId="6" xfId="6" applyFont="1" applyFill="1" applyBorder="1" applyAlignment="1">
      <alignment vertical="center" wrapText="1"/>
    </xf>
    <xf numFmtId="0" fontId="8" fillId="4" borderId="0" xfId="6" applyFont="1" applyFill="1" applyBorder="1" applyAlignment="1">
      <alignment vertical="center" wrapText="1"/>
    </xf>
    <xf numFmtId="0" fontId="8" fillId="4" borderId="6" xfId="6" applyFont="1" applyFill="1" applyBorder="1" applyAlignment="1">
      <alignment vertical="center" wrapText="1"/>
    </xf>
    <xf numFmtId="0" fontId="4" fillId="2" borderId="8" xfId="6" applyFont="1" applyFill="1" applyBorder="1" applyAlignment="1">
      <alignment vertical="center" wrapText="1"/>
    </xf>
    <xf numFmtId="0" fontId="4" fillId="2" borderId="9" xfId="6" applyFont="1" applyFill="1" applyBorder="1" applyAlignment="1">
      <alignment vertical="center" wrapText="1"/>
    </xf>
    <xf numFmtId="0" fontId="10" fillId="2" borderId="0" xfId="6" applyFont="1" applyFill="1" applyBorder="1" applyAlignment="1">
      <alignment vertical="center" wrapText="1"/>
    </xf>
    <xf numFmtId="0" fontId="10" fillId="2" borderId="6" xfId="6" applyFont="1" applyFill="1" applyBorder="1" applyAlignment="1">
      <alignment vertical="center" wrapText="1"/>
    </xf>
    <xf numFmtId="0" fontId="9" fillId="4" borderId="0" xfId="6" applyFont="1" applyFill="1" applyBorder="1" applyAlignment="1">
      <alignment vertical="center" wrapText="1"/>
    </xf>
    <xf numFmtId="0" fontId="9" fillId="4" borderId="6" xfId="6" applyFont="1" applyFill="1" applyBorder="1" applyAlignment="1">
      <alignment vertical="center" wrapText="1"/>
    </xf>
    <xf numFmtId="0" fontId="6" fillId="2" borderId="4" xfId="6" applyFont="1" applyFill="1" applyBorder="1" applyAlignment="1">
      <alignment vertical="center" wrapText="1"/>
    </xf>
    <xf numFmtId="0" fontId="7" fillId="2" borderId="6" xfId="6" applyFont="1" applyFill="1" applyBorder="1" applyAlignment="1">
      <alignment vertical="center" wrapText="1"/>
    </xf>
    <xf numFmtId="0" fontId="4" fillId="2" borderId="5" xfId="6" applyFont="1" applyFill="1" applyBorder="1" applyAlignment="1">
      <alignment vertical="center" wrapText="1"/>
    </xf>
    <xf numFmtId="0" fontId="11" fillId="2" borderId="0" xfId="6" applyFont="1" applyFill="1" applyBorder="1" applyAlignment="1">
      <alignment vertical="center"/>
    </xf>
    <xf numFmtId="0" fontId="12" fillId="2" borderId="0" xfId="6" applyFont="1" applyFill="1" applyBorder="1" applyAlignment="1">
      <alignment vertical="center"/>
    </xf>
    <xf numFmtId="0" fontId="12" fillId="3" borderId="0" xfId="6" applyFont="1" applyFill="1" applyBorder="1" applyAlignment="1">
      <alignment vertical="center"/>
    </xf>
    <xf numFmtId="0" fontId="13" fillId="4" borderId="0" xfId="6" applyFont="1" applyFill="1" applyBorder="1" applyAlignment="1">
      <alignment vertical="center"/>
    </xf>
    <xf numFmtId="0" fontId="14" fillId="5" borderId="22" xfId="6" applyFont="1" applyFill="1" applyBorder="1" applyAlignment="1">
      <alignment horizontal="center" vertical="center"/>
    </xf>
    <xf numFmtId="0" fontId="15" fillId="2" borderId="22" xfId="6" applyFont="1" applyFill="1" applyBorder="1" applyAlignment="1">
      <alignment vertical="center"/>
    </xf>
    <xf numFmtId="0" fontId="23" fillId="10" borderId="22" xfId="6" applyFont="1" applyFill="1" applyBorder="1" applyAlignment="1">
      <alignment vertical="center"/>
    </xf>
    <xf numFmtId="0" fontId="4" fillId="2" borderId="22" xfId="6" applyFont="1" applyFill="1" applyBorder="1" applyAlignment="1">
      <alignment vertical="center"/>
    </xf>
    <xf numFmtId="0" fontId="15" fillId="2" borderId="22" xfId="6" applyFont="1" applyFill="1" applyBorder="1" applyAlignment="1">
      <alignment horizontal="left" vertical="center"/>
    </xf>
    <xf numFmtId="183" fontId="23" fillId="10" borderId="22" xfId="6" applyNumberFormat="1" applyFont="1" applyFill="1" applyBorder="1" applyAlignment="1">
      <alignment horizontal="right" vertical="center"/>
    </xf>
    <xf numFmtId="183" fontId="16" fillId="11" borderId="22" xfId="6" applyNumberFormat="1" applyFont="1" applyFill="1" applyBorder="1" applyAlignment="1">
      <alignment horizontal="right" vertical="center"/>
    </xf>
    <xf numFmtId="183" fontId="15" fillId="6" borderId="22" xfId="6" applyNumberFormat="1" applyFont="1" applyFill="1" applyBorder="1" applyAlignment="1">
      <alignment horizontal="right" vertical="center"/>
    </xf>
    <xf numFmtId="185" fontId="15" fillId="2" borderId="22" xfId="6" applyNumberFormat="1" applyFont="1" applyFill="1" applyBorder="1" applyAlignment="1">
      <alignment horizontal="right" vertical="center"/>
    </xf>
    <xf numFmtId="185" fontId="4" fillId="2" borderId="22" xfId="6" applyNumberFormat="1" applyFont="1" applyFill="1" applyBorder="1" applyAlignment="1">
      <alignment horizontal="right" vertical="center"/>
    </xf>
    <xf numFmtId="0" fontId="13" fillId="4" borderId="2" xfId="6" applyFont="1" applyFill="1" applyBorder="1" applyAlignment="1">
      <alignment vertical="center"/>
    </xf>
    <xf numFmtId="183" fontId="23" fillId="10" borderId="22" xfId="6" applyNumberFormat="1" applyFont="1" applyFill="1" applyBorder="1" applyAlignment="1">
      <alignment vertical="center"/>
    </xf>
    <xf numFmtId="183" fontId="16" fillId="11" borderId="22" xfId="6" applyNumberFormat="1" applyFont="1" applyFill="1" applyBorder="1" applyAlignment="1">
      <alignment vertical="center"/>
    </xf>
    <xf numFmtId="183" fontId="15" fillId="6" borderId="22" xfId="6" applyNumberFormat="1" applyFont="1" applyFill="1" applyBorder="1" applyAlignment="1">
      <alignment vertical="center"/>
    </xf>
    <xf numFmtId="185" fontId="15" fillId="6" borderId="22" xfId="6" applyNumberFormat="1" applyFont="1" applyFill="1" applyBorder="1" applyAlignment="1">
      <alignment vertical="center"/>
    </xf>
    <xf numFmtId="0" fontId="15" fillId="2" borderId="0" xfId="6" applyFont="1" applyFill="1" applyBorder="1" applyAlignment="1">
      <alignment vertical="center"/>
    </xf>
    <xf numFmtId="3" fontId="24" fillId="2" borderId="19" xfId="6" applyNumberFormat="1" applyFont="1" applyFill="1" applyBorder="1" applyAlignment="1">
      <alignment vertical="center"/>
    </xf>
    <xf numFmtId="3" fontId="15" fillId="6" borderId="22" xfId="6" applyNumberFormat="1" applyFont="1" applyFill="1" applyBorder="1" applyAlignment="1">
      <alignment vertical="center"/>
    </xf>
    <xf numFmtId="183" fontId="24" fillId="2" borderId="22" xfId="6" applyNumberFormat="1" applyFont="1" applyFill="1" applyBorder="1" applyAlignment="1">
      <alignment vertical="center"/>
    </xf>
    <xf numFmtId="183" fontId="4" fillId="2" borderId="22" xfId="6" applyNumberFormat="1" applyFont="1" applyFill="1" applyBorder="1" applyAlignment="1">
      <alignment vertical="center"/>
    </xf>
    <xf numFmtId="0" fontId="13" fillId="4" borderId="22" xfId="6" applyFont="1" applyFill="1" applyBorder="1" applyAlignment="1">
      <alignment vertical="center"/>
    </xf>
    <xf numFmtId="0" fontId="8" fillId="4" borderId="22" xfId="6" applyFont="1" applyFill="1" applyBorder="1" applyAlignment="1">
      <alignment vertical="center"/>
    </xf>
    <xf numFmtId="183" fontId="14" fillId="5" borderId="22" xfId="6" applyNumberFormat="1" applyFont="1" applyFill="1" applyBorder="1" applyAlignment="1">
      <alignment horizontal="center" vertical="center"/>
    </xf>
    <xf numFmtId="183" fontId="2" fillId="5" borderId="22" xfId="6" applyNumberFormat="1" applyFont="1" applyFill="1" applyBorder="1" applyAlignment="1">
      <alignment horizontal="center" vertical="center"/>
    </xf>
    <xf numFmtId="183" fontId="15" fillId="5" borderId="22" xfId="6" applyNumberFormat="1" applyFont="1" applyFill="1" applyBorder="1" applyAlignment="1">
      <alignment horizontal="center" vertical="center"/>
    </xf>
    <xf numFmtId="183" fontId="15" fillId="2" borderId="22" xfId="6" applyNumberFormat="1" applyFont="1" applyFill="1" applyBorder="1" applyAlignment="1">
      <alignment vertical="center"/>
    </xf>
    <xf numFmtId="0" fontId="11" fillId="2" borderId="3" xfId="6" applyFont="1" applyFill="1" applyBorder="1" applyAlignment="1">
      <alignment vertical="center"/>
    </xf>
    <xf numFmtId="0" fontId="13" fillId="4" borderId="5" xfId="6" applyFont="1" applyFill="1" applyBorder="1" applyAlignment="1">
      <alignment vertical="center"/>
    </xf>
    <xf numFmtId="0" fontId="18" fillId="5" borderId="11" xfId="6" applyFont="1" applyFill="1" applyBorder="1" applyAlignment="1">
      <alignment horizontal="center" vertical="center" wrapText="1"/>
    </xf>
    <xf numFmtId="0" fontId="18" fillId="5" borderId="12" xfId="6" applyFont="1" applyFill="1" applyBorder="1" applyAlignment="1">
      <alignment horizontal="center" vertical="center" wrapText="1"/>
    </xf>
    <xf numFmtId="0" fontId="15" fillId="2" borderId="0" xfId="6" applyFont="1" applyFill="1" applyBorder="1" applyAlignment="1">
      <alignment vertical="center" wrapText="1"/>
    </xf>
    <xf numFmtId="0" fontId="15" fillId="2" borderId="6" xfId="6" applyFont="1" applyFill="1" applyBorder="1" applyAlignment="1">
      <alignment vertical="center" wrapText="1"/>
    </xf>
    <xf numFmtId="0" fontId="15" fillId="7" borderId="1" xfId="6" applyFont="1" applyFill="1"/>
    <xf numFmtId="0" fontId="15" fillId="7" borderId="22" xfId="6" applyFont="1" applyFill="1" applyBorder="1" applyAlignment="1">
      <alignment vertical="top" wrapText="1"/>
    </xf>
    <xf numFmtId="0" fontId="15" fillId="7" borderId="1" xfId="6" applyFont="1" applyFill="1" applyAlignment="1">
      <alignment wrapText="1"/>
    </xf>
    <xf numFmtId="0" fontId="16" fillId="11" borderId="22" xfId="6" applyFont="1" applyFill="1" applyBorder="1" applyAlignment="1">
      <alignment vertical="center"/>
    </xf>
    <xf numFmtId="180" fontId="15" fillId="2" borderId="22" xfId="6" applyNumberFormat="1" applyFont="1" applyFill="1" applyBorder="1" applyAlignment="1">
      <alignment vertical="center"/>
    </xf>
    <xf numFmtId="0" fontId="17" fillId="2" borderId="22" xfId="6" applyFont="1" applyFill="1" applyBorder="1" applyAlignment="1">
      <alignment vertical="center"/>
    </xf>
    <xf numFmtId="0" fontId="24" fillId="2" borderId="22" xfId="6" applyFont="1" applyFill="1" applyBorder="1" applyAlignment="1">
      <alignment vertical="center"/>
    </xf>
    <xf numFmtId="0" fontId="17" fillId="2" borderId="22" xfId="6" applyFont="1" applyFill="1" applyBorder="1" applyAlignment="1">
      <alignment horizontal="center" vertical="center"/>
    </xf>
    <xf numFmtId="3" fontId="15" fillId="2" borderId="22" xfId="6" applyNumberFormat="1" applyFont="1" applyFill="1" applyBorder="1" applyAlignment="1">
      <alignment vertical="center"/>
    </xf>
    <xf numFmtId="184" fontId="15" fillId="2" borderId="22" xfId="6" applyNumberFormat="1" applyFont="1" applyFill="1" applyBorder="1" applyAlignment="1">
      <alignment vertical="center"/>
    </xf>
    <xf numFmtId="180" fontId="16" fillId="11" borderId="22" xfId="6" applyNumberFormat="1" applyFont="1" applyFill="1" applyBorder="1" applyAlignment="1">
      <alignment vertical="center"/>
    </xf>
    <xf numFmtId="180" fontId="4" fillId="2" borderId="22" xfId="6" applyNumberFormat="1" applyFont="1" applyFill="1" applyBorder="1" applyAlignment="1">
      <alignment vertical="center"/>
    </xf>
    <xf numFmtId="180" fontId="14" fillId="5" borderId="22" xfId="6" applyNumberFormat="1" applyFont="1" applyFill="1" applyBorder="1" applyAlignment="1">
      <alignment horizontal="center" vertical="center"/>
    </xf>
    <xf numFmtId="180" fontId="19" fillId="12" borderId="22" xfId="6" applyNumberFormat="1" applyFont="1" applyFill="1" applyBorder="1" applyAlignment="1">
      <alignment vertical="center"/>
    </xf>
    <xf numFmtId="0" fontId="24" fillId="5" borderId="22" xfId="6" applyFont="1" applyFill="1" applyBorder="1" applyAlignment="1">
      <alignment horizontal="center" vertical="center"/>
    </xf>
    <xf numFmtId="3" fontId="24" fillId="3" borderId="22" xfId="6" applyNumberFormat="1" applyFont="1" applyFill="1" applyBorder="1" applyAlignment="1">
      <alignment vertical="center"/>
    </xf>
    <xf numFmtId="3" fontId="17" fillId="10" borderId="22" xfId="6" applyNumberFormat="1" applyFont="1" applyFill="1" applyBorder="1" applyAlignment="1">
      <alignment vertical="center"/>
    </xf>
    <xf numFmtId="0" fontId="14" fillId="8" borderId="22" xfId="6" applyFont="1" applyFill="1" applyBorder="1" applyAlignment="1">
      <alignment horizontal="center"/>
    </xf>
    <xf numFmtId="0" fontId="15" fillId="7" borderId="22" xfId="6" applyFont="1" applyFill="1" applyBorder="1"/>
    <xf numFmtId="0" fontId="23" fillId="7" borderId="22" xfId="6" applyFont="1" applyFill="1" applyBorder="1"/>
    <xf numFmtId="3" fontId="23" fillId="7" borderId="22" xfId="6" applyNumberFormat="1" applyFont="1" applyFill="1" applyBorder="1"/>
    <xf numFmtId="0" fontId="0" fillId="0" borderId="22" xfId="6" applyFont="1" applyBorder="1"/>
    <xf numFmtId="4" fontId="23" fillId="0" borderId="22" xfId="6" applyNumberFormat="1" applyFont="1" applyBorder="1"/>
    <xf numFmtId="3" fontId="23" fillId="0" borderId="22" xfId="6" applyNumberFormat="1" applyFont="1" applyBorder="1"/>
    <xf numFmtId="187" fontId="23" fillId="0" borderId="22" xfId="6" applyNumberFormat="1" applyFont="1" applyBorder="1"/>
    <xf numFmtId="10" fontId="23" fillId="0" borderId="22" xfId="6" applyNumberFormat="1" applyFont="1" applyBorder="1"/>
    <xf numFmtId="0" fontId="11" fillId="2" borderId="2" xfId="6" applyFont="1" applyFill="1" applyBorder="1" applyAlignment="1">
      <alignment vertical="center"/>
    </xf>
    <xf numFmtId="0" fontId="12" fillId="2" borderId="5" xfId="6" applyFont="1" applyFill="1" applyBorder="1" applyAlignment="1">
      <alignment vertical="center"/>
    </xf>
    <xf numFmtId="0" fontId="23" fillId="5" borderId="22" xfId="6" applyFont="1" applyFill="1" applyBorder="1" applyAlignment="1">
      <alignment horizontal="center" vertical="center"/>
    </xf>
    <xf numFmtId="0" fontId="2" fillId="5" borderId="22" xfId="6" applyFont="1" applyFill="1" applyBorder="1" applyAlignment="1">
      <alignment horizontal="center" vertical="center"/>
    </xf>
    <xf numFmtId="0" fontId="23" fillId="2" borderId="22" xfId="6" applyFont="1" applyFill="1" applyBorder="1" applyAlignment="1">
      <alignment vertical="center"/>
    </xf>
    <xf numFmtId="0" fontId="15" fillId="2" borderId="5" xfId="6" applyFont="1" applyFill="1" applyBorder="1" applyAlignment="1">
      <alignment vertical="center"/>
    </xf>
    <xf numFmtId="185" fontId="24" fillId="2" borderId="22" xfId="6" applyNumberFormat="1" applyFont="1" applyFill="1" applyBorder="1" applyAlignment="1">
      <alignment vertical="center"/>
    </xf>
    <xf numFmtId="0" fontId="23" fillId="4" borderId="22" xfId="6" applyFont="1" applyFill="1" applyBorder="1" applyAlignment="1">
      <alignment vertical="center"/>
    </xf>
    <xf numFmtId="0" fontId="14" fillId="5" borderId="10" xfId="6" applyFont="1" applyFill="1" applyBorder="1" applyAlignment="1">
      <alignment horizontal="center" vertical="center"/>
    </xf>
    <xf numFmtId="0" fontId="15" fillId="4" borderId="22" xfId="6" applyFont="1" applyFill="1" applyBorder="1" applyAlignment="1">
      <alignment vertical="center"/>
    </xf>
    <xf numFmtId="0" fontId="24" fillId="4" borderId="22" xfId="6" applyFont="1" applyFill="1" applyBorder="1" applyAlignment="1">
      <alignment vertical="center"/>
    </xf>
    <xf numFmtId="0" fontId="15" fillId="5" borderId="22" xfId="6" applyFont="1" applyFill="1" applyBorder="1" applyAlignment="1">
      <alignment horizontal="center" vertical="center"/>
    </xf>
    <xf numFmtId="183" fontId="19" fillId="12" borderId="22" xfId="6" applyNumberFormat="1" applyFont="1" applyFill="1" applyBorder="1" applyAlignment="1">
      <alignment vertical="center"/>
    </xf>
    <xf numFmtId="185" fontId="15" fillId="2" borderId="22" xfId="6" applyNumberFormat="1" applyFont="1" applyFill="1" applyBorder="1" applyAlignment="1">
      <alignment vertical="center"/>
    </xf>
    <xf numFmtId="186" fontId="19" fillId="12" borderId="22" xfId="6" applyNumberFormat="1" applyFont="1" applyFill="1" applyBorder="1" applyAlignment="1">
      <alignment vertical="center"/>
    </xf>
    <xf numFmtId="183" fontId="23" fillId="2" borderId="22" xfId="6" applyNumberFormat="1" applyFont="1" applyFill="1" applyBorder="1" applyAlignment="1">
      <alignment vertical="center"/>
    </xf>
    <xf numFmtId="185" fontId="23" fillId="2" borderId="22" xfId="6" applyNumberFormat="1" applyFont="1" applyFill="1" applyBorder="1" applyAlignment="1">
      <alignment vertical="center"/>
    </xf>
    <xf numFmtId="183" fontId="24" fillId="10" borderId="22" xfId="6" applyNumberFormat="1" applyFont="1" applyFill="1" applyBorder="1" applyAlignment="1">
      <alignment vertical="center"/>
    </xf>
    <xf numFmtId="183" fontId="8" fillId="4" borderId="22" xfId="6" applyNumberFormat="1" applyFont="1" applyFill="1" applyBorder="1" applyAlignment="1">
      <alignment vertical="center"/>
    </xf>
    <xf numFmtId="183" fontId="13" fillId="4" borderId="22" xfId="6" applyNumberFormat="1" applyFont="1" applyFill="1" applyBorder="1" applyAlignment="1">
      <alignment vertical="center"/>
    </xf>
    <xf numFmtId="3" fontId="23" fillId="10" borderId="22" xfId="6" applyNumberFormat="1" applyFont="1" applyFill="1" applyBorder="1" applyAlignment="1">
      <alignment vertical="center"/>
    </xf>
    <xf numFmtId="180" fontId="23" fillId="10" borderId="22" xfId="6" applyNumberFormat="1" applyFont="1" applyFill="1" applyBorder="1" applyAlignment="1">
      <alignment vertical="center"/>
    </xf>
    <xf numFmtId="184" fontId="23" fillId="10" borderId="22" xfId="6" applyNumberFormat="1" applyFont="1" applyFill="1" applyBorder="1" applyAlignment="1">
      <alignment vertical="center"/>
    </xf>
    <xf numFmtId="184" fontId="13" fillId="4" borderId="22" xfId="6" applyNumberFormat="1" applyFont="1" applyFill="1" applyBorder="1" applyAlignment="1">
      <alignment vertical="center"/>
    </xf>
    <xf numFmtId="185" fontId="14" fillId="5" borderId="22" xfId="6" applyNumberFormat="1" applyFont="1" applyFill="1" applyBorder="1" applyAlignment="1">
      <alignment horizontal="center" vertical="center"/>
    </xf>
    <xf numFmtId="0" fontId="11" fillId="2" borderId="2" xfId="6" applyFont="1" applyFill="1" applyBorder="1" applyAlignment="1">
      <alignment vertical="center" wrapText="1"/>
    </xf>
    <xf numFmtId="0" fontId="13" fillId="4" borderId="5" xfId="6" applyFont="1" applyFill="1" applyBorder="1" applyAlignment="1">
      <alignment vertical="center" wrapText="1"/>
    </xf>
    <xf numFmtId="0" fontId="15" fillId="2" borderId="5" xfId="6" applyFont="1" applyFill="1" applyBorder="1" applyAlignment="1">
      <alignment vertical="center" wrapText="1"/>
    </xf>
    <xf numFmtId="0" fontId="14" fillId="5" borderId="10" xfId="6" applyFont="1" applyFill="1" applyBorder="1" applyAlignment="1">
      <alignment horizontal="center" vertical="center" wrapText="1"/>
    </xf>
    <xf numFmtId="0" fontId="14" fillId="5" borderId="11" xfId="6" applyFont="1" applyFill="1" applyBorder="1" applyAlignment="1">
      <alignment horizontal="center" vertical="center" wrapText="1"/>
    </xf>
    <xf numFmtId="0" fontId="14" fillId="5" borderId="12" xfId="6" applyFont="1" applyFill="1" applyBorder="1" applyAlignment="1">
      <alignment horizontal="center" vertical="center" wrapText="1"/>
    </xf>
    <xf numFmtId="0" fontId="15" fillId="2" borderId="7" xfId="6" applyFont="1" applyFill="1" applyBorder="1" applyAlignment="1">
      <alignment vertical="center" wrapText="1"/>
    </xf>
    <xf numFmtId="0" fontId="15" fillId="2" borderId="8" xfId="6" applyFont="1" applyFill="1" applyBorder="1" applyAlignment="1">
      <alignment vertical="center" wrapText="1"/>
    </xf>
    <xf numFmtId="0" fontId="18" fillId="2" borderId="22" xfId="6" applyFont="1" applyFill="1" applyBorder="1" applyAlignment="1">
      <alignment horizontal="left" vertical="center"/>
    </xf>
    <xf numFmtId="183" fontId="18" fillId="6" borderId="22" xfId="6" applyNumberFormat="1" applyFont="1" applyFill="1" applyBorder="1" applyAlignment="1">
      <alignment horizontal="right" vertical="center"/>
    </xf>
    <xf numFmtId="0" fontId="3" fillId="2" borderId="22" xfId="6" applyFont="1" applyFill="1" applyBorder="1" applyAlignment="1">
      <alignment vertical="center"/>
    </xf>
    <xf numFmtId="0" fontId="12" fillId="2" borderId="1" xfId="6" applyFont="1" applyFill="1" applyAlignment="1">
      <alignment vertical="center" wrapText="1"/>
    </xf>
    <xf numFmtId="0" fontId="0" fillId="0" borderId="1" xfId="6" applyFont="1"/>
    <xf numFmtId="0" fontId="22" fillId="13" borderId="1" xfId="6" applyFont="1" applyFill="1"/>
    <xf numFmtId="0" fontId="15" fillId="2" borderId="20" xfId="6" applyFont="1" applyFill="1" applyBorder="1" applyAlignment="1">
      <alignment vertical="center"/>
    </xf>
    <xf numFmtId="0" fontId="0" fillId="0" borderId="15" xfId="6" applyFont="1" applyBorder="1"/>
    <xf numFmtId="0" fontId="0" fillId="0" borderId="16" xfId="6" applyFont="1" applyBorder="1"/>
    <xf numFmtId="0" fontId="15" fillId="2" borderId="21" xfId="6" applyFont="1" applyFill="1" applyBorder="1" applyAlignment="1">
      <alignment vertical="center"/>
    </xf>
    <xf numFmtId="0" fontId="0" fillId="0" borderId="14" xfId="6" applyFont="1" applyBorder="1"/>
    <xf numFmtId="0" fontId="12" fillId="2" borderId="1" xfId="6" applyFont="1" applyFill="1" applyAlignment="1">
      <alignment wrapText="1"/>
    </xf>
    <xf numFmtId="0" fontId="15" fillId="7" borderId="1" xfId="6" applyFont="1" applyFill="1"/>
    <xf numFmtId="0" fontId="20" fillId="8" borderId="1" xfId="6" applyFont="1" applyFill="1" applyAlignment="1">
      <alignment vertical="center"/>
    </xf>
    <xf numFmtId="0" fontId="22" fillId="9" borderId="22" xfId="6" applyFont="1" applyFill="1" applyBorder="1"/>
    <xf numFmtId="0" fontId="0" fillId="0" borderId="23" xfId="6" applyFont="1" applyBorder="1"/>
    <xf numFmtId="0" fontId="0" fillId="0" borderId="24" xfId="6" applyFont="1" applyBorder="1"/>
    <xf numFmtId="0" fontId="21" fillId="7" borderId="1" xfId="6" applyFont="1" applyFill="1"/>
    <xf numFmtId="0" fontId="14" fillId="5" borderId="17" xfId="6" applyFont="1" applyFill="1" applyBorder="1" applyAlignment="1">
      <alignment horizontal="center" vertical="center"/>
    </xf>
    <xf numFmtId="0" fontId="0" fillId="0" borderId="18" xfId="6" applyFont="1" applyBorder="1"/>
    <xf numFmtId="0" fontId="15" fillId="2" borderId="13" xfId="6" applyFont="1" applyFill="1" applyBorder="1" applyAlignment="1">
      <alignment vertical="center"/>
    </xf>
    <xf numFmtId="0" fontId="12" fillId="2" borderId="13" xfId="6" applyFont="1" applyFill="1" applyBorder="1" applyAlignment="1">
      <alignment vertical="center"/>
    </xf>
    <xf numFmtId="0" fontId="12" fillId="2" borderId="1" xfId="6" applyFont="1" applyFill="1" applyAlignment="1">
      <alignment vertical="center"/>
    </xf>
    <xf numFmtId="0" fontId="15" fillId="2" borderId="14" xfId="6" applyFont="1" applyFill="1" applyBorder="1" applyAlignment="1">
      <alignment vertical="center" wrapText="1"/>
    </xf>
    <xf numFmtId="0" fontId="15" fillId="2" borderId="21" xfId="6" applyFont="1" applyFill="1" applyBorder="1" applyAlignment="1">
      <alignment vertical="center" wrapText="1"/>
    </xf>
    <xf numFmtId="183" fontId="16" fillId="10" borderId="22" xfId="6" applyNumberFormat="1" applyFont="1" applyFill="1" applyBorder="1" applyAlignment="1">
      <alignment horizontal="right" vertical="center"/>
    </xf>
  </cellXfs>
  <cellStyles count="7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6" xr:uid="{00000000-0005-0000-0000-000000000000}"/>
    <cellStyle name="Percent" xfId="5" xr:uid="{00000000-0005-0000-0000-000005000000}"/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AF6A31"/>
      <rgbColor rgb="FF91AF53"/>
      <rgbColor rgb="FF0000FF"/>
      <rgbColor rgb="FFFFFF00"/>
      <rgbColor rgb="FFC27140"/>
      <rgbColor rgb="FFACC682"/>
      <rgbColor rgb="FFB34A48"/>
      <rgbColor rgb="FF008000"/>
      <rgbColor rgb="FF7D9647"/>
      <rgbColor rgb="FF6E843F"/>
      <rgbColor rgb="FF7030A0"/>
      <rgbColor rgb="FF1F6E6A"/>
      <rgbColor rgb="FFBFBFBF"/>
      <rgbColor rgb="FF808081"/>
      <rgbColor rgb="FF839EC9"/>
      <rgbColor rgb="FF9A403E"/>
      <rgbColor rgb="FFFFF2CC"/>
      <rgbColor rgb="FFD9EFEC"/>
      <rgbColor rgb="FF7B609C"/>
      <rgbColor rgb="FFF3944D"/>
      <rgbColor rgb="FF416DA0"/>
      <rgbColor rgb="FFC2D5E1"/>
      <rgbColor rgb="FFDC853E"/>
      <rgbColor rgb="FFC77938"/>
      <rgbColor rgb="FFCEDCBC"/>
      <rgbColor rgb="FF8AA64F"/>
      <rgbColor rgb="FFAB4744"/>
      <rgbColor rgb="FFB94D4A"/>
      <rgbColor rgb="FF725990"/>
      <rgbColor rgb="FFD9D9D9"/>
      <rgbColor rgb="FF7AB9D0"/>
      <rgbColor rgb="FFEAEFF5"/>
      <rgbColor rgb="FFF2F2F2"/>
      <rgbColor rgb="FFF9F9F9"/>
      <rgbColor rgb="FFB0C6DA"/>
      <rgbColor rgb="FFF8AC7F"/>
      <rgbColor rgb="FFCB8483"/>
      <rgbColor rgb="FFF3C6B9"/>
      <rgbColor rgb="FF4B7AB4"/>
      <rgbColor rgb="FF45A0B8"/>
      <rgbColor rgb="FF95B455"/>
      <rgbColor rgb="FFFFC000"/>
      <rgbColor rgb="FFE78C41"/>
      <rgbColor rgb="FFC55A11"/>
      <rgbColor rgb="FF775D97"/>
      <rgbColor rgb="FF9E8DB4"/>
      <rgbColor rgb="FF878787"/>
      <rgbColor rgb="FF388498"/>
      <rgbColor rgb="FF7A9346"/>
      <rgbColor rgb="FF675082"/>
      <rgbColor rgb="FF883836"/>
      <rgbColor rgb="FF973F3C"/>
      <rgbColor rgb="FF604B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r>
              <a:rPr sz="1800" b="1">
                <a:solidFill>
                  <a:srgbClr val="000000"/>
                </a:solidFill>
                <a:latin typeface="맑은 고딕"/>
                <a:ea typeface="맑은 고딕"/>
                <a:cs typeface="맑은 고딕"/>
              </a:rPr>
              <a:t>도표 4 — 대덕전자 분기별 매출·OPM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매출액(좌)</c:v>
          </c:tx>
          <c:spPr>
            <a:solidFill>
              <a:srgbClr val="BFBFBF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'08_도표4_분기실적추이'!$B$5</c:f>
              <c:numCache>
                <c:formatCode>#,##0.0;[Red]\(#,##0.0\);\-</c:formatCode>
                <c:ptCount val="1"/>
                <c:pt idx="0">
                  <c:v>235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856-4541-BF9C-6CD0DEDF2A51}"/>
            </c:ext>
          </c:extLst>
        </c:ser>
        <c:ser>
          <c:idx val="1"/>
          <c:order val="1"/>
          <c:spPr>
            <a:solidFill>
              <a:srgbClr val="883836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'08_도표4_분기실적추이'!$C$5</c:f>
              <c:numCache>
                <c:formatCode>#,##0.0;[Red]\(#,##0.0\);\-</c:formatCode>
                <c:ptCount val="1"/>
                <c:pt idx="0">
                  <c:v>230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856-4541-BF9C-6CD0DEDF2A51}"/>
            </c:ext>
          </c:extLst>
        </c:ser>
        <c:ser>
          <c:idx val="2"/>
          <c:order val="2"/>
          <c:spPr>
            <a:solidFill>
              <a:srgbClr val="6E843F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'08_도표4_분기실적추이'!$D$5</c:f>
              <c:numCache>
                <c:formatCode>#,##0.0;[Red]\(#,##0.0\);\-</c:formatCode>
                <c:ptCount val="1"/>
                <c:pt idx="0">
                  <c:v>256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856-4541-BF9C-6CD0DEDF2A51}"/>
            </c:ext>
          </c:extLst>
        </c:ser>
        <c:ser>
          <c:idx val="3"/>
          <c:order val="3"/>
          <c:spPr>
            <a:solidFill>
              <a:srgbClr val="5A4773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'08_도표4_분기실적추이'!$E$5</c:f>
              <c:numCache>
                <c:formatCode>#,##0.0;[Red]\(#,##0.0\);\-</c:formatCode>
                <c:ptCount val="1"/>
                <c:pt idx="0">
                  <c:v>283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856-4541-BF9C-6CD0DEDF2A51}"/>
            </c:ext>
          </c:extLst>
        </c:ser>
        <c:ser>
          <c:idx val="4"/>
          <c:order val="4"/>
          <c:spPr>
            <a:solidFill>
              <a:srgbClr val="357A8C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'08_도표4_분기실적추이'!$F$5</c:f>
              <c:numCache>
                <c:formatCode>#,##0.0;[Red]\(#,##0.0\);\-</c:formatCode>
                <c:ptCount val="1"/>
                <c:pt idx="0">
                  <c:v>296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8856-4541-BF9C-6CD0DEDF2A51}"/>
            </c:ext>
          </c:extLst>
        </c:ser>
        <c:ser>
          <c:idx val="5"/>
          <c:order val="5"/>
          <c:spPr>
            <a:solidFill>
              <a:srgbClr val="AF6A31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'08_도표4_분기실적추이'!$G$5</c:f>
              <c:numCache>
                <c:formatCode>#,##0.0;[Red]\(#,##0.0\);\-</c:formatCode>
                <c:ptCount val="1"/>
                <c:pt idx="0">
                  <c:v>343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8856-4541-BF9C-6CD0DEDF2A51}"/>
            </c:ext>
          </c:extLst>
        </c:ser>
        <c:ser>
          <c:idx val="6"/>
          <c:order val="6"/>
          <c:spPr>
            <a:solidFill>
              <a:srgbClr val="3F6898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'08_도표4_분기실적추이'!$H$5</c:f>
              <c:numCache>
                <c:formatCode>#,##0.0;[Red]\(#,##0.0\);\-</c:formatCode>
                <c:ptCount val="1"/>
                <c:pt idx="0">
                  <c:v>373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8856-4541-BF9C-6CD0DEDF2A51}"/>
            </c:ext>
          </c:extLst>
        </c:ser>
        <c:ser>
          <c:idx val="7"/>
          <c:order val="7"/>
          <c:spPr>
            <a:solidFill>
              <a:srgbClr val="9A403E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'08_도표4_분기실적추이'!$I$5</c:f>
              <c:numCache>
                <c:formatCode>#,##0.0;[Red]\(#,##0.0\);\-</c:formatCode>
                <c:ptCount val="1"/>
                <c:pt idx="0">
                  <c:v>296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8856-4541-BF9C-6CD0DEDF2A51}"/>
            </c:ext>
          </c:extLst>
        </c:ser>
        <c:ser>
          <c:idx val="8"/>
          <c:order val="8"/>
          <c:spPr>
            <a:solidFill>
              <a:srgbClr val="7D9647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'08_도표4_분기실적추이'!$J$5</c:f>
              <c:numCache>
                <c:formatCode>#,##0.0;[Red]\(#,##0.0\);\-</c:formatCode>
                <c:ptCount val="1"/>
                <c:pt idx="0">
                  <c:v>218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8856-4541-BF9C-6CD0DEDF2A51}"/>
            </c:ext>
          </c:extLst>
        </c:ser>
        <c:ser>
          <c:idx val="9"/>
          <c:order val="9"/>
          <c:spPr>
            <a:solidFill>
              <a:srgbClr val="675082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'08_도표4_분기실적추이'!$K$5</c:f>
              <c:numCache>
                <c:formatCode>#,##0.0;[Red]\(#,##0.0\);\-</c:formatCode>
                <c:ptCount val="1"/>
                <c:pt idx="0">
                  <c:v>220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8856-4541-BF9C-6CD0DEDF2A51}"/>
            </c:ext>
          </c:extLst>
        </c:ser>
        <c:ser>
          <c:idx val="10"/>
          <c:order val="10"/>
          <c:spPr>
            <a:solidFill>
              <a:srgbClr val="3C8A9F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'08_도표4_분기실적추이'!$L$5</c:f>
              <c:numCache>
                <c:formatCode>#,##0.0;[Red]\(#,##0.0\);\-</c:formatCode>
                <c:ptCount val="1"/>
                <c:pt idx="0">
                  <c:v>238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8856-4541-BF9C-6CD0DEDF2A51}"/>
            </c:ext>
          </c:extLst>
        </c:ser>
        <c:ser>
          <c:idx val="11"/>
          <c:order val="11"/>
          <c:spPr>
            <a:solidFill>
              <a:srgbClr val="C77938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'08_도표4_분기실적추이'!$M$5</c:f>
              <c:numCache>
                <c:formatCode>#,##0.0;[Red]\(#,##0.0\);\-</c:formatCode>
                <c:ptCount val="1"/>
                <c:pt idx="0">
                  <c:v>235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8856-4541-BF9C-6CD0DEDF2A51}"/>
            </c:ext>
          </c:extLst>
        </c:ser>
        <c:ser>
          <c:idx val="12"/>
          <c:order val="12"/>
          <c:spPr>
            <a:solidFill>
              <a:srgbClr val="4672A8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'08_도표4_분기실적추이'!$N$5</c:f>
              <c:numCache>
                <c:formatCode>#,##0.0;[Red]\(#,##0.0\);\-</c:formatCode>
                <c:ptCount val="1"/>
                <c:pt idx="0">
                  <c:v>214.8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8856-4541-BF9C-6CD0DEDF2A51}"/>
            </c:ext>
          </c:extLst>
        </c:ser>
        <c:ser>
          <c:idx val="13"/>
          <c:order val="13"/>
          <c:spPr>
            <a:solidFill>
              <a:srgbClr val="AB4744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'08_도표4_분기실적추이'!$O$5</c:f>
              <c:numCache>
                <c:formatCode>#,##0.0;[Red]\(#,##0.0\);\-</c:formatCode>
                <c:ptCount val="1"/>
                <c:pt idx="0">
                  <c:v>238.3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8856-4541-BF9C-6CD0DEDF2A51}"/>
            </c:ext>
          </c:extLst>
        </c:ser>
        <c:ser>
          <c:idx val="14"/>
          <c:order val="14"/>
          <c:spPr>
            <a:solidFill>
              <a:srgbClr val="8AA64F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'08_도표4_분기실적추이'!$P$5</c:f>
              <c:numCache>
                <c:formatCode>#,##0.0;[Red]\(#,##0.0\);\-</c:formatCode>
                <c:ptCount val="1"/>
                <c:pt idx="0">
                  <c:v>232.7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8856-4541-BF9C-6CD0DEDF2A51}"/>
            </c:ext>
          </c:extLst>
        </c:ser>
        <c:ser>
          <c:idx val="15"/>
          <c:order val="15"/>
          <c:spPr>
            <a:solidFill>
              <a:srgbClr val="725990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'08_도표4_분기실적추이'!$Q$5</c:f>
              <c:numCache>
                <c:formatCode>#,##0.0;[Red]\(#,##0.0\);\-</c:formatCode>
                <c:ptCount val="1"/>
                <c:pt idx="0">
                  <c:v>206.4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F-8856-4541-BF9C-6CD0DEDF2A51}"/>
            </c:ext>
          </c:extLst>
        </c:ser>
        <c:ser>
          <c:idx val="16"/>
          <c:order val="16"/>
          <c:spPr>
            <a:solidFill>
              <a:srgbClr val="4299B0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'08_도표4_분기실적추이'!$R$5</c:f>
              <c:numCache>
                <c:formatCode>#,##0.0;[Red]\(#,##0.0\);\-</c:formatCode>
                <c:ptCount val="1"/>
                <c:pt idx="0">
                  <c:v>215.4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0-8856-4541-BF9C-6CD0DEDF2A51}"/>
            </c:ext>
          </c:extLst>
        </c:ser>
        <c:ser>
          <c:idx val="17"/>
          <c:order val="17"/>
          <c:spPr>
            <a:solidFill>
              <a:srgbClr val="DC853E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'08_도표4_분기실적추이'!$S$5</c:f>
              <c:numCache>
                <c:formatCode>#,##0.0;[Red]\(#,##0.0\);\-</c:formatCode>
                <c:ptCount val="1"/>
                <c:pt idx="0">
                  <c:v>245.9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1-8856-4541-BF9C-6CD0DEDF2A51}"/>
            </c:ext>
          </c:extLst>
        </c:ser>
        <c:ser>
          <c:idx val="18"/>
          <c:order val="18"/>
          <c:spPr>
            <a:solidFill>
              <a:srgbClr val="4C7CB6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'08_도표4_분기실적추이'!$T$5</c:f>
              <c:numCache>
                <c:formatCode>#,##0.0;[Red]\(#,##0.0\);\-</c:formatCode>
                <c:ptCount val="1"/>
                <c:pt idx="0">
                  <c:v>286.2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2-8856-4541-BF9C-6CD0DEDF2A51}"/>
            </c:ext>
          </c:extLst>
        </c:ser>
        <c:ser>
          <c:idx val="19"/>
          <c:order val="19"/>
          <c:spPr>
            <a:solidFill>
              <a:srgbClr val="B94D4A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'08_도표4_분기실적추이'!$U$5</c:f>
              <c:numCache>
                <c:formatCode>#,##0.0;[Red]\(#,##0.0\);\-</c:formatCode>
                <c:ptCount val="1"/>
                <c:pt idx="0">
                  <c:v>317.89999999999998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3-8856-4541-BF9C-6CD0DEDF2A51}"/>
            </c:ext>
          </c:extLst>
        </c:ser>
        <c:ser>
          <c:idx val="20"/>
          <c:order val="20"/>
          <c:spPr>
            <a:solidFill>
              <a:srgbClr val="95B455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'08_도표4_분기실적추이'!$V$5</c:f>
              <c:numCache>
                <c:formatCode>#,##0.0;[Red]\(#,##0.0\);\-</c:formatCode>
                <c:ptCount val="1"/>
                <c:pt idx="0">
                  <c:v>330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4-8856-4541-BF9C-6CD0DEDF2A51}"/>
            </c:ext>
          </c:extLst>
        </c:ser>
        <c:ser>
          <c:idx val="21"/>
          <c:order val="21"/>
          <c:spPr>
            <a:solidFill>
              <a:srgbClr val="7B609C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'08_도표4_분기실적추이'!$W$5</c:f>
              <c:numCache>
                <c:formatCode>#,##0.0;[Red]\(#,##0.0\);\-</c:formatCode>
                <c:ptCount val="1"/>
                <c:pt idx="0">
                  <c:v>354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5-8856-4541-BF9C-6CD0DEDF2A51}"/>
            </c:ext>
          </c:extLst>
        </c:ser>
        <c:ser>
          <c:idx val="22"/>
          <c:order val="22"/>
          <c:spPr>
            <a:solidFill>
              <a:srgbClr val="48A6BF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'08_도표4_분기실적추이'!$X$5</c:f>
              <c:numCache>
                <c:formatCode>#,##0.0;[Red]\(#,##0.0\);\-</c:formatCode>
                <c:ptCount val="1"/>
                <c:pt idx="0">
                  <c:v>397.7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6-8856-4541-BF9C-6CD0DEDF2A51}"/>
            </c:ext>
          </c:extLst>
        </c:ser>
        <c:ser>
          <c:idx val="23"/>
          <c:order val="23"/>
          <c:spPr>
            <a:solidFill>
              <a:srgbClr val="EE9043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'08_도표4_분기실적추이'!$Y$5</c:f>
              <c:numCache>
                <c:formatCode>#,##0.0;[Red]\(#,##0.0\);\-</c:formatCode>
                <c:ptCount val="1"/>
                <c:pt idx="0">
                  <c:v>403.9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7-8856-4541-BF9C-6CD0DEDF2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맑은 고딕"/>
                <a:ea typeface="맑은 고딕"/>
                <a:cs typeface="맑은 고딕"/>
              </a:defRPr>
            </a:pPr>
            <a:endParaRPr lang="ko-KR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sz="1000" b="1">
                    <a:solidFill>
                      <a:srgbClr val="000000"/>
                    </a:solidFill>
                    <a:latin typeface="맑은 고딕"/>
                    <a:ea typeface="맑은 고딕"/>
                    <a:cs typeface="맑은 고딕"/>
                  </a:rPr>
                  <a:t>매출액 (십억원)</a:t>
                </a:r>
              </a:p>
            </c:rich>
          </c:tx>
          <c:overlay val="0"/>
        </c:title>
        <c:numFmt formatCode="#,##0.0;[Red]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맑은 고딕"/>
                <a:ea typeface="맑은 고딕"/>
                <a:cs typeface="맑은 고딕"/>
              </a:defRPr>
            </a:pPr>
            <a:endParaRPr lang="ko-KR"/>
          </a:p>
        </c:txPr>
        <c:crossAx val="48650112"/>
        <c:crosses val="autoZero"/>
        <c:crossBetween val="between"/>
      </c:valAx>
    </c:plotArea>
    <c:legend>
      <c:legendPos val="r"/>
      <c:overlay val="0"/>
      <c:spPr>
        <a:noFill/>
        <a:ln>
          <a:prstDash val="solid"/>
        </a:ln>
      </c:spPr>
      <c:txPr>
        <a:bodyPr anchorCtr="1"/>
        <a:lstStyle/>
        <a:p>
          <a:pPr>
            <a:defRPr sz="1000" b="0">
              <a:solidFill>
                <a:srgbClr val="000000"/>
              </a:solidFill>
              <a:latin typeface="맑은 고딕"/>
              <a:ea typeface="맑은 고딕"/>
              <a:cs typeface="맑은 고딕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r>
              <a:rPr sz="1800" b="1">
                <a:solidFill>
                  <a:srgbClr val="000000"/>
                </a:solidFill>
                <a:latin typeface="맑은 고딕"/>
                <a:ea typeface="맑은 고딕"/>
                <a:cs typeface="맑은 고딕"/>
              </a:rPr>
              <a:t>도표 5 — 대덕전자 분기별 수주잔고 (억원)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F6E6A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'09_도표5_수주잔고추이'!$B$5</c:f>
              <c:numCache>
                <c:formatCode>#,##0;[Red]\(#,##0\);\-</c:formatCode>
                <c:ptCount val="1"/>
                <c:pt idx="0">
                  <c:v>640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810-4241-A975-AEC9E63C7D59}"/>
            </c:ext>
          </c:extLst>
        </c:ser>
        <c:ser>
          <c:idx val="1"/>
          <c:order val="1"/>
          <c:spPr>
            <a:solidFill>
              <a:srgbClr val="973F3C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'09_도표5_수주잔고추이'!$C$5</c:f>
              <c:numCache>
                <c:formatCode>#,##0;[Red]\(#,##0\);\-</c:formatCode>
                <c:ptCount val="1"/>
                <c:pt idx="0">
                  <c:v>1300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810-4241-A975-AEC9E63C7D59}"/>
            </c:ext>
          </c:extLst>
        </c:ser>
        <c:ser>
          <c:idx val="2"/>
          <c:order val="2"/>
          <c:spPr>
            <a:solidFill>
              <a:srgbClr val="7A9346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'09_도표5_수주잔고추이'!$D$5</c:f>
              <c:numCache>
                <c:formatCode>#,##0;[Red]\(#,##0\);\-</c:formatCode>
                <c:ptCount val="1"/>
                <c:pt idx="0">
                  <c:v>2070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810-4241-A975-AEC9E63C7D59}"/>
            </c:ext>
          </c:extLst>
        </c:ser>
        <c:ser>
          <c:idx val="3"/>
          <c:order val="3"/>
          <c:spPr>
            <a:solidFill>
              <a:srgbClr val="654E7F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'09_도표5_수주잔고추이'!$E$5</c:f>
              <c:numCache>
                <c:formatCode>#,##0;[Red]\(#,##0\);\-</c:formatCode>
                <c:ptCount val="1"/>
                <c:pt idx="0">
                  <c:v>1310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810-4241-A975-AEC9E63C7D59}"/>
            </c:ext>
          </c:extLst>
        </c:ser>
        <c:ser>
          <c:idx val="4"/>
          <c:order val="4"/>
          <c:spPr>
            <a:solidFill>
              <a:srgbClr val="3B879C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'09_도표5_수주잔고추이'!$F$5</c:f>
              <c:numCache>
                <c:formatCode>#,##0;[Red]\(#,##0\);\-</c:formatCode>
                <c:ptCount val="1"/>
                <c:pt idx="0">
                  <c:v>780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B810-4241-A975-AEC9E63C7D59}"/>
            </c:ext>
          </c:extLst>
        </c:ser>
        <c:ser>
          <c:idx val="5"/>
          <c:order val="5"/>
          <c:spPr>
            <a:solidFill>
              <a:srgbClr val="C27637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'09_도표5_수주잔고추이'!$G$5</c:f>
              <c:numCache>
                <c:formatCode>#,##0;[Red]\(#,##0\);\-</c:formatCode>
                <c:ptCount val="1"/>
                <c:pt idx="0">
                  <c:v>1100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B810-4241-A975-AEC9E63C7D59}"/>
            </c:ext>
          </c:extLst>
        </c:ser>
        <c:ser>
          <c:idx val="6"/>
          <c:order val="6"/>
          <c:spPr>
            <a:solidFill>
              <a:srgbClr val="4978B1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'09_도표5_수주잔고추이'!$H$5</c:f>
              <c:numCache>
                <c:formatCode>#,##0;[Red]\(#,##0\);\-</c:formatCode>
                <c:ptCount val="1"/>
                <c:pt idx="0">
                  <c:v>610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B810-4241-A975-AEC9E63C7D59}"/>
            </c:ext>
          </c:extLst>
        </c:ser>
        <c:ser>
          <c:idx val="7"/>
          <c:order val="7"/>
          <c:spPr>
            <a:solidFill>
              <a:srgbClr val="B34A48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'09_도표5_수주잔고추이'!$I$5</c:f>
              <c:numCache>
                <c:formatCode>#,##0;[Red]\(#,##0\);\-</c:formatCode>
                <c:ptCount val="1"/>
                <c:pt idx="0">
                  <c:v>330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B810-4241-A975-AEC9E63C7D59}"/>
            </c:ext>
          </c:extLst>
        </c:ser>
        <c:ser>
          <c:idx val="8"/>
          <c:order val="8"/>
          <c:spPr>
            <a:solidFill>
              <a:srgbClr val="91AF53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'09_도표5_수주잔고추이'!$J$5</c:f>
              <c:numCache>
                <c:formatCode>#,##0;[Red]\(#,##0\);\-</c:formatCode>
                <c:ptCount val="1"/>
                <c:pt idx="0">
                  <c:v>800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B810-4241-A975-AEC9E63C7D59}"/>
            </c:ext>
          </c:extLst>
        </c:ser>
        <c:ser>
          <c:idx val="9"/>
          <c:order val="9"/>
          <c:spPr>
            <a:solidFill>
              <a:srgbClr val="775D97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'09_도표5_수주잔고추이'!$K$5</c:f>
              <c:numCache>
                <c:formatCode>#,##0;[Red]\(#,##0\);\-</c:formatCode>
                <c:ptCount val="1"/>
                <c:pt idx="0">
                  <c:v>380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B810-4241-A975-AEC9E63C7D59}"/>
            </c:ext>
          </c:extLst>
        </c:ser>
        <c:ser>
          <c:idx val="10"/>
          <c:order val="10"/>
          <c:spPr>
            <a:solidFill>
              <a:srgbClr val="46A1B9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'09_도표5_수주잔고추이'!$L$5</c:f>
              <c:numCache>
                <c:formatCode>#,##0;[Red]\(#,##0\);\-</c:formatCode>
                <c:ptCount val="1"/>
                <c:pt idx="0">
                  <c:v>1010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B810-4241-A975-AEC9E63C7D59}"/>
            </c:ext>
          </c:extLst>
        </c:ser>
        <c:ser>
          <c:idx val="11"/>
          <c:order val="11"/>
          <c:spPr>
            <a:solidFill>
              <a:srgbClr val="E78C41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'09_도표5_수주잔고추이'!$M$5</c:f>
              <c:numCache>
                <c:formatCode>#,##0;[Red]\(#,##0\);\-</c:formatCode>
                <c:ptCount val="1"/>
                <c:pt idx="0">
                  <c:v>340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B810-4241-A975-AEC9E63C7D59}"/>
            </c:ext>
          </c:extLst>
        </c:ser>
        <c:ser>
          <c:idx val="12"/>
          <c:order val="12"/>
          <c:spPr>
            <a:solidFill>
              <a:srgbClr val="7E9BC7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'09_도표5_수주잔고추이'!$N$5</c:f>
              <c:numCache>
                <c:formatCode>#,##0;[Red]\(#,##0\);\-</c:formatCode>
                <c:ptCount val="1"/>
                <c:pt idx="0">
                  <c:v>730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B810-4241-A975-AEC9E63C7D59}"/>
            </c:ext>
          </c:extLst>
        </c:ser>
        <c:ser>
          <c:idx val="13"/>
          <c:order val="13"/>
          <c:spPr>
            <a:solidFill>
              <a:srgbClr val="CA7E7D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'09_도표5_수주잔고추이'!$O$5</c:f>
              <c:numCache>
                <c:formatCode>#,##0;[Red]\(#,##0\);\-</c:formatCode>
                <c:ptCount val="1"/>
                <c:pt idx="0">
                  <c:v>690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B810-4241-A975-AEC9E63C7D59}"/>
            </c:ext>
          </c:extLst>
        </c:ser>
        <c:ser>
          <c:idx val="14"/>
          <c:order val="14"/>
          <c:spPr>
            <a:solidFill>
              <a:srgbClr val="ADC683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'09_도표5_수주잔고추이'!$P$5</c:f>
              <c:numCache>
                <c:formatCode>#,##0;[Red]\(#,##0\);\-</c:formatCode>
                <c:ptCount val="1"/>
                <c:pt idx="0">
                  <c:v>780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B810-4241-A975-AEC9E63C7D59}"/>
            </c:ext>
          </c:extLst>
        </c:ser>
        <c:ser>
          <c:idx val="15"/>
          <c:order val="15"/>
          <c:spPr>
            <a:solidFill>
              <a:srgbClr val="9A89B2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'09_도표5_수주잔고추이'!$Q$5</c:f>
              <c:numCache>
                <c:formatCode>#,##0;[Red]\(#,##0\);\-</c:formatCode>
                <c:ptCount val="1"/>
                <c:pt idx="0">
                  <c:v>360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F-B810-4241-A975-AEC9E63C7D59}"/>
            </c:ext>
          </c:extLst>
        </c:ser>
        <c:ser>
          <c:idx val="16"/>
          <c:order val="16"/>
          <c:spPr>
            <a:solidFill>
              <a:srgbClr val="7CBACF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'09_도표5_수주잔고추이'!$R$5</c:f>
              <c:numCache>
                <c:formatCode>#,##0;[Red]\(#,##0\);\-</c:formatCode>
                <c:ptCount val="1"/>
                <c:pt idx="0">
                  <c:v>800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0-B810-4241-A975-AEC9E63C7D59}"/>
            </c:ext>
          </c:extLst>
        </c:ser>
        <c:ser>
          <c:idx val="17"/>
          <c:order val="17"/>
          <c:spPr>
            <a:solidFill>
              <a:srgbClr val="F8AA7A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'09_도표5_수주잔고추이'!$S$5</c:f>
              <c:numCache>
                <c:formatCode>#,##0;[Red]\(#,##0\);\-</c:formatCode>
                <c:ptCount val="1"/>
                <c:pt idx="0">
                  <c:v>1290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1-B810-4241-A975-AEC9E63C7D59}"/>
            </c:ext>
          </c:extLst>
        </c:ser>
        <c:ser>
          <c:idx val="18"/>
          <c:order val="18"/>
          <c:spPr>
            <a:solidFill>
              <a:srgbClr val="B5C3DB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'09_도표5_수주잔고추이'!$T$5</c:f>
              <c:numCache>
                <c:formatCode>#,##0;[Red]\(#,##0\);\-</c:formatCode>
                <c:ptCount val="1"/>
                <c:pt idx="0">
                  <c:v>3080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2-B810-4241-A975-AEC9E63C7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맑은 고딕"/>
                <a:ea typeface="맑은 고딕"/>
                <a:cs typeface="맑은 고딕"/>
              </a:defRPr>
            </a:pPr>
            <a:endParaRPr lang="ko-KR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</a:ln>
          </c:spPr>
        </c:majorGridlines>
        <c:numFmt formatCode="#,##0;[Red]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맑은 고딕"/>
                <a:ea typeface="맑은 고딕"/>
                <a:cs typeface="맑은 고딕"/>
              </a:defRPr>
            </a:pPr>
            <a:endParaRPr lang="ko-KR"/>
          </a:p>
        </c:txPr>
        <c:crossAx val="48650112"/>
        <c:crosses val="autoZero"/>
        <c:crossBetween val="between"/>
      </c:valAx>
    </c:plotArea>
    <c:legend>
      <c:legendPos val="r"/>
      <c:overlay val="0"/>
      <c:spPr>
        <a:noFill/>
        <a:ln>
          <a:prstDash val="solid"/>
        </a:ln>
      </c:spPr>
      <c:txPr>
        <a:bodyPr anchorCtr="1"/>
        <a:lstStyle/>
        <a:p>
          <a:pPr>
            <a:defRPr sz="1000" b="0">
              <a:solidFill>
                <a:srgbClr val="000000"/>
              </a:solidFill>
              <a:latin typeface="맑은 고딕"/>
              <a:ea typeface="맑은 고딕"/>
              <a:cs typeface="맑은 고딕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106920</xdr:rowOff>
    </xdr:from>
    <xdr:to>
      <xdr:col>14</xdr:col>
      <xdr:colOff>407880</xdr:colOff>
      <xdr:row>30</xdr:row>
      <xdr:rowOff>65880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106920</xdr:rowOff>
    </xdr:from>
    <xdr:to>
      <xdr:col>12</xdr:col>
      <xdr:colOff>236880</xdr:colOff>
      <xdr:row>29</xdr:row>
      <xdr:rowOff>65880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Z90"/>
  <sheetViews>
    <sheetView showGridLines="0" workbookViewId="0"/>
  </sheetViews>
  <sheetFormatPr defaultColWidth="8.69921875" defaultRowHeight="17.399999999999999" x14ac:dyDescent="0.4"/>
  <cols>
    <col min="1" max="1" width="5" customWidth="1"/>
    <col min="2" max="2" width="28" customWidth="1"/>
    <col min="3" max="3" width="24" customWidth="1"/>
    <col min="4" max="4" width="75" customWidth="1"/>
    <col min="5" max="26" width="10" customWidth="1"/>
  </cols>
  <sheetData>
    <row r="1" spans="1:26" ht="19.95" customHeight="1" x14ac:dyDescent="0.4">
      <c r="A1" s="24"/>
      <c r="B1" s="79" t="s">
        <v>64</v>
      </c>
      <c r="C1" s="25"/>
      <c r="D1" s="26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6"/>
    </row>
    <row r="2" spans="1:26" ht="19.95" customHeight="1" x14ac:dyDescent="0.4">
      <c r="A2" s="27"/>
      <c r="B2" s="50" t="s">
        <v>65</v>
      </c>
      <c r="C2" s="3"/>
      <c r="D2" s="28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28"/>
    </row>
    <row r="3" spans="1:26" ht="19.95" customHeight="1" x14ac:dyDescent="0.4">
      <c r="A3" s="12"/>
      <c r="B3" s="1"/>
      <c r="C3" s="1"/>
      <c r="D3" s="1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3"/>
    </row>
    <row r="4" spans="1:26" ht="19.95" customHeight="1" x14ac:dyDescent="0.4">
      <c r="A4" s="80" t="s">
        <v>66</v>
      </c>
      <c r="B4" s="5"/>
      <c r="C4" s="5"/>
      <c r="D4" s="2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3"/>
    </row>
    <row r="5" spans="1:26" ht="37.950000000000003" customHeight="1" x14ac:dyDescent="0.4">
      <c r="A5" s="6"/>
      <c r="B5" s="81" t="s">
        <v>67</v>
      </c>
      <c r="C5" s="81" t="s">
        <v>68</v>
      </c>
      <c r="D5" s="82" t="s">
        <v>69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3"/>
    </row>
    <row r="6" spans="1:26" ht="37.950000000000003" customHeight="1" x14ac:dyDescent="0.4">
      <c r="A6" s="12"/>
      <c r="B6" s="83" t="s">
        <v>70</v>
      </c>
      <c r="C6" s="83" t="s">
        <v>71</v>
      </c>
      <c r="D6" s="84" t="s">
        <v>72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3"/>
    </row>
    <row r="7" spans="1:26" ht="37.950000000000003" customHeight="1" x14ac:dyDescent="0.4">
      <c r="A7" s="12"/>
      <c r="B7" s="83" t="s">
        <v>73</v>
      </c>
      <c r="C7" s="83" t="s">
        <v>74</v>
      </c>
      <c r="D7" s="84" t="s">
        <v>75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</row>
    <row r="8" spans="1:26" ht="37.950000000000003" customHeight="1" x14ac:dyDescent="0.4">
      <c r="A8" s="12"/>
      <c r="B8" s="83" t="s">
        <v>76</v>
      </c>
      <c r="C8" s="83" t="s">
        <v>77</v>
      </c>
      <c r="D8" s="84" t="s">
        <v>78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3"/>
    </row>
    <row r="9" spans="1:26" ht="37.950000000000003" customHeight="1" x14ac:dyDescent="0.4">
      <c r="A9" s="12"/>
      <c r="B9" s="83" t="s">
        <v>79</v>
      </c>
      <c r="C9" s="83" t="s">
        <v>80</v>
      </c>
      <c r="D9" s="84" t="s">
        <v>81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3"/>
    </row>
    <row r="10" spans="1:26" ht="37.950000000000003" customHeight="1" x14ac:dyDescent="0.4">
      <c r="A10" s="12"/>
      <c r="B10" s="83" t="s">
        <v>82</v>
      </c>
      <c r="C10" s="83" t="s">
        <v>83</v>
      </c>
      <c r="D10" s="84" t="s">
        <v>84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3"/>
    </row>
    <row r="11" spans="1:26" ht="37.950000000000003" customHeight="1" x14ac:dyDescent="0.4">
      <c r="A11" s="12"/>
      <c r="B11" s="83" t="s">
        <v>85</v>
      </c>
      <c r="C11" s="83" t="s">
        <v>86</v>
      </c>
      <c r="D11" s="84" t="s">
        <v>87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3"/>
    </row>
    <row r="12" spans="1:26" ht="37.950000000000003" customHeight="1" x14ac:dyDescent="0.4">
      <c r="A12" s="12"/>
      <c r="B12" s="83" t="s">
        <v>88</v>
      </c>
      <c r="C12" s="83" t="s">
        <v>89</v>
      </c>
      <c r="D12" s="84" t="s">
        <v>90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3"/>
    </row>
    <row r="13" spans="1:26" ht="37.950000000000003" customHeight="1" x14ac:dyDescent="0.4">
      <c r="A13" s="12"/>
      <c r="B13" s="42"/>
      <c r="C13" s="42"/>
      <c r="D13" s="4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3"/>
    </row>
    <row r="14" spans="1:26" ht="37.950000000000003" customHeight="1" x14ac:dyDescent="0.4">
      <c r="A14" s="80" t="s">
        <v>91</v>
      </c>
      <c r="B14" s="44"/>
      <c r="C14" s="44"/>
      <c r="D14" s="4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3"/>
    </row>
    <row r="15" spans="1:26" ht="37.950000000000003" customHeight="1" x14ac:dyDescent="0.4">
      <c r="A15" s="6"/>
      <c r="B15" s="81" t="s">
        <v>92</v>
      </c>
      <c r="C15" s="81" t="s">
        <v>93</v>
      </c>
      <c r="D15" s="82" t="s">
        <v>94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3"/>
    </row>
    <row r="16" spans="1:26" ht="37.950000000000003" customHeight="1" x14ac:dyDescent="0.4">
      <c r="A16" s="85"/>
      <c r="B16" s="86" t="s">
        <v>95</v>
      </c>
      <c r="C16" s="86" t="s">
        <v>96</v>
      </c>
      <c r="D16" s="86" t="s">
        <v>97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3"/>
    </row>
    <row r="17" spans="1:26" ht="37.950000000000003" customHeight="1" x14ac:dyDescent="0.4">
      <c r="A17" s="85"/>
      <c r="B17" s="86" t="s">
        <v>98</v>
      </c>
      <c r="C17" s="86" t="s">
        <v>99</v>
      </c>
      <c r="D17" s="86" t="s">
        <v>100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3"/>
    </row>
    <row r="18" spans="1:26" ht="37.950000000000003" customHeight="1" x14ac:dyDescent="0.4">
      <c r="A18" s="85"/>
      <c r="B18" s="86" t="s">
        <v>101</v>
      </c>
      <c r="C18" s="86" t="s">
        <v>99</v>
      </c>
      <c r="D18" s="86" t="s">
        <v>102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3"/>
    </row>
    <row r="19" spans="1:26" ht="37.950000000000003" customHeight="1" x14ac:dyDescent="0.4">
      <c r="A19" s="85"/>
      <c r="B19" s="86" t="s">
        <v>103</v>
      </c>
      <c r="C19" s="86" t="s">
        <v>104</v>
      </c>
      <c r="D19" s="86" t="s">
        <v>105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3"/>
    </row>
    <row r="20" spans="1:26" ht="37.950000000000003" customHeight="1" x14ac:dyDescent="0.4">
      <c r="A20" s="85"/>
      <c r="B20" s="86" t="s">
        <v>106</v>
      </c>
      <c r="C20" s="86" t="s">
        <v>107</v>
      </c>
      <c r="D20" s="86" t="s">
        <v>108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3"/>
    </row>
    <row r="21" spans="1:26" ht="37.950000000000003" customHeight="1" x14ac:dyDescent="0.4">
      <c r="A21" s="85"/>
      <c r="B21" s="86" t="s">
        <v>109</v>
      </c>
      <c r="C21" s="86" t="s">
        <v>110</v>
      </c>
      <c r="D21" s="86" t="s">
        <v>111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3"/>
    </row>
    <row r="22" spans="1:26" ht="37.950000000000003" customHeight="1" x14ac:dyDescent="0.4">
      <c r="A22" s="85"/>
      <c r="B22" s="86" t="s">
        <v>112</v>
      </c>
      <c r="C22" s="86" t="s">
        <v>113</v>
      </c>
      <c r="D22" s="86" t="s">
        <v>114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3"/>
    </row>
    <row r="23" spans="1:26" ht="37.950000000000003" customHeight="1" x14ac:dyDescent="0.4">
      <c r="A23" s="85"/>
      <c r="B23" s="86" t="s">
        <v>115</v>
      </c>
      <c r="C23" s="86" t="s">
        <v>116</v>
      </c>
      <c r="D23" s="86" t="s">
        <v>117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3"/>
    </row>
    <row r="24" spans="1:26" ht="37.950000000000003" customHeight="1" x14ac:dyDescent="0.4">
      <c r="A24" s="85"/>
      <c r="B24" s="86" t="s">
        <v>118</v>
      </c>
      <c r="C24" s="86" t="s">
        <v>119</v>
      </c>
      <c r="D24" s="86" t="s">
        <v>120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3"/>
    </row>
    <row r="25" spans="1:26" ht="37.950000000000003" customHeight="1" x14ac:dyDescent="0.4">
      <c r="A25" s="85"/>
      <c r="B25" s="86" t="s">
        <v>121</v>
      </c>
      <c r="C25" s="86" t="s">
        <v>122</v>
      </c>
      <c r="D25" s="86" t="s">
        <v>123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3"/>
    </row>
    <row r="26" spans="1:26" ht="37.950000000000003" customHeight="1" x14ac:dyDescent="0.4">
      <c r="A26" s="85"/>
      <c r="B26" s="86" t="s">
        <v>124</v>
      </c>
      <c r="C26" s="86" t="s">
        <v>125</v>
      </c>
      <c r="D26" s="86" t="s">
        <v>126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3"/>
    </row>
    <row r="27" spans="1:26" ht="37.950000000000003" customHeight="1" x14ac:dyDescent="0.4">
      <c r="A27" s="85"/>
      <c r="B27" s="86" t="s">
        <v>127</v>
      </c>
      <c r="C27" s="86" t="s">
        <v>128</v>
      </c>
      <c r="D27" s="86" t="s">
        <v>129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3"/>
    </row>
    <row r="28" spans="1:26" ht="37.950000000000003" customHeight="1" x14ac:dyDescent="0.4">
      <c r="A28" s="85"/>
      <c r="B28" s="86" t="s">
        <v>130</v>
      </c>
      <c r="C28" s="86" t="s">
        <v>131</v>
      </c>
      <c r="D28" s="86" t="s">
        <v>132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3"/>
    </row>
    <row r="29" spans="1:26" ht="37.950000000000003" customHeight="1" x14ac:dyDescent="0.4">
      <c r="A29" s="85"/>
      <c r="B29" s="86" t="s">
        <v>133</v>
      </c>
      <c r="C29" s="86" t="s">
        <v>134</v>
      </c>
      <c r="D29" s="86" t="s">
        <v>135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3"/>
    </row>
    <row r="30" spans="1:26" ht="37.950000000000003" customHeight="1" x14ac:dyDescent="0.4">
      <c r="A30" s="85"/>
      <c r="B30" s="86" t="s">
        <v>136</v>
      </c>
      <c r="C30" s="86" t="s">
        <v>137</v>
      </c>
      <c r="D30" s="86" t="s">
        <v>138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3"/>
    </row>
    <row r="31" spans="1:26" ht="37.950000000000003" customHeight="1" x14ac:dyDescent="0.4">
      <c r="A31" s="85"/>
      <c r="B31" s="86" t="s">
        <v>139</v>
      </c>
      <c r="C31" s="86" t="s">
        <v>140</v>
      </c>
      <c r="D31" s="86" t="s">
        <v>141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3"/>
    </row>
    <row r="32" spans="1:26" ht="37.950000000000003" customHeight="1" x14ac:dyDescent="0.4">
      <c r="A32" s="85"/>
      <c r="B32" s="86" t="s">
        <v>142</v>
      </c>
      <c r="C32" s="86" t="s">
        <v>140</v>
      </c>
      <c r="D32" s="86" t="s">
        <v>143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3"/>
    </row>
    <row r="33" spans="1:26" ht="37.950000000000003" customHeight="1" x14ac:dyDescent="0.4">
      <c r="A33" s="85"/>
      <c r="B33" s="86" t="s">
        <v>144</v>
      </c>
      <c r="C33" s="86" t="s">
        <v>140</v>
      </c>
      <c r="D33" s="86" t="s">
        <v>145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3"/>
    </row>
    <row r="34" spans="1:26" ht="37.950000000000003" customHeight="1" x14ac:dyDescent="0.4">
      <c r="A34" s="85"/>
      <c r="B34" s="86" t="s">
        <v>146</v>
      </c>
      <c r="C34" s="86" t="s">
        <v>140</v>
      </c>
      <c r="D34" s="86" t="s">
        <v>147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3"/>
    </row>
    <row r="35" spans="1:26" ht="37.950000000000003" customHeight="1" x14ac:dyDescent="0.4">
      <c r="A35" s="85"/>
      <c r="B35" s="86" t="s">
        <v>148</v>
      </c>
      <c r="C35" s="86" t="s">
        <v>149</v>
      </c>
      <c r="D35" s="86" t="s">
        <v>150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3"/>
    </row>
    <row r="36" spans="1:26" ht="37.950000000000003" customHeight="1" x14ac:dyDescent="0.4">
      <c r="A36" s="85"/>
      <c r="B36" s="86" t="s">
        <v>151</v>
      </c>
      <c r="C36" s="86" t="s">
        <v>149</v>
      </c>
      <c r="D36" s="86" t="s">
        <v>152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3"/>
    </row>
    <row r="37" spans="1:26" ht="37.950000000000003" customHeight="1" x14ac:dyDescent="0.4">
      <c r="A37" s="85"/>
      <c r="B37" s="86" t="s">
        <v>153</v>
      </c>
      <c r="C37" s="86" t="s">
        <v>154</v>
      </c>
      <c r="D37" s="86" t="s">
        <v>155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3"/>
    </row>
    <row r="38" spans="1:26" ht="37.950000000000003" customHeight="1" x14ac:dyDescent="0.4">
      <c r="A38" s="85"/>
      <c r="B38" s="86" t="s">
        <v>156</v>
      </c>
      <c r="C38" s="86" t="s">
        <v>157</v>
      </c>
      <c r="D38" s="86" t="s">
        <v>158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3"/>
    </row>
    <row r="39" spans="1:26" ht="37.950000000000003" customHeight="1" x14ac:dyDescent="0.4">
      <c r="A39" s="85"/>
      <c r="B39" s="85"/>
      <c r="C39" s="85"/>
      <c r="D39" s="8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3"/>
    </row>
    <row r="40" spans="1:26" ht="37.950000000000003" customHeight="1" x14ac:dyDescent="0.4">
      <c r="A40" s="149" t="s">
        <v>159</v>
      </c>
      <c r="B40" s="148"/>
      <c r="C40" s="148"/>
      <c r="D40" s="148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3"/>
    </row>
    <row r="41" spans="1:26" ht="37.950000000000003" customHeight="1" x14ac:dyDescent="0.4">
      <c r="A41" s="85"/>
      <c r="B41" s="85" t="s">
        <v>160</v>
      </c>
      <c r="C41" s="87" t="s">
        <v>161</v>
      </c>
      <c r="D41" s="8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3"/>
    </row>
    <row r="42" spans="1:26" ht="37.950000000000003" customHeight="1" x14ac:dyDescent="0.4">
      <c r="A42" s="85"/>
      <c r="B42" s="85" t="s">
        <v>160</v>
      </c>
      <c r="C42" s="87" t="s">
        <v>162</v>
      </c>
      <c r="D42" s="8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3"/>
    </row>
    <row r="43" spans="1:26" ht="37.950000000000003" customHeight="1" x14ac:dyDescent="0.4">
      <c r="A43" s="85"/>
      <c r="B43" s="85" t="s">
        <v>160</v>
      </c>
      <c r="C43" s="87" t="s">
        <v>163</v>
      </c>
      <c r="D43" s="8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3"/>
    </row>
    <row r="44" spans="1:26" ht="37.950000000000003" customHeight="1" x14ac:dyDescent="0.4">
      <c r="A44" s="85"/>
      <c r="B44" s="85" t="s">
        <v>160</v>
      </c>
      <c r="C44" s="87" t="s">
        <v>164</v>
      </c>
      <c r="D44" s="8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3"/>
    </row>
    <row r="45" spans="1:26" ht="37.950000000000003" customHeight="1" x14ac:dyDescent="0.4">
      <c r="A45" s="85"/>
      <c r="B45" s="85" t="s">
        <v>160</v>
      </c>
      <c r="C45" s="87" t="s">
        <v>165</v>
      </c>
      <c r="D45" s="8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3"/>
    </row>
    <row r="46" spans="1:26" ht="37.950000000000003" customHeight="1" x14ac:dyDescent="0.4">
      <c r="A46" s="85"/>
      <c r="B46" s="85" t="s">
        <v>160</v>
      </c>
      <c r="C46" s="87" t="s">
        <v>166</v>
      </c>
      <c r="D46" s="8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3"/>
    </row>
    <row r="47" spans="1:26" ht="37.950000000000003" customHeight="1" x14ac:dyDescent="0.4">
      <c r="A47" s="85"/>
      <c r="B47" s="85"/>
      <c r="C47" s="85"/>
      <c r="D47" s="8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3"/>
    </row>
    <row r="48" spans="1:26" ht="37.950000000000003" customHeight="1" x14ac:dyDescent="0.4">
      <c r="A48" s="85"/>
      <c r="B48" s="85"/>
      <c r="C48" s="85"/>
      <c r="D48" s="8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3"/>
    </row>
    <row r="49" spans="1:26" ht="37.950000000000003" customHeight="1" x14ac:dyDescent="0.4">
      <c r="A49" s="85"/>
      <c r="B49" s="85"/>
      <c r="C49" s="85"/>
      <c r="D49" s="8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3"/>
    </row>
    <row r="50" spans="1:26" ht="37.950000000000003" customHeight="1" x14ac:dyDescent="0.4">
      <c r="A50" s="85"/>
      <c r="B50" s="85"/>
      <c r="C50" s="85"/>
      <c r="D50" s="8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3"/>
    </row>
    <row r="51" spans="1:26" ht="37.950000000000003" customHeight="1" x14ac:dyDescent="0.4">
      <c r="A51" s="85"/>
      <c r="B51" s="85"/>
      <c r="C51" s="85"/>
      <c r="D51" s="8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3"/>
    </row>
    <row r="52" spans="1:26" ht="37.950000000000003" customHeight="1" x14ac:dyDescent="0.4">
      <c r="A52" s="85"/>
      <c r="B52" s="85"/>
      <c r="C52" s="85"/>
      <c r="D52" s="8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3"/>
    </row>
    <row r="53" spans="1:26" ht="37.950000000000003" customHeight="1" x14ac:dyDescent="0.4">
      <c r="A53" s="85"/>
      <c r="B53" s="85"/>
      <c r="C53" s="85"/>
      <c r="D53" s="8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3"/>
    </row>
    <row r="54" spans="1:26" ht="37.950000000000003" customHeight="1" x14ac:dyDescent="0.4">
      <c r="A54" s="85"/>
      <c r="B54" s="85"/>
      <c r="C54" s="85"/>
      <c r="D54" s="8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3"/>
    </row>
    <row r="55" spans="1:26" ht="18" customHeight="1" x14ac:dyDescent="0.4">
      <c r="A55" s="85"/>
      <c r="B55" s="85"/>
      <c r="C55" s="85"/>
      <c r="D55" s="8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3"/>
    </row>
    <row r="56" spans="1:26" ht="18" customHeight="1" x14ac:dyDescent="0.4">
      <c r="A56" s="85"/>
      <c r="B56" s="85"/>
      <c r="C56" s="85"/>
      <c r="D56" s="8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3"/>
    </row>
    <row r="57" spans="1:26" ht="18" customHeight="1" x14ac:dyDescent="0.4">
      <c r="A57" s="85"/>
      <c r="B57" s="85"/>
      <c r="C57" s="85"/>
      <c r="D57" s="8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3"/>
    </row>
    <row r="58" spans="1:26" ht="18" customHeight="1" x14ac:dyDescent="0.4">
      <c r="A58" s="85"/>
      <c r="B58" s="85"/>
      <c r="C58" s="85"/>
      <c r="D58" s="8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3"/>
    </row>
    <row r="59" spans="1:26" ht="18" customHeight="1" x14ac:dyDescent="0.4">
      <c r="A59" s="85"/>
      <c r="B59" s="85"/>
      <c r="C59" s="85"/>
      <c r="D59" s="8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3"/>
    </row>
    <row r="60" spans="1:26" ht="18" customHeight="1" x14ac:dyDescent="0.4">
      <c r="A60" s="85"/>
      <c r="B60" s="85"/>
      <c r="C60" s="85"/>
      <c r="D60" s="85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spans="1:26" ht="18" customHeight="1" x14ac:dyDescent="0.4">
      <c r="A61" s="85"/>
      <c r="B61" s="85"/>
      <c r="C61" s="85"/>
      <c r="D61" s="8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">
      <c r="A62" s="85"/>
      <c r="B62" s="85"/>
      <c r="C62" s="85"/>
      <c r="D62" s="8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">
      <c r="A63" s="85"/>
      <c r="B63" s="85"/>
      <c r="C63" s="85"/>
      <c r="D63" s="8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">
      <c r="A64" s="85"/>
      <c r="B64" s="85"/>
      <c r="C64" s="85"/>
      <c r="D64" s="8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</sheetData>
  <mergeCells count="1">
    <mergeCell ref="A40:D40"/>
  </mergeCells>
  <phoneticPr fontId="2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outlinePr summaryBelow="0"/>
  </sheetPr>
  <dimension ref="A1:Z90"/>
  <sheetViews>
    <sheetView showGridLines="0" workbookViewId="0">
      <selection activeCell="F13" sqref="F13"/>
    </sheetView>
  </sheetViews>
  <sheetFormatPr defaultColWidth="8.69921875" defaultRowHeight="17.399999999999999" outlineLevelRow="1" x14ac:dyDescent="0.4"/>
  <cols>
    <col min="1" max="1" width="30" customWidth="1"/>
    <col min="2" max="12" width="10.296875" customWidth="1"/>
    <col min="13" max="13" width="5" customWidth="1"/>
    <col min="14" max="26" width="10" customWidth="1"/>
  </cols>
  <sheetData>
    <row r="1" spans="1:26" ht="22.05" customHeight="1" x14ac:dyDescent="0.4">
      <c r="A1" s="49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4">
      <c r="A2" s="50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 x14ac:dyDescent="0.4">
      <c r="A3" s="51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95" customHeight="1" x14ac:dyDescent="0.4">
      <c r="A5" s="52" t="s">
        <v>3</v>
      </c>
      <c r="B5" s="5"/>
      <c r="C5" s="5"/>
      <c r="D5" s="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95" customHeight="1" x14ac:dyDescent="0.4">
      <c r="A6" s="53" t="s">
        <v>4</v>
      </c>
      <c r="B6" s="53" t="s">
        <v>5</v>
      </c>
      <c r="C6" s="53" t="s">
        <v>6</v>
      </c>
      <c r="D6" s="53" t="s">
        <v>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 x14ac:dyDescent="0.4">
      <c r="A7" s="54" t="s">
        <v>8</v>
      </c>
      <c r="B7" s="55">
        <v>49416.9</v>
      </c>
      <c r="C7" s="54" t="s">
        <v>9</v>
      </c>
      <c r="D7" s="54" t="s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95" customHeight="1" x14ac:dyDescent="0.4">
      <c r="A9" s="52" t="s">
        <v>11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 x14ac:dyDescent="0.4">
      <c r="A10" s="53" t="s">
        <v>4</v>
      </c>
      <c r="B10" s="53" t="s">
        <v>12</v>
      </c>
      <c r="C10" s="53" t="s">
        <v>13</v>
      </c>
      <c r="D10" s="53" t="s">
        <v>14</v>
      </c>
      <c r="E10" s="53" t="s">
        <v>15</v>
      </c>
      <c r="F10" s="53" t="s">
        <v>16</v>
      </c>
      <c r="G10" s="53" t="s">
        <v>17</v>
      </c>
      <c r="H10" s="53" t="s">
        <v>18</v>
      </c>
      <c r="I10" s="53" t="s">
        <v>19</v>
      </c>
      <c r="J10" s="53" t="s">
        <v>20</v>
      </c>
      <c r="K10" s="53" t="s">
        <v>21</v>
      </c>
      <c r="L10" s="53" t="s">
        <v>22</v>
      </c>
      <c r="M10" s="5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 x14ac:dyDescent="0.4">
      <c r="A11" s="144" t="s">
        <v>23</v>
      </c>
      <c r="B11" s="145">
        <f t="shared" ref="B11:L11" si="0">B12+B13</f>
        <v>176.6</v>
      </c>
      <c r="C11" s="145">
        <f t="shared" si="0"/>
        <v>207.8</v>
      </c>
      <c r="D11" s="145">
        <f t="shared" si="0"/>
        <v>243.8</v>
      </c>
      <c r="E11" s="145">
        <f t="shared" si="0"/>
        <v>273.7</v>
      </c>
      <c r="F11" s="145">
        <f t="shared" si="0"/>
        <v>283.89999999999998</v>
      </c>
      <c r="G11" s="145">
        <f t="shared" si="0"/>
        <v>296.89999999999998</v>
      </c>
      <c r="H11" s="145">
        <f t="shared" si="0"/>
        <v>311.60000000000002</v>
      </c>
      <c r="I11" s="145">
        <f t="shared" si="0"/>
        <v>308.79999999999995</v>
      </c>
      <c r="J11" s="145">
        <f t="shared" si="0"/>
        <v>901.9</v>
      </c>
      <c r="K11" s="145">
        <f t="shared" si="0"/>
        <v>1201.2</v>
      </c>
      <c r="L11" s="145">
        <f t="shared" si="0"/>
        <v>1343.3000000000002</v>
      </c>
      <c r="M11" s="14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 outlineLevel="1" x14ac:dyDescent="0.4">
      <c r="A12" s="57" t="s">
        <v>24</v>
      </c>
      <c r="B12" s="58">
        <v>101.3</v>
      </c>
      <c r="C12" s="58">
        <v>127.1</v>
      </c>
      <c r="D12" s="58">
        <v>158</v>
      </c>
      <c r="E12" s="58">
        <v>160.5</v>
      </c>
      <c r="F12" s="59">
        <v>162.1</v>
      </c>
      <c r="G12" s="59">
        <v>168.3</v>
      </c>
      <c r="H12" s="59">
        <v>174.6</v>
      </c>
      <c r="I12" s="59">
        <v>168.7</v>
      </c>
      <c r="J12" s="60">
        <f>SUM(B12:E12)</f>
        <v>546.9</v>
      </c>
      <c r="K12" s="60">
        <f>SUM(F12:I12)</f>
        <v>673.7</v>
      </c>
      <c r="L12" s="59">
        <v>773.6</v>
      </c>
      <c r="M12" s="5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outlineLevel="1" x14ac:dyDescent="0.4">
      <c r="A13" s="57" t="s">
        <v>25</v>
      </c>
      <c r="B13" s="58">
        <v>75.3</v>
      </c>
      <c r="C13" s="58">
        <v>80.7</v>
      </c>
      <c r="D13" s="58">
        <v>85.8</v>
      </c>
      <c r="E13" s="58">
        <v>113.2</v>
      </c>
      <c r="F13" s="59">
        <v>121.8</v>
      </c>
      <c r="G13" s="59">
        <v>128.6</v>
      </c>
      <c r="H13" s="59">
        <v>137</v>
      </c>
      <c r="I13" s="59">
        <v>140.1</v>
      </c>
      <c r="J13" s="60">
        <f>SUM(B13:E13)</f>
        <v>355</v>
      </c>
      <c r="K13" s="60">
        <f>SUM(F13:I13)</f>
        <v>527.5</v>
      </c>
      <c r="L13" s="59">
        <v>569.70000000000005</v>
      </c>
      <c r="M13" s="5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 x14ac:dyDescent="0.4">
      <c r="A14" s="144" t="s">
        <v>26</v>
      </c>
      <c r="B14" s="169">
        <v>38.799999999999997</v>
      </c>
      <c r="C14" s="169">
        <v>37.700000000000003</v>
      </c>
      <c r="D14" s="169">
        <v>42.4</v>
      </c>
      <c r="E14" s="169">
        <v>44.2</v>
      </c>
      <c r="F14" s="59">
        <v>46.1</v>
      </c>
      <c r="G14" s="59">
        <v>57.1</v>
      </c>
      <c r="H14" s="59">
        <v>86</v>
      </c>
      <c r="I14" s="59">
        <v>95.1</v>
      </c>
      <c r="J14" s="145">
        <f>SUM(B14:E14)</f>
        <v>163.10000000000002</v>
      </c>
      <c r="K14" s="145">
        <f>SUM(F14:I14)</f>
        <v>284.29999999999995</v>
      </c>
      <c r="L14" s="59">
        <v>290</v>
      </c>
      <c r="M14" s="5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4">
      <c r="A15" s="144" t="s">
        <v>27</v>
      </c>
      <c r="B15" s="169">
        <v>0</v>
      </c>
      <c r="C15" s="169">
        <v>0.3</v>
      </c>
      <c r="D15" s="169">
        <v>0</v>
      </c>
      <c r="E15" s="169">
        <v>0</v>
      </c>
      <c r="F15" s="59">
        <v>0</v>
      </c>
      <c r="G15" s="59">
        <v>0</v>
      </c>
      <c r="H15" s="59">
        <v>0</v>
      </c>
      <c r="I15" s="59">
        <v>0</v>
      </c>
      <c r="J15" s="145">
        <f>SUM(B15:E15)</f>
        <v>0.3</v>
      </c>
      <c r="K15" s="145">
        <f>SUM(F15:I15)</f>
        <v>0</v>
      </c>
      <c r="L15" s="59">
        <v>0</v>
      </c>
      <c r="M15" s="5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x14ac:dyDescent="0.4">
      <c r="A16" s="144" t="s">
        <v>28</v>
      </c>
      <c r="B16" s="145">
        <f t="shared" ref="B16:L16" si="1">B11+B14+B15</f>
        <v>215.39999999999998</v>
      </c>
      <c r="C16" s="145">
        <f t="shared" si="1"/>
        <v>245.8</v>
      </c>
      <c r="D16" s="145">
        <f t="shared" si="1"/>
        <v>286.2</v>
      </c>
      <c r="E16" s="145">
        <f t="shared" si="1"/>
        <v>317.89999999999998</v>
      </c>
      <c r="F16" s="145">
        <f t="shared" si="1"/>
        <v>330</v>
      </c>
      <c r="G16" s="145">
        <f t="shared" si="1"/>
        <v>354</v>
      </c>
      <c r="H16" s="145">
        <f t="shared" si="1"/>
        <v>397.6</v>
      </c>
      <c r="I16" s="145">
        <f t="shared" si="1"/>
        <v>403.9</v>
      </c>
      <c r="J16" s="145">
        <f t="shared" si="1"/>
        <v>1065.3</v>
      </c>
      <c r="K16" s="145">
        <f t="shared" si="1"/>
        <v>1485.5</v>
      </c>
      <c r="L16" s="145">
        <f t="shared" si="1"/>
        <v>1633.3000000000002</v>
      </c>
      <c r="M16" s="14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x14ac:dyDescent="0.4">
      <c r="A17" s="57" t="s">
        <v>29</v>
      </c>
      <c r="B17" s="61">
        <f>B16/B44-1</f>
        <v>2.7932960893852776E-3</v>
      </c>
      <c r="C17" s="61">
        <f>C16/C44-1</f>
        <v>3.1472933277381543E-2</v>
      </c>
      <c r="D17" s="61">
        <f>D16/D44-1</f>
        <v>0.2299097550494198</v>
      </c>
      <c r="E17" s="61">
        <f>E16/E44-1</f>
        <v>0.54021317829457338</v>
      </c>
      <c r="F17" s="61">
        <f>F16/B16-1</f>
        <v>0.53203342618384419</v>
      </c>
      <c r="G17" s="61">
        <f>G16/C16-1</f>
        <v>0.4401952807160292</v>
      </c>
      <c r="H17" s="61">
        <f>H16/D16-1</f>
        <v>0.38923829489867234</v>
      </c>
      <c r="I17" s="61">
        <f>I16/E16-1</f>
        <v>0.27052532242843674</v>
      </c>
      <c r="J17" s="61">
        <f>J16/$C$32-1</f>
        <v>0.19414863804506211</v>
      </c>
      <c r="K17" s="61">
        <f>K16/J16-1</f>
        <v>0.39444287993992311</v>
      </c>
      <c r="L17" s="61">
        <f>L16/K16-1</f>
        <v>9.9495119488387962E-2</v>
      </c>
      <c r="M17" s="54" t="s">
        <v>30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 x14ac:dyDescent="0.4">
      <c r="A18" s="57" t="s">
        <v>31</v>
      </c>
      <c r="B18" s="61">
        <f>B16/E44-1</f>
        <v>4.3604651162790553E-2</v>
      </c>
      <c r="C18" s="61">
        <f t="shared" ref="C18:I18" si="2">C16/B16-1</f>
        <v>0.14113277623026943</v>
      </c>
      <c r="D18" s="61">
        <f t="shared" si="2"/>
        <v>0.16436126932465411</v>
      </c>
      <c r="E18" s="61">
        <f t="shared" si="2"/>
        <v>0.11076170510132766</v>
      </c>
      <c r="F18" s="61">
        <f t="shared" si="2"/>
        <v>3.8062283737024361E-2</v>
      </c>
      <c r="G18" s="61">
        <f t="shared" si="2"/>
        <v>7.2727272727272751E-2</v>
      </c>
      <c r="H18" s="61">
        <f t="shared" si="2"/>
        <v>0.12316384180790974</v>
      </c>
      <c r="I18" s="61">
        <f t="shared" si="2"/>
        <v>1.5845070422535024E-2</v>
      </c>
      <c r="J18" s="62"/>
      <c r="K18" s="62"/>
      <c r="L18" s="62"/>
      <c r="M18" s="54" t="s">
        <v>30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95" customHeight="1" x14ac:dyDescent="0.4">
      <c r="A20" s="63" t="s">
        <v>32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5"/>
      <c r="M20" s="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 x14ac:dyDescent="0.4">
      <c r="A21" s="54" t="s">
        <v>33</v>
      </c>
      <c r="B21" s="64">
        <v>-6.2</v>
      </c>
      <c r="C21" s="64">
        <v>1.9</v>
      </c>
      <c r="D21" s="64">
        <v>24.4</v>
      </c>
      <c r="E21" s="64">
        <v>29</v>
      </c>
      <c r="F21" s="65">
        <v>40.200000000000003</v>
      </c>
      <c r="G21" s="65">
        <v>43</v>
      </c>
      <c r="H21" s="65">
        <v>48.4</v>
      </c>
      <c r="I21" s="65">
        <v>48.4</v>
      </c>
      <c r="J21" s="66">
        <f>SUM(B21:E21)</f>
        <v>49.099999999999994</v>
      </c>
      <c r="K21" s="66">
        <f>SUM(F21:I21)</f>
        <v>180</v>
      </c>
      <c r="L21" s="65">
        <v>218.3</v>
      </c>
      <c r="M21" s="5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 x14ac:dyDescent="0.4">
      <c r="A22" s="54" t="s">
        <v>34</v>
      </c>
      <c r="B22" s="67">
        <f t="shared" ref="B22:L22" si="3">B21/B16</f>
        <v>-2.8783658310120711E-2</v>
      </c>
      <c r="C22" s="67">
        <f t="shared" si="3"/>
        <v>7.7298616761594784E-3</v>
      </c>
      <c r="D22" s="67">
        <f t="shared" si="3"/>
        <v>8.5255066387141851E-2</v>
      </c>
      <c r="E22" s="67">
        <f t="shared" si="3"/>
        <v>9.1223655237496079E-2</v>
      </c>
      <c r="F22" s="67">
        <f t="shared" si="3"/>
        <v>0.12181818181818183</v>
      </c>
      <c r="G22" s="67">
        <f t="shared" si="3"/>
        <v>0.12146892655367232</v>
      </c>
      <c r="H22" s="67">
        <f t="shared" si="3"/>
        <v>0.12173038229376257</v>
      </c>
      <c r="I22" s="67">
        <f t="shared" si="3"/>
        <v>0.11983164149541967</v>
      </c>
      <c r="J22" s="67">
        <f t="shared" si="3"/>
        <v>4.6090303200976249E-2</v>
      </c>
      <c r="K22" s="67">
        <f t="shared" si="3"/>
        <v>0.12117132278694043</v>
      </c>
      <c r="L22" s="67">
        <f t="shared" si="3"/>
        <v>0.13365578889365087</v>
      </c>
      <c r="M22" s="5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95" customHeight="1" x14ac:dyDescent="0.4">
      <c r="A24" s="52" t="s">
        <v>35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 x14ac:dyDescent="0.4">
      <c r="A25" s="54" t="s">
        <v>36</v>
      </c>
      <c r="B25" s="66">
        <f>ROUND(B21/$J$21*$J$25,1)</f>
        <v>-6.8</v>
      </c>
      <c r="C25" s="66">
        <f>ROUND(C21/$J$21*$J$25,1)</f>
        <v>2.1</v>
      </c>
      <c r="D25" s="66">
        <f>ROUND(D21/$J$21*$J$25,1)</f>
        <v>26.6</v>
      </c>
      <c r="E25" s="66">
        <f>$J$25-SUM(B25:D25)</f>
        <v>31.599999999999998</v>
      </c>
      <c r="F25" s="66">
        <f>ROUND(F21/$K$21*$K$25,1)</f>
        <v>41.8</v>
      </c>
      <c r="G25" s="66">
        <f>ROUND(G21/$K$21*$K$25,1)</f>
        <v>44.7</v>
      </c>
      <c r="H25" s="66">
        <f>ROUND(H21/$K$21*$K$25,1)</f>
        <v>50.4</v>
      </c>
      <c r="I25" s="66">
        <f>$K$25-SUM(F25:H25)</f>
        <v>50.400000000000006</v>
      </c>
      <c r="J25" s="65">
        <v>53.5</v>
      </c>
      <c r="K25" s="65">
        <v>187.3</v>
      </c>
      <c r="L25" s="65">
        <v>228.5</v>
      </c>
      <c r="M25" s="56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 x14ac:dyDescent="0.4">
      <c r="A26" s="54" t="s">
        <v>37</v>
      </c>
      <c r="B26" s="66">
        <f>ROUND(B21/$J$21*$J$26,1)</f>
        <v>-6.2</v>
      </c>
      <c r="C26" s="66">
        <f>ROUND(C21/$J$21*$J$26,1)</f>
        <v>1.9</v>
      </c>
      <c r="D26" s="66">
        <f>ROUND(D21/$J$21*$J$26,1)</f>
        <v>24.3</v>
      </c>
      <c r="E26" s="66">
        <f>$J$26-SUM(B26:D26)</f>
        <v>28.799999999999997</v>
      </c>
      <c r="F26" s="66">
        <f>ROUND(F21/$K$21*$K$26,1)</f>
        <v>33.5</v>
      </c>
      <c r="G26" s="66">
        <f>ROUND(G21/$K$21*$K$26,1)</f>
        <v>35.799999999999997</v>
      </c>
      <c r="H26" s="66">
        <f>ROUND(H21/$K$21*$K$26,1)</f>
        <v>40.299999999999997</v>
      </c>
      <c r="I26" s="66">
        <f>$K$26-SUM(F26:H26)</f>
        <v>40.300000000000011</v>
      </c>
      <c r="J26" s="65">
        <v>48.8</v>
      </c>
      <c r="K26" s="65">
        <v>149.9</v>
      </c>
      <c r="L26" s="65">
        <v>182.8</v>
      </c>
      <c r="M26" s="56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 x14ac:dyDescent="0.4">
      <c r="A28" s="68" t="s">
        <v>38</v>
      </c>
      <c r="B28" s="1"/>
      <c r="C28" s="1"/>
      <c r="D28" s="1"/>
      <c r="E28" s="1"/>
      <c r="F28" s="1"/>
      <c r="G28" s="1"/>
      <c r="H28" s="1"/>
      <c r="I28" s="1"/>
      <c r="J28" s="1"/>
      <c r="K28" s="69">
        <f>'05_도표1_Valuation'!$C$6</f>
        <v>3033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95" customHeight="1" x14ac:dyDescent="0.4">
      <c r="A30" s="52" t="s">
        <v>39</v>
      </c>
      <c r="B30" s="5"/>
      <c r="C30" s="5"/>
      <c r="D30" s="5"/>
      <c r="E30" s="5"/>
      <c r="F30" s="5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95" customHeight="1" x14ac:dyDescent="0.4">
      <c r="A31" s="53" t="s">
        <v>4</v>
      </c>
      <c r="B31" s="53" t="s">
        <v>40</v>
      </c>
      <c r="C31" s="53" t="s">
        <v>41</v>
      </c>
      <c r="D31" s="53" t="s">
        <v>42</v>
      </c>
      <c r="E31" s="53" t="s">
        <v>21</v>
      </c>
      <c r="F31" s="53" t="s">
        <v>22</v>
      </c>
      <c r="G31" s="54" t="s">
        <v>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 x14ac:dyDescent="0.4">
      <c r="A32" s="54" t="s">
        <v>43</v>
      </c>
      <c r="B32" s="66">
        <v>909.7</v>
      </c>
      <c r="C32" s="66">
        <v>892.1</v>
      </c>
      <c r="D32" s="66">
        <f>J16</f>
        <v>1065.3</v>
      </c>
      <c r="E32" s="66">
        <f>K16</f>
        <v>1485.5</v>
      </c>
      <c r="F32" s="66">
        <f>L16</f>
        <v>1633.3000000000002</v>
      </c>
      <c r="G32" s="54" t="s">
        <v>44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 x14ac:dyDescent="0.4">
      <c r="A33" s="54" t="s">
        <v>33</v>
      </c>
      <c r="B33" s="66">
        <v>23.7</v>
      </c>
      <c r="C33" s="66">
        <v>11.3</v>
      </c>
      <c r="D33" s="66">
        <f>J21</f>
        <v>49.099999999999994</v>
      </c>
      <c r="E33" s="66">
        <f>K21</f>
        <v>180</v>
      </c>
      <c r="F33" s="66">
        <f>L21</f>
        <v>218.3</v>
      </c>
      <c r="G33" s="54" t="s">
        <v>44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 x14ac:dyDescent="0.4">
      <c r="A34" s="54" t="s">
        <v>45</v>
      </c>
      <c r="B34" s="66">
        <v>28.4</v>
      </c>
      <c r="C34" s="66">
        <v>30.2</v>
      </c>
      <c r="D34" s="66">
        <f t="shared" ref="D34:F35" si="4">J25</f>
        <v>53.5</v>
      </c>
      <c r="E34" s="66">
        <f t="shared" si="4"/>
        <v>187.3</v>
      </c>
      <c r="F34" s="66">
        <f t="shared" si="4"/>
        <v>228.5</v>
      </c>
      <c r="G34" s="54" t="s">
        <v>44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 x14ac:dyDescent="0.4">
      <c r="A35" s="54" t="s">
        <v>46</v>
      </c>
      <c r="B35" s="66">
        <v>25.4</v>
      </c>
      <c r="C35" s="66">
        <v>23.8</v>
      </c>
      <c r="D35" s="66">
        <f t="shared" si="4"/>
        <v>48.8</v>
      </c>
      <c r="E35" s="66">
        <f t="shared" si="4"/>
        <v>149.9</v>
      </c>
      <c r="F35" s="66">
        <f t="shared" si="4"/>
        <v>182.8</v>
      </c>
      <c r="G35" s="54" t="s">
        <v>44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 x14ac:dyDescent="0.4">
      <c r="A36" s="54" t="s">
        <v>47</v>
      </c>
      <c r="B36" s="70">
        <f>B35*1000000/$B$7</f>
        <v>513.99420036465256</v>
      </c>
      <c r="C36" s="70">
        <f>C35*1000000/$B$7</f>
        <v>481.61661294010753</v>
      </c>
      <c r="D36" s="70">
        <f>D35*1000000/$B$7</f>
        <v>987.51641644862377</v>
      </c>
      <c r="E36" s="70">
        <f>E35*1000000/$B$7</f>
        <v>3033.3752218370637</v>
      </c>
      <c r="F36" s="70">
        <f>F35*1000000/$B$7</f>
        <v>3699.1393632542713</v>
      </c>
      <c r="G36" s="54" t="s">
        <v>48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95" customHeight="1" x14ac:dyDescent="0.4">
      <c r="A38" s="52" t="s">
        <v>49</v>
      </c>
      <c r="B38" s="5"/>
      <c r="C38" s="5"/>
      <c r="D38" s="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95" customHeight="1" x14ac:dyDescent="0.4">
      <c r="A39" s="53" t="s">
        <v>50</v>
      </c>
      <c r="B39" s="53" t="s">
        <v>42</v>
      </c>
      <c r="C39" s="53" t="s">
        <v>21</v>
      </c>
      <c r="D39" s="53" t="s">
        <v>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 x14ac:dyDescent="0.4">
      <c r="A40" s="54" t="s">
        <v>51</v>
      </c>
      <c r="B40" s="71">
        <f>J16-'10_도표6_분기실적전망_수정후'!K5</f>
        <v>0</v>
      </c>
      <c r="C40" s="71">
        <f>K16-'10_도표6_분기실적전망_수정후'!L5</f>
        <v>-9.9999999999909051E-2</v>
      </c>
      <c r="D40" s="54" t="s">
        <v>52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4">
      <c r="A41" s="54" t="s">
        <v>53</v>
      </c>
      <c r="B41" s="72"/>
      <c r="C41" s="71">
        <f>E36-'05_도표1_Valuation'!$C$6</f>
        <v>0.37522183706369105</v>
      </c>
      <c r="D41" s="54" t="s">
        <v>54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95" customHeight="1" x14ac:dyDescent="0.4">
      <c r="A43" s="73" t="s">
        <v>55</v>
      </c>
      <c r="B43" s="74"/>
      <c r="C43" s="74"/>
      <c r="D43" s="74"/>
      <c r="E43" s="74"/>
      <c r="F43" s="74"/>
      <c r="G43" s="74"/>
      <c r="H43" s="74"/>
      <c r="I43" s="74"/>
      <c r="J43" s="74"/>
      <c r="K43" s="5"/>
      <c r="L43" s="5"/>
      <c r="M43" s="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95" customHeight="1" x14ac:dyDescent="0.4">
      <c r="A44" s="53" t="s">
        <v>56</v>
      </c>
      <c r="B44" s="75">
        <v>214.8</v>
      </c>
      <c r="C44" s="75">
        <v>238.3</v>
      </c>
      <c r="D44" s="75">
        <v>232.7</v>
      </c>
      <c r="E44" s="75">
        <v>206.4</v>
      </c>
      <c r="F44" s="76"/>
      <c r="G44" s="76"/>
      <c r="H44" s="76"/>
      <c r="I44" s="76"/>
      <c r="J44" s="77">
        <f>SUM(B44:E44)</f>
        <v>892.19999999999993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4">
      <c r="A45" s="54" t="s">
        <v>57</v>
      </c>
      <c r="B45" s="78">
        <v>-2.9</v>
      </c>
      <c r="C45" s="78">
        <v>10.7</v>
      </c>
      <c r="D45" s="78">
        <v>9.1999999999999993</v>
      </c>
      <c r="E45" s="78">
        <v>-6</v>
      </c>
      <c r="F45" s="72"/>
      <c r="G45" s="72"/>
      <c r="H45" s="72"/>
      <c r="I45" s="72"/>
      <c r="J45" s="78">
        <f>SUM(B45:E45)</f>
        <v>11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8.05" customHeight="1" x14ac:dyDescent="0.4">
      <c r="A47" s="147" t="s">
        <v>58</v>
      </c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9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8.05" customHeight="1" x14ac:dyDescent="0.4">
      <c r="A48" s="147" t="s">
        <v>59</v>
      </c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9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8.05" customHeight="1" x14ac:dyDescent="0.4">
      <c r="A49" s="147" t="s">
        <v>60</v>
      </c>
      <c r="B49" s="148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9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8.05" customHeight="1" x14ac:dyDescent="0.4">
      <c r="A50" s="147" t="s">
        <v>61</v>
      </c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9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05" customHeight="1" x14ac:dyDescent="0.4">
      <c r="A51" s="147" t="s">
        <v>62</v>
      </c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9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95" customHeight="1" x14ac:dyDescent="0.4">
      <c r="A52" s="147" t="s">
        <v>63</v>
      </c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9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</sheetData>
  <mergeCells count="6">
    <mergeCell ref="A52:L52"/>
    <mergeCell ref="A49:L49"/>
    <mergeCell ref="A51:L51"/>
    <mergeCell ref="A47:L47"/>
    <mergeCell ref="A50:L50"/>
    <mergeCell ref="A48:L48"/>
  </mergeCells>
  <phoneticPr fontId="2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Z90"/>
  <sheetViews>
    <sheetView showGridLines="0" tabSelected="1" workbookViewId="0"/>
  </sheetViews>
  <sheetFormatPr defaultColWidth="8.69921875" defaultRowHeight="17.399999999999999" x14ac:dyDescent="0.4"/>
  <cols>
    <col min="1" max="1" width="11" customWidth="1"/>
    <col min="2" max="2" width="24" customWidth="1"/>
    <col min="3" max="3" width="14" customWidth="1"/>
    <col min="4" max="4" width="8" customWidth="1"/>
    <col min="5" max="5" width="44" customWidth="1"/>
    <col min="6" max="26" width="10" customWidth="1"/>
  </cols>
  <sheetData>
    <row r="1" spans="1:26" ht="19.05" customHeight="1" x14ac:dyDescent="0.4">
      <c r="A1" s="49" t="s">
        <v>167</v>
      </c>
      <c r="B1" s="2"/>
      <c r="C1" s="2"/>
      <c r="D1" s="2"/>
      <c r="E1" s="2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4">
      <c r="A2" s="50" t="s">
        <v>168</v>
      </c>
      <c r="B2" s="3"/>
      <c r="C2" s="3"/>
      <c r="D2" s="3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05" customHeight="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05" customHeight="1" x14ac:dyDescent="0.4">
      <c r="A4" s="52" t="s">
        <v>169</v>
      </c>
      <c r="B4" s="5"/>
      <c r="C4" s="5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05" customHeight="1" x14ac:dyDescent="0.4">
      <c r="A5" s="53" t="s">
        <v>67</v>
      </c>
      <c r="B5" s="53" t="s">
        <v>4</v>
      </c>
      <c r="C5" s="53" t="s">
        <v>5</v>
      </c>
      <c r="D5" s="53" t="s">
        <v>6</v>
      </c>
      <c r="E5" s="53" t="s">
        <v>170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05" customHeight="1" x14ac:dyDescent="0.4">
      <c r="A6" s="54" t="s">
        <v>171</v>
      </c>
      <c r="B6" s="54" t="s">
        <v>172</v>
      </c>
      <c r="C6" s="88" t="s">
        <v>173</v>
      </c>
      <c r="D6" s="54" t="s">
        <v>171</v>
      </c>
      <c r="E6" s="54" t="s">
        <v>174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05" customHeight="1" x14ac:dyDescent="0.4">
      <c r="A7" s="54" t="s">
        <v>175</v>
      </c>
      <c r="B7" s="54" t="s">
        <v>176</v>
      </c>
      <c r="C7" s="89">
        <f>IF($C$30="Peer 평균 P/E",$C$41,IF($C$30="보고서 원문 P/E",$C$32,$C$31))</f>
        <v>26.580000000000002</v>
      </c>
      <c r="D7" s="54" t="s">
        <v>177</v>
      </c>
      <c r="E7" s="54" t="s">
        <v>178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05" customHeight="1" x14ac:dyDescent="0.4">
      <c r="A8" s="54" t="s">
        <v>179</v>
      </c>
      <c r="B8" s="54" t="s">
        <v>180</v>
      </c>
      <c r="C8" s="90">
        <v>52500</v>
      </c>
      <c r="D8" s="54" t="s">
        <v>48</v>
      </c>
      <c r="E8" s="54" t="s">
        <v>181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05" customHeight="1" x14ac:dyDescent="0.4">
      <c r="A9" s="54" t="s">
        <v>182</v>
      </c>
      <c r="B9" s="54" t="s">
        <v>183</v>
      </c>
      <c r="C9" s="88">
        <v>1000</v>
      </c>
      <c r="D9" s="54" t="s">
        <v>48</v>
      </c>
      <c r="E9" s="54" t="s">
        <v>184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05" customHeight="1" x14ac:dyDescent="0.4">
      <c r="A10" s="54" t="s">
        <v>175</v>
      </c>
      <c r="B10" s="54" t="s">
        <v>185</v>
      </c>
      <c r="C10" s="91">
        <f>IF($C$6="M1 모델 EPS",M1_실적추정_모델!E36,'05_도표1_Valuation'!$C$6)</f>
        <v>3033</v>
      </c>
      <c r="D10" s="54" t="s">
        <v>48</v>
      </c>
      <c r="E10" s="54" t="s">
        <v>186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05" customHeight="1" x14ac:dyDescent="0.4">
      <c r="A11" s="12"/>
      <c r="B11" s="1"/>
      <c r="C11" s="22"/>
      <c r="D11" s="1"/>
      <c r="E11" s="1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05" customHeight="1" x14ac:dyDescent="0.4">
      <c r="A12" s="80" t="s">
        <v>187</v>
      </c>
      <c r="B12" s="5"/>
      <c r="C12" s="22"/>
      <c r="D12" s="5"/>
      <c r="E12" s="2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05" customHeight="1" x14ac:dyDescent="0.4">
      <c r="A13" s="53" t="s">
        <v>67</v>
      </c>
      <c r="B13" s="53" t="s">
        <v>4</v>
      </c>
      <c r="C13" s="92" t="s">
        <v>188</v>
      </c>
      <c r="D13" s="53" t="s">
        <v>6</v>
      </c>
      <c r="E13" s="53" t="s">
        <v>189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05" customHeight="1" x14ac:dyDescent="0.4">
      <c r="A14" s="54" t="s">
        <v>175</v>
      </c>
      <c r="B14" s="54" t="s">
        <v>190</v>
      </c>
      <c r="C14" s="93">
        <f>$C$10*$C$7</f>
        <v>80617.14</v>
      </c>
      <c r="D14" s="54" t="s">
        <v>48</v>
      </c>
      <c r="E14" s="54" t="s">
        <v>191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05" customHeight="1" x14ac:dyDescent="0.4">
      <c r="A15" s="54" t="s">
        <v>175</v>
      </c>
      <c r="B15" s="54" t="s">
        <v>192</v>
      </c>
      <c r="C15" s="93">
        <f>ROUND($C$14/$C$9,0)*$C$9</f>
        <v>81000</v>
      </c>
      <c r="D15" s="54" t="s">
        <v>48</v>
      </c>
      <c r="E15" s="54" t="s">
        <v>193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05" customHeight="1" x14ac:dyDescent="0.4">
      <c r="A16" s="54" t="s">
        <v>175</v>
      </c>
      <c r="B16" s="54" t="s">
        <v>194</v>
      </c>
      <c r="C16" s="94">
        <f>$C$15/$C$8-1</f>
        <v>0.54285714285714293</v>
      </c>
      <c r="D16" s="54" t="s">
        <v>30</v>
      </c>
      <c r="E16" s="54" t="s">
        <v>195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05" customHeight="1" x14ac:dyDescent="0.4">
      <c r="A17" s="54" t="s">
        <v>175</v>
      </c>
      <c r="B17" s="54" t="s">
        <v>196</v>
      </c>
      <c r="C17" s="89">
        <f>$C$8/$C$10</f>
        <v>17.309594460929773</v>
      </c>
      <c r="D17" s="54" t="s">
        <v>177</v>
      </c>
      <c r="E17" s="54" t="s">
        <v>197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05" customHeight="1" x14ac:dyDescent="0.4">
      <c r="A18" s="12"/>
      <c r="B18" s="1"/>
      <c r="C18" s="1"/>
      <c r="D18" s="1"/>
      <c r="E18" s="1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05" customHeight="1" x14ac:dyDescent="0.4">
      <c r="A19" s="80" t="s">
        <v>198</v>
      </c>
      <c r="B19" s="5"/>
      <c r="C19" s="5"/>
      <c r="D19" s="5"/>
      <c r="E19" s="2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05" customHeight="1" x14ac:dyDescent="0.4">
      <c r="A20" s="53" t="s">
        <v>67</v>
      </c>
      <c r="B20" s="53" t="s">
        <v>4</v>
      </c>
      <c r="C20" s="53" t="s">
        <v>199</v>
      </c>
      <c r="D20" s="53" t="s">
        <v>200</v>
      </c>
      <c r="E20" s="53" t="s">
        <v>7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05" customHeight="1" x14ac:dyDescent="0.4">
      <c r="A21" s="54" t="s">
        <v>201</v>
      </c>
      <c r="B21" s="54" t="s">
        <v>202</v>
      </c>
      <c r="C21" s="54">
        <f>$C$15</f>
        <v>81000</v>
      </c>
      <c r="D21" s="54">
        <v>81000</v>
      </c>
      <c r="E21" s="54" t="s">
        <v>203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05" customHeight="1" x14ac:dyDescent="0.4">
      <c r="A22" s="54" t="s">
        <v>201</v>
      </c>
      <c r="B22" s="54" t="s">
        <v>204</v>
      </c>
      <c r="C22" s="54">
        <f>$C$16</f>
        <v>0.54285714285714293</v>
      </c>
      <c r="D22" s="54">
        <v>0.54300000000000004</v>
      </c>
      <c r="E22" s="54" t="s">
        <v>205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05" customHeight="1" x14ac:dyDescent="0.4">
      <c r="A23" s="54" t="s">
        <v>206</v>
      </c>
      <c r="B23" s="54" t="s">
        <v>207</v>
      </c>
      <c r="C23" s="91">
        <f>'02_p1_Consensus'!$C$8</f>
        <v>2579</v>
      </c>
      <c r="D23" s="56"/>
      <c r="E23" s="54" t="s">
        <v>208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05" customHeight="1" x14ac:dyDescent="0.4">
      <c r="A24" s="54" t="s">
        <v>206</v>
      </c>
      <c r="B24" s="54" t="s">
        <v>209</v>
      </c>
      <c r="C24" s="54">
        <f>$C$10/C23-1</f>
        <v>0.17603722373012798</v>
      </c>
      <c r="D24" s="56"/>
      <c r="E24" s="54" t="s">
        <v>210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05" customHeight="1" x14ac:dyDescent="0.4">
      <c r="A25" s="12"/>
      <c r="B25" s="1"/>
      <c r="C25" s="1"/>
      <c r="D25" s="1"/>
      <c r="E25" s="1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05" customHeight="1" x14ac:dyDescent="0.4">
      <c r="A26" s="153" t="s">
        <v>211</v>
      </c>
      <c r="B26" s="148"/>
      <c r="C26" s="148"/>
      <c r="D26" s="148"/>
      <c r="E26" s="154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05" customHeight="1" x14ac:dyDescent="0.4">
      <c r="A27" s="150" t="s">
        <v>212</v>
      </c>
      <c r="B27" s="151"/>
      <c r="C27" s="151"/>
      <c r="D27" s="151"/>
      <c r="E27" s="15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05" customHeight="1" x14ac:dyDescent="0.4">
      <c r="A28" s="52" t="s">
        <v>213</v>
      </c>
      <c r="B28" s="5"/>
      <c r="C28" s="5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05" customHeight="1" x14ac:dyDescent="0.4">
      <c r="A29" s="53" t="s">
        <v>67</v>
      </c>
      <c r="B29" s="53" t="s">
        <v>4</v>
      </c>
      <c r="C29" s="53" t="s">
        <v>199</v>
      </c>
      <c r="D29" s="53" t="s">
        <v>6</v>
      </c>
      <c r="E29" s="53" t="s">
        <v>7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05" customHeight="1" x14ac:dyDescent="0.4">
      <c r="A30" s="54" t="s">
        <v>171</v>
      </c>
      <c r="B30" s="54" t="s">
        <v>214</v>
      </c>
      <c r="C30" s="88" t="s">
        <v>215</v>
      </c>
      <c r="D30" s="54" t="s">
        <v>171</v>
      </c>
      <c r="E30" s="54" t="s">
        <v>216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05" customHeight="1" x14ac:dyDescent="0.4">
      <c r="A31" s="54" t="s">
        <v>182</v>
      </c>
      <c r="B31" s="54" t="s">
        <v>217</v>
      </c>
      <c r="C31" s="95">
        <v>26.58</v>
      </c>
      <c r="D31" s="54" t="s">
        <v>177</v>
      </c>
      <c r="E31" s="54" t="s">
        <v>218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05" customHeight="1" x14ac:dyDescent="0.4">
      <c r="A32" s="54" t="s">
        <v>219</v>
      </c>
      <c r="B32" s="54" t="s">
        <v>220</v>
      </c>
      <c r="C32" s="89">
        <v>26.58</v>
      </c>
      <c r="D32" s="54" t="s">
        <v>177</v>
      </c>
      <c r="E32" s="54" t="s">
        <v>221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05" customHeight="1" x14ac:dyDescent="0.4">
      <c r="A33" s="56"/>
      <c r="B33" s="56"/>
      <c r="C33" s="96"/>
      <c r="D33" s="56"/>
      <c r="E33" s="5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05" customHeight="1" x14ac:dyDescent="0.4">
      <c r="A34" s="53" t="s">
        <v>67</v>
      </c>
      <c r="B34" s="53" t="s">
        <v>222</v>
      </c>
      <c r="C34" s="97" t="s">
        <v>223</v>
      </c>
      <c r="D34" s="53" t="s">
        <v>6</v>
      </c>
      <c r="E34" s="53" t="s">
        <v>224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05" customHeight="1" x14ac:dyDescent="0.4">
      <c r="A35" s="54" t="s">
        <v>225</v>
      </c>
      <c r="B35" s="54" t="s">
        <v>226</v>
      </c>
      <c r="C35" s="98">
        <v>36</v>
      </c>
      <c r="D35" s="54" t="s">
        <v>177</v>
      </c>
      <c r="E35" s="54" t="s">
        <v>227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05" customHeight="1" x14ac:dyDescent="0.4">
      <c r="A36" s="54" t="s">
        <v>225</v>
      </c>
      <c r="B36" s="54" t="s">
        <v>228</v>
      </c>
      <c r="C36" s="98">
        <v>32</v>
      </c>
      <c r="D36" s="54" t="s">
        <v>177</v>
      </c>
      <c r="E36" s="54" t="s">
        <v>227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05" customHeight="1" x14ac:dyDescent="0.4">
      <c r="A37" s="54" t="s">
        <v>225</v>
      </c>
      <c r="B37" s="54" t="s">
        <v>229</v>
      </c>
      <c r="C37" s="98">
        <v>22.8</v>
      </c>
      <c r="D37" s="54" t="s">
        <v>177</v>
      </c>
      <c r="E37" s="54" t="s">
        <v>227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05" customHeight="1" x14ac:dyDescent="0.4">
      <c r="A38" s="54" t="s">
        <v>225</v>
      </c>
      <c r="B38" s="54" t="s">
        <v>230</v>
      </c>
      <c r="C38" s="98">
        <v>27.1</v>
      </c>
      <c r="D38" s="54" t="s">
        <v>177</v>
      </c>
      <c r="E38" s="54" t="s">
        <v>227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05" customHeight="1" x14ac:dyDescent="0.4">
      <c r="A39" s="54" t="s">
        <v>225</v>
      </c>
      <c r="B39" s="54" t="s">
        <v>231</v>
      </c>
      <c r="C39" s="98">
        <v>15</v>
      </c>
      <c r="D39" s="54" t="s">
        <v>177</v>
      </c>
      <c r="E39" s="54" t="s">
        <v>227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05" customHeight="1" x14ac:dyDescent="0.4">
      <c r="A40" s="54" t="s">
        <v>232</v>
      </c>
      <c r="B40" s="54" t="s">
        <v>233</v>
      </c>
      <c r="C40" s="95"/>
      <c r="D40" s="54" t="s">
        <v>177</v>
      </c>
      <c r="E40" s="54" t="s">
        <v>234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05" customHeight="1" x14ac:dyDescent="0.4">
      <c r="A41" s="54" t="s">
        <v>175</v>
      </c>
      <c r="B41" s="54" t="s">
        <v>215</v>
      </c>
      <c r="C41" s="89">
        <f>SUM($C$35:$C$40)/COUNT($C$35:$C$40)</f>
        <v>26.580000000000002</v>
      </c>
      <c r="D41" s="54" t="s">
        <v>177</v>
      </c>
      <c r="E41" s="54" t="s">
        <v>235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05" customHeight="1" x14ac:dyDescent="0.4">
      <c r="A42" s="54" t="s">
        <v>201</v>
      </c>
      <c r="B42" s="54" t="s">
        <v>236</v>
      </c>
      <c r="C42" s="89">
        <f>$C$41-$C$32</f>
        <v>0</v>
      </c>
      <c r="D42" s="54" t="s">
        <v>177</v>
      </c>
      <c r="E42" s="54" t="s">
        <v>237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</sheetData>
  <mergeCells count="2">
    <mergeCell ref="A27:E27"/>
    <mergeCell ref="A26:E26"/>
  </mergeCells>
  <phoneticPr fontId="26" type="noConversion"/>
  <dataValidations count="2">
    <dataValidation type="list" sqref="C6" xr:uid="{00000000-0002-0000-0200-000000000000}">
      <formula1>"M1 모델 EPS,보고서 원문 EPS"</formula1>
    </dataValidation>
    <dataValidation type="list" sqref="C30" xr:uid="{00000000-0002-0000-0200-000001000000}">
      <formula1>"Peer 평균 P/E,보고서 원문 P/E,직접 입력 P/E"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Z90"/>
  <sheetViews>
    <sheetView showGridLines="0" workbookViewId="0">
      <selection activeCell="D9" sqref="D9"/>
    </sheetView>
  </sheetViews>
  <sheetFormatPr defaultColWidth="8.69921875" defaultRowHeight="17.399999999999999" x14ac:dyDescent="0.4"/>
  <cols>
    <col min="1" max="1" width="16" customWidth="1"/>
    <col min="2" max="6" width="13" customWidth="1"/>
    <col min="7" max="26" width="10" customWidth="1"/>
  </cols>
  <sheetData>
    <row r="1" spans="1:26" ht="22.05" customHeight="1" x14ac:dyDescent="0.4">
      <c r="A1" s="49" t="s">
        <v>238</v>
      </c>
      <c r="B1" s="2"/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 x14ac:dyDescent="0.4">
      <c r="A2" s="50" t="s">
        <v>239</v>
      </c>
      <c r="B2" s="3"/>
      <c r="C2" s="3"/>
      <c r="D2" s="3"/>
      <c r="E2" s="3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95" customHeight="1" x14ac:dyDescent="0.4">
      <c r="A4" s="52" t="s">
        <v>240</v>
      </c>
      <c r="B4" s="5"/>
      <c r="C4" s="5"/>
      <c r="D4" s="5"/>
      <c r="E4" s="5"/>
      <c r="F4" s="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95" customHeight="1" x14ac:dyDescent="0.4">
      <c r="A6" s="53" t="s">
        <v>241</v>
      </c>
      <c r="B6" s="99">
        <f>M2_목표주가_타겟멀티플!$C$7+-2</f>
        <v>24.580000000000002</v>
      </c>
      <c r="C6" s="99">
        <f>M2_목표주가_타겟멀티플!$C$7+-1</f>
        <v>25.580000000000002</v>
      </c>
      <c r="D6" s="99">
        <f>M2_목표주가_타겟멀티플!$C$7+0</f>
        <v>26.580000000000002</v>
      </c>
      <c r="E6" s="99">
        <f>M2_목표주가_타겟멀티플!$C$7+1</f>
        <v>27.580000000000002</v>
      </c>
      <c r="F6" s="99">
        <f>M2_목표주가_타겟멀티플!$C$7+2</f>
        <v>28.580000000000002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 x14ac:dyDescent="0.4">
      <c r="A7" s="100">
        <f>M2_목표주가_타겟멀티플!$C$10*(1+-0.1)</f>
        <v>2729.7000000000003</v>
      </c>
      <c r="B7" s="93">
        <f t="shared" ref="B7:F8" si="0">$A7*B$6</f>
        <v>67096.026000000013</v>
      </c>
      <c r="C7" s="93">
        <f t="shared" si="0"/>
        <v>69825.72600000001</v>
      </c>
      <c r="D7" s="93">
        <f t="shared" si="0"/>
        <v>72555.426000000007</v>
      </c>
      <c r="E7" s="93">
        <f t="shared" si="0"/>
        <v>75285.126000000018</v>
      </c>
      <c r="F7" s="93">
        <f t="shared" si="0"/>
        <v>78014.826000000015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 x14ac:dyDescent="0.4">
      <c r="A8" s="100">
        <f>M2_목표주가_타겟멀티플!$C$10*(1+-0.05)</f>
        <v>2881.35</v>
      </c>
      <c r="B8" s="93">
        <f t="shared" si="0"/>
        <v>70823.582999999999</v>
      </c>
      <c r="C8" s="93">
        <f t="shared" si="0"/>
        <v>73704.933000000005</v>
      </c>
      <c r="D8" s="93">
        <f t="shared" si="0"/>
        <v>76586.282999999996</v>
      </c>
      <c r="E8" s="93">
        <f t="shared" si="0"/>
        <v>79467.633000000002</v>
      </c>
      <c r="F8" s="93">
        <f t="shared" si="0"/>
        <v>82348.983000000007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 x14ac:dyDescent="0.4">
      <c r="A9" s="100">
        <f>M2_목표주가_타겟멀티플!$C$10*(1+0)</f>
        <v>3033</v>
      </c>
      <c r="B9" s="93">
        <f t="shared" ref="B9:C11" si="1">$A9*B$6</f>
        <v>74551.14</v>
      </c>
      <c r="C9" s="93">
        <f t="shared" si="1"/>
        <v>77584.14</v>
      </c>
      <c r="D9" s="101">
        <f>M2_목표주가_타겟멀티플!$C$10*M2_목표주가_타겟멀티플!$C$7</f>
        <v>80617.14</v>
      </c>
      <c r="E9" s="93">
        <f t="shared" ref="E9:F11" si="2">$A9*E$6</f>
        <v>83650.14</v>
      </c>
      <c r="F9" s="93">
        <f t="shared" si="2"/>
        <v>86683.14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 x14ac:dyDescent="0.4">
      <c r="A10" s="100">
        <f>M2_목표주가_타겟멀티플!$C$10*(1+0.05)</f>
        <v>3184.65</v>
      </c>
      <c r="B10" s="93">
        <f t="shared" si="1"/>
        <v>78278.697000000015</v>
      </c>
      <c r="C10" s="93">
        <f t="shared" si="1"/>
        <v>81463.347000000009</v>
      </c>
      <c r="D10" s="93">
        <f>$A10*D$6</f>
        <v>84647.997000000003</v>
      </c>
      <c r="E10" s="93">
        <f t="shared" si="2"/>
        <v>87832.647000000012</v>
      </c>
      <c r="F10" s="93">
        <f t="shared" si="2"/>
        <v>91017.297000000006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 x14ac:dyDescent="0.4">
      <c r="A11" s="100">
        <f>M2_목표주가_타겟멀티플!$C$10*(1+0.1)</f>
        <v>3336.3</v>
      </c>
      <c r="B11" s="93">
        <f t="shared" si="1"/>
        <v>82006.254000000015</v>
      </c>
      <c r="C11" s="93">
        <f t="shared" si="1"/>
        <v>85342.554000000004</v>
      </c>
      <c r="D11" s="93">
        <f>$A11*D$6</f>
        <v>88678.854000000007</v>
      </c>
      <c r="E11" s="93">
        <f t="shared" si="2"/>
        <v>92015.15400000001</v>
      </c>
      <c r="F11" s="93">
        <f t="shared" si="2"/>
        <v>95351.454000000012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8.05" customHeight="1" x14ac:dyDescent="0.4">
      <c r="A13" s="155" t="s">
        <v>242</v>
      </c>
      <c r="B13" s="148"/>
      <c r="C13" s="148"/>
      <c r="D13" s="148"/>
      <c r="E13" s="148"/>
      <c r="F13" s="148"/>
      <c r="G13" s="148"/>
      <c r="H13" s="14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</sheetData>
  <mergeCells count="1">
    <mergeCell ref="A13:H13"/>
  </mergeCells>
  <phoneticPr fontId="2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6E6A"/>
  </sheetPr>
  <dimension ref="A1:Z90"/>
  <sheetViews>
    <sheetView showGridLines="0" workbookViewId="0">
      <pane ySplit="2" topLeftCell="A3" activePane="bottomLeft" state="frozen"/>
      <selection pane="bottomLeft"/>
    </sheetView>
  </sheetViews>
  <sheetFormatPr defaultColWidth="8.69921875" defaultRowHeight="17.399999999999999" x14ac:dyDescent="0.4"/>
  <cols>
    <col min="1" max="1" width="28" customWidth="1"/>
    <col min="2" max="2" width="16" customWidth="1"/>
    <col min="3" max="3" width="32" customWidth="1"/>
    <col min="4" max="4" width="12" customWidth="1"/>
    <col min="5" max="5" width="35" customWidth="1"/>
    <col min="6" max="6" width="12" customWidth="1"/>
    <col min="7" max="26" width="10" customWidth="1"/>
  </cols>
  <sheetData>
    <row r="1" spans="1:26" ht="24" customHeight="1" x14ac:dyDescent="0.4">
      <c r="A1" s="157" t="s">
        <v>243</v>
      </c>
      <c r="B1" s="148"/>
      <c r="C1" s="148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6"/>
    </row>
    <row r="2" spans="1:26" ht="18" customHeight="1" x14ac:dyDescent="0.4">
      <c r="A2" s="161" t="s">
        <v>244</v>
      </c>
      <c r="B2" s="148"/>
      <c r="C2" s="148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28"/>
    </row>
    <row r="3" spans="1:26" ht="18" customHeight="1" x14ac:dyDescent="0.4">
      <c r="A3" s="85"/>
      <c r="B3" s="85"/>
      <c r="C3" s="8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3"/>
    </row>
    <row r="4" spans="1:26" ht="19.95" customHeight="1" x14ac:dyDescent="0.4">
      <c r="A4" s="158" t="s">
        <v>245</v>
      </c>
      <c r="B4" s="159"/>
      <c r="C4" s="160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3"/>
    </row>
    <row r="5" spans="1:26" ht="19.95" customHeight="1" x14ac:dyDescent="0.4">
      <c r="A5" s="102" t="s">
        <v>4</v>
      </c>
      <c r="B5" s="102" t="s">
        <v>199</v>
      </c>
      <c r="C5" s="102" t="s">
        <v>7</v>
      </c>
      <c r="D5" s="7"/>
      <c r="E5" s="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3"/>
    </row>
    <row r="6" spans="1:26" ht="18" customHeight="1" x14ac:dyDescent="0.4">
      <c r="A6" s="103" t="s">
        <v>246</v>
      </c>
      <c r="B6" s="104" t="s">
        <v>247</v>
      </c>
      <c r="C6" s="103" t="s">
        <v>248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3"/>
    </row>
    <row r="7" spans="1:26" ht="18" customHeight="1" x14ac:dyDescent="0.4">
      <c r="A7" s="103" t="s">
        <v>249</v>
      </c>
      <c r="B7" s="105">
        <v>81000</v>
      </c>
      <c r="C7" s="103" t="s">
        <v>250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</row>
    <row r="8" spans="1:26" ht="18" customHeight="1" x14ac:dyDescent="0.4">
      <c r="A8" s="103" t="s">
        <v>251</v>
      </c>
      <c r="B8" s="105">
        <v>52500</v>
      </c>
      <c r="C8" s="10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3"/>
    </row>
    <row r="9" spans="1:26" ht="18" customHeight="1" x14ac:dyDescent="0.4">
      <c r="A9" s="85"/>
      <c r="B9" s="85"/>
      <c r="C9" s="8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3"/>
    </row>
    <row r="10" spans="1:26" ht="19.95" customHeight="1" x14ac:dyDescent="0.4">
      <c r="A10" s="156" t="s">
        <v>252</v>
      </c>
      <c r="B10" s="148"/>
      <c r="C10" s="148"/>
      <c r="D10" s="5"/>
      <c r="E10" s="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3"/>
    </row>
    <row r="11" spans="1:26" ht="19.95" customHeight="1" x14ac:dyDescent="0.4">
      <c r="A11" s="156" t="s">
        <v>253</v>
      </c>
      <c r="B11" s="148"/>
      <c r="C11" s="148"/>
      <c r="D11" s="7"/>
      <c r="E11" s="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3"/>
    </row>
    <row r="12" spans="1:26" ht="18" customHeight="1" x14ac:dyDescent="0.4">
      <c r="A12" s="85"/>
      <c r="B12" s="85"/>
      <c r="C12" s="8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3"/>
    </row>
    <row r="13" spans="1:26" ht="18" customHeight="1" x14ac:dyDescent="0.4">
      <c r="A13" s="85"/>
      <c r="B13" s="85"/>
      <c r="C13" s="8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3"/>
    </row>
    <row r="14" spans="1:26" ht="18" customHeight="1" x14ac:dyDescent="0.4">
      <c r="A14" s="85"/>
      <c r="B14" s="85"/>
      <c r="C14" s="8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3"/>
    </row>
    <row r="15" spans="1:26" ht="18" customHeight="1" x14ac:dyDescent="0.4">
      <c r="A15" s="85"/>
      <c r="B15" s="85"/>
      <c r="C15" s="85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3"/>
    </row>
    <row r="16" spans="1:26" ht="19.95" customHeight="1" x14ac:dyDescent="0.4">
      <c r="A16" s="85"/>
      <c r="B16" s="85"/>
      <c r="C16" s="85"/>
      <c r="D16" s="5"/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3"/>
    </row>
    <row r="17" spans="1:26" ht="19.95" customHeight="1" x14ac:dyDescent="0.4">
      <c r="A17" s="85"/>
      <c r="B17" s="85"/>
      <c r="C17" s="85"/>
      <c r="D17" s="7"/>
      <c r="E17" s="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3"/>
    </row>
    <row r="18" spans="1:26" ht="18" customHeight="1" x14ac:dyDescent="0.4">
      <c r="A18" s="85"/>
      <c r="B18" s="85"/>
      <c r="C18" s="85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3"/>
    </row>
    <row r="19" spans="1:26" ht="18" customHeight="1" x14ac:dyDescent="0.4">
      <c r="A19" s="85"/>
      <c r="B19" s="85"/>
      <c r="C19" s="85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3"/>
    </row>
    <row r="20" spans="1:26" ht="18" customHeight="1" x14ac:dyDescent="0.4">
      <c r="A20" s="85"/>
      <c r="B20" s="85"/>
      <c r="C20" s="85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3"/>
    </row>
    <row r="21" spans="1:26" ht="18" customHeight="1" x14ac:dyDescent="0.4">
      <c r="A21" s="85"/>
      <c r="B21" s="85"/>
      <c r="C21" s="8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3"/>
    </row>
    <row r="22" spans="1:26" ht="18" customHeight="1" x14ac:dyDescent="0.4">
      <c r="A22" s="85"/>
      <c r="B22" s="85"/>
      <c r="C22" s="8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3"/>
    </row>
    <row r="23" spans="1:26" ht="18" customHeight="1" x14ac:dyDescent="0.4">
      <c r="A23" s="85"/>
      <c r="B23" s="85"/>
      <c r="C23" s="8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3"/>
    </row>
    <row r="24" spans="1:26" ht="18" customHeight="1" x14ac:dyDescent="0.4">
      <c r="A24" s="85"/>
      <c r="B24" s="85"/>
      <c r="C24" s="8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3"/>
    </row>
    <row r="25" spans="1:26" ht="18" customHeight="1" x14ac:dyDescent="0.4">
      <c r="A25" s="85"/>
      <c r="B25" s="85"/>
      <c r="C25" s="8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3"/>
    </row>
    <row r="26" spans="1:26" ht="18" customHeight="1" x14ac:dyDescent="0.4">
      <c r="A26" s="85"/>
      <c r="B26" s="85"/>
      <c r="C26" s="8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3"/>
    </row>
    <row r="27" spans="1:26" ht="18" customHeight="1" x14ac:dyDescent="0.4">
      <c r="A27" s="85"/>
      <c r="B27" s="85"/>
      <c r="C27" s="8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3"/>
    </row>
    <row r="28" spans="1:26" ht="18" customHeight="1" x14ac:dyDescent="0.4">
      <c r="A28" s="85"/>
      <c r="B28" s="85"/>
      <c r="C28" s="8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3"/>
    </row>
    <row r="29" spans="1:26" ht="18" customHeight="1" x14ac:dyDescent="0.4">
      <c r="A29" s="85"/>
      <c r="B29" s="85"/>
      <c r="C29" s="8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3"/>
    </row>
    <row r="30" spans="1:26" ht="18" customHeight="1" x14ac:dyDescent="0.4">
      <c r="A30" s="85"/>
      <c r="B30" s="85"/>
      <c r="C30" s="8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3"/>
    </row>
    <row r="31" spans="1:26" ht="18" customHeight="1" x14ac:dyDescent="0.4">
      <c r="A31" s="1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3"/>
    </row>
    <row r="32" spans="1:26" ht="18" customHeight="1" x14ac:dyDescent="0.4">
      <c r="A32" s="1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3"/>
    </row>
    <row r="33" spans="1:26" ht="18" customHeight="1" x14ac:dyDescent="0.4">
      <c r="A33" s="1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3"/>
    </row>
    <row r="34" spans="1:26" ht="18" customHeight="1" x14ac:dyDescent="0.4">
      <c r="A34" s="1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3"/>
    </row>
    <row r="35" spans="1:26" ht="18" customHeight="1" x14ac:dyDescent="0.4">
      <c r="A35" s="1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3"/>
    </row>
    <row r="36" spans="1:26" ht="18" customHeight="1" x14ac:dyDescent="0.4">
      <c r="A36" s="1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3"/>
    </row>
    <row r="37" spans="1:26" ht="18" customHeight="1" x14ac:dyDescent="0.4">
      <c r="A37" s="1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3"/>
    </row>
    <row r="38" spans="1:26" ht="18" customHeight="1" x14ac:dyDescent="0.4">
      <c r="A38" s="1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3"/>
    </row>
    <row r="39" spans="1:26" ht="18" customHeight="1" x14ac:dyDescent="0.4">
      <c r="A39" s="1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3"/>
    </row>
    <row r="40" spans="1:26" ht="18" customHeight="1" x14ac:dyDescent="0.4">
      <c r="A40" s="1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3"/>
    </row>
    <row r="41" spans="1:26" ht="18" customHeight="1" x14ac:dyDescent="0.4">
      <c r="A41" s="1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3"/>
    </row>
    <row r="42" spans="1:26" ht="18" customHeight="1" x14ac:dyDescent="0.4">
      <c r="A42" s="1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3"/>
    </row>
    <row r="43" spans="1:26" ht="18" customHeight="1" x14ac:dyDescent="0.4">
      <c r="A43" s="1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3"/>
    </row>
    <row r="44" spans="1:26" ht="18" customHeight="1" x14ac:dyDescent="0.4">
      <c r="A44" s="1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3"/>
    </row>
    <row r="45" spans="1:26" ht="18" customHeight="1" x14ac:dyDescent="0.4">
      <c r="A45" s="1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3"/>
    </row>
    <row r="46" spans="1:26" ht="18" customHeight="1" x14ac:dyDescent="0.4">
      <c r="A46" s="1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3"/>
    </row>
    <row r="47" spans="1:26" ht="18" customHeight="1" x14ac:dyDescent="0.4">
      <c r="A47" s="1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3"/>
    </row>
    <row r="48" spans="1:26" ht="18" customHeight="1" x14ac:dyDescent="0.4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3"/>
    </row>
    <row r="49" spans="1:26" ht="18" customHeight="1" x14ac:dyDescent="0.4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3"/>
    </row>
    <row r="50" spans="1:26" ht="18" customHeight="1" x14ac:dyDescent="0.4">
      <c r="A50" s="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3"/>
    </row>
    <row r="51" spans="1:26" ht="18" customHeight="1" x14ac:dyDescent="0.4">
      <c r="A51" s="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3"/>
    </row>
    <row r="52" spans="1:26" ht="18" customHeight="1" x14ac:dyDescent="0.4">
      <c r="A52" s="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3"/>
    </row>
    <row r="53" spans="1:26" ht="18" customHeight="1" x14ac:dyDescent="0.4">
      <c r="A53" s="1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3"/>
    </row>
    <row r="54" spans="1:26" ht="18" customHeight="1" x14ac:dyDescent="0.4">
      <c r="A54" s="1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3"/>
    </row>
    <row r="55" spans="1:26" ht="18" customHeight="1" x14ac:dyDescent="0.4">
      <c r="A55" s="1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3"/>
    </row>
    <row r="56" spans="1:26" ht="18" customHeight="1" x14ac:dyDescent="0.4">
      <c r="A56" s="1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3"/>
    </row>
    <row r="57" spans="1:26" ht="18" customHeight="1" x14ac:dyDescent="0.4">
      <c r="A57" s="1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3"/>
    </row>
    <row r="58" spans="1:26" ht="18" customHeight="1" x14ac:dyDescent="0.4">
      <c r="A58" s="1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3"/>
    </row>
    <row r="59" spans="1:26" ht="18" customHeight="1" x14ac:dyDescent="0.4">
      <c r="A59" s="1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3"/>
    </row>
    <row r="60" spans="1:26" ht="18" customHeight="1" x14ac:dyDescent="0.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spans="1:26" ht="18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</sheetData>
  <mergeCells count="5">
    <mergeCell ref="A10:C10"/>
    <mergeCell ref="A11:C11"/>
    <mergeCell ref="A1:C1"/>
    <mergeCell ref="A4:C4"/>
    <mergeCell ref="A2:C2"/>
  </mergeCells>
  <phoneticPr fontId="2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2"/>
  <sheetViews>
    <sheetView workbookViewId="0">
      <pane ySplit="2" topLeftCell="A3" activePane="bottomLeft" state="frozen"/>
      <selection pane="bottomLeft"/>
    </sheetView>
  </sheetViews>
  <sheetFormatPr defaultRowHeight="17.399999999999999" x14ac:dyDescent="0.4"/>
  <cols>
    <col min="1" max="1" width="28" customWidth="1"/>
    <col min="2" max="2" width="16" customWidth="1"/>
    <col min="3" max="3" width="28" customWidth="1"/>
  </cols>
  <sheetData>
    <row r="1" spans="1:3" ht="24" customHeight="1" x14ac:dyDescent="0.4">
      <c r="A1" s="157" t="s">
        <v>254</v>
      </c>
      <c r="B1" s="148"/>
      <c r="C1" s="148"/>
    </row>
    <row r="2" spans="1:3" ht="18" customHeight="1" x14ac:dyDescent="0.4">
      <c r="A2" s="161" t="s">
        <v>244</v>
      </c>
      <c r="B2" s="148"/>
      <c r="C2" s="148"/>
    </row>
    <row r="4" spans="1:3" x14ac:dyDescent="0.4">
      <c r="A4" s="158" t="s">
        <v>255</v>
      </c>
      <c r="B4" s="159"/>
      <c r="C4" s="160"/>
    </row>
    <row r="5" spans="1:3" x14ac:dyDescent="0.4">
      <c r="A5" s="102" t="s">
        <v>4</v>
      </c>
      <c r="B5" s="102" t="s">
        <v>199</v>
      </c>
      <c r="C5" s="102" t="s">
        <v>6</v>
      </c>
    </row>
    <row r="6" spans="1:3" x14ac:dyDescent="0.4">
      <c r="A6" s="106" t="s">
        <v>256</v>
      </c>
      <c r="B6" s="107">
        <v>5221.25</v>
      </c>
      <c r="C6" s="106" t="s">
        <v>257</v>
      </c>
    </row>
    <row r="7" spans="1:3" x14ac:dyDescent="0.4">
      <c r="A7" s="106" t="s">
        <v>258</v>
      </c>
      <c r="B7" s="108">
        <v>54500</v>
      </c>
      <c r="C7" s="106" t="s">
        <v>48</v>
      </c>
    </row>
    <row r="8" spans="1:3" x14ac:dyDescent="0.4">
      <c r="A8" s="106" t="s">
        <v>259</v>
      </c>
      <c r="B8" s="108">
        <v>13120</v>
      </c>
      <c r="C8" s="106" t="s">
        <v>48</v>
      </c>
    </row>
    <row r="9" spans="1:3" x14ac:dyDescent="0.4">
      <c r="A9" s="106" t="s">
        <v>260</v>
      </c>
      <c r="B9" s="109">
        <v>2594.4</v>
      </c>
      <c r="C9" s="106" t="s">
        <v>44</v>
      </c>
    </row>
    <row r="10" spans="1:3" x14ac:dyDescent="0.4">
      <c r="A10" s="106" t="s">
        <v>261</v>
      </c>
      <c r="B10" s="110">
        <v>5.9999999999999995E-4</v>
      </c>
      <c r="C10" s="106" t="s">
        <v>30</v>
      </c>
    </row>
    <row r="11" spans="1:3" x14ac:dyDescent="0.4">
      <c r="A11" s="106" t="s">
        <v>8</v>
      </c>
      <c r="B11" s="109">
        <v>49416.9</v>
      </c>
      <c r="C11" s="106" t="s">
        <v>9</v>
      </c>
    </row>
    <row r="12" spans="1:3" x14ac:dyDescent="0.4">
      <c r="A12" s="106" t="s">
        <v>262</v>
      </c>
      <c r="B12" s="109">
        <v>1560.2</v>
      </c>
      <c r="C12" s="106" t="s">
        <v>9</v>
      </c>
    </row>
    <row r="13" spans="1:3" x14ac:dyDescent="0.4">
      <c r="A13" s="106" t="s">
        <v>263</v>
      </c>
      <c r="B13" s="109">
        <v>74.2</v>
      </c>
      <c r="C13" s="106" t="s">
        <v>44</v>
      </c>
    </row>
    <row r="14" spans="1:3" x14ac:dyDescent="0.4">
      <c r="A14" s="106" t="s">
        <v>264</v>
      </c>
      <c r="B14" s="110">
        <v>0.18010000000000001</v>
      </c>
      <c r="C14" s="106" t="s">
        <v>30</v>
      </c>
    </row>
    <row r="16" spans="1:3" x14ac:dyDescent="0.4">
      <c r="A16" s="158" t="s">
        <v>265</v>
      </c>
      <c r="B16" s="159"/>
      <c r="C16" s="160"/>
    </row>
    <row r="17" spans="1:3" x14ac:dyDescent="0.4">
      <c r="A17" s="102" t="s">
        <v>266</v>
      </c>
      <c r="B17" s="102" t="s">
        <v>267</v>
      </c>
      <c r="C17" s="102" t="s">
        <v>7</v>
      </c>
    </row>
    <row r="18" spans="1:3" x14ac:dyDescent="0.4">
      <c r="A18" s="106" t="s">
        <v>268</v>
      </c>
      <c r="B18" s="110">
        <v>0.3276</v>
      </c>
      <c r="C18" s="106"/>
    </row>
    <row r="19" spans="1:3" x14ac:dyDescent="0.4">
      <c r="A19" s="106" t="s">
        <v>269</v>
      </c>
      <c r="B19" s="110">
        <v>0.1203</v>
      </c>
      <c r="C19" s="106"/>
    </row>
    <row r="21" spans="1:3" x14ac:dyDescent="0.4">
      <c r="A21" s="148" t="s">
        <v>252</v>
      </c>
      <c r="B21" s="148"/>
      <c r="C21" s="148"/>
    </row>
    <row r="22" spans="1:3" x14ac:dyDescent="0.4">
      <c r="A22" s="148" t="s">
        <v>270</v>
      </c>
      <c r="B22" s="148"/>
      <c r="C22" s="148"/>
    </row>
  </sheetData>
  <mergeCells count="6">
    <mergeCell ref="A1:C1"/>
    <mergeCell ref="A16:C16"/>
    <mergeCell ref="A22:C22"/>
    <mergeCell ref="A21:C21"/>
    <mergeCell ref="A4:C4"/>
    <mergeCell ref="A2:C2"/>
  </mergeCells>
  <phoneticPr fontId="2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6E6A"/>
  </sheetPr>
  <dimension ref="A1:Z90"/>
  <sheetViews>
    <sheetView showGridLines="0" workbookViewId="0"/>
  </sheetViews>
  <sheetFormatPr defaultColWidth="8.69921875" defaultRowHeight="17.399999999999999" x14ac:dyDescent="0.4"/>
  <cols>
    <col min="1" max="1" width="24" customWidth="1"/>
    <col min="2" max="4" width="12" customWidth="1"/>
    <col min="5" max="5" width="35" customWidth="1"/>
    <col min="6" max="6" width="12" customWidth="1"/>
    <col min="7" max="26" width="10" customWidth="1"/>
  </cols>
  <sheetData>
    <row r="1" spans="1:26" ht="22.05" customHeight="1" x14ac:dyDescent="0.4">
      <c r="A1" s="111" t="s">
        <v>271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6"/>
    </row>
    <row r="2" spans="1:26" ht="18" customHeight="1" x14ac:dyDescent="0.4">
      <c r="A2" s="112" t="s">
        <v>272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28"/>
    </row>
    <row r="3" spans="1:26" ht="18" customHeight="1" x14ac:dyDescent="0.4">
      <c r="A3" s="1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3"/>
    </row>
    <row r="4" spans="1:26" ht="19.95" customHeight="1" x14ac:dyDescent="0.4">
      <c r="A4" s="73" t="s">
        <v>4</v>
      </c>
      <c r="B4" s="73" t="s">
        <v>20</v>
      </c>
      <c r="C4" s="73" t="s">
        <v>273</v>
      </c>
      <c r="D4" s="73" t="s">
        <v>7</v>
      </c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3"/>
    </row>
    <row r="5" spans="1:26" ht="19.95" customHeight="1" x14ac:dyDescent="0.4">
      <c r="A5" s="53" t="s">
        <v>274</v>
      </c>
      <c r="B5" s="113">
        <v>1049.5999999999999</v>
      </c>
      <c r="C5" s="113">
        <v>1353.9</v>
      </c>
      <c r="D5" s="114"/>
      <c r="E5" s="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3"/>
    </row>
    <row r="6" spans="1:26" ht="18" customHeight="1" x14ac:dyDescent="0.4">
      <c r="A6" s="54" t="s">
        <v>275</v>
      </c>
      <c r="B6" s="115">
        <v>47</v>
      </c>
      <c r="C6" s="115">
        <v>155.9</v>
      </c>
      <c r="D6" s="5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3"/>
    </row>
    <row r="7" spans="1:26" ht="18" customHeight="1" x14ac:dyDescent="0.4">
      <c r="A7" s="54" t="s">
        <v>276</v>
      </c>
      <c r="B7" s="115">
        <v>45.6</v>
      </c>
      <c r="C7" s="115">
        <v>133.9</v>
      </c>
      <c r="D7" s="5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</row>
    <row r="8" spans="1:26" ht="18" customHeight="1" x14ac:dyDescent="0.4">
      <c r="A8" s="54" t="s">
        <v>277</v>
      </c>
      <c r="B8" s="115">
        <v>887</v>
      </c>
      <c r="C8" s="115">
        <v>2579</v>
      </c>
      <c r="D8" s="5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3"/>
    </row>
    <row r="9" spans="1:26" ht="18" customHeight="1" x14ac:dyDescent="0.4">
      <c r="A9" s="54" t="s">
        <v>278</v>
      </c>
      <c r="B9" s="115">
        <v>17520</v>
      </c>
      <c r="C9" s="115">
        <v>19891</v>
      </c>
      <c r="D9" s="5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3"/>
    </row>
    <row r="10" spans="1:26" ht="19.95" customHeight="1" x14ac:dyDescent="0.4">
      <c r="A10" s="20"/>
      <c r="B10" s="5"/>
      <c r="C10" s="5"/>
      <c r="D10" s="5"/>
      <c r="E10" s="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3"/>
    </row>
    <row r="11" spans="1:26" ht="19.95" customHeight="1" x14ac:dyDescent="0.4">
      <c r="A11" s="162" t="s">
        <v>279</v>
      </c>
      <c r="B11" s="163"/>
      <c r="C11" s="163"/>
      <c r="D11" s="163"/>
      <c r="E11" s="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3"/>
    </row>
    <row r="12" spans="1:26" ht="18" customHeight="1" x14ac:dyDescent="0.4">
      <c r="A12" s="116" t="s">
        <v>280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3"/>
    </row>
    <row r="13" spans="1:26" ht="18" customHeight="1" x14ac:dyDescent="0.4">
      <c r="A13" s="54" t="s">
        <v>4</v>
      </c>
      <c r="B13" s="54" t="s">
        <v>20</v>
      </c>
      <c r="C13" s="54" t="s">
        <v>273</v>
      </c>
      <c r="D13" s="54" t="s">
        <v>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3"/>
    </row>
    <row r="14" spans="1:26" ht="18" customHeight="1" x14ac:dyDescent="0.4">
      <c r="A14" s="54" t="s">
        <v>281</v>
      </c>
      <c r="B14" s="117">
        <f>'12_p4_손익계산서'!D5/B5-1</f>
        <v>1.4958079268292623E-2</v>
      </c>
      <c r="C14" s="117">
        <f>'12_p4_손익계산서'!E5/C5-1</f>
        <v>9.7200679518428146E-2</v>
      </c>
      <c r="D14" s="5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3"/>
    </row>
    <row r="15" spans="1:26" ht="18" customHeight="1" x14ac:dyDescent="0.4">
      <c r="A15" s="54" t="s">
        <v>282</v>
      </c>
      <c r="B15" s="117">
        <f>'14_p4_투자지표'!D6/B8-1</f>
        <v>6.7643742953776842E-2</v>
      </c>
      <c r="C15" s="117">
        <f>'14_p4_투자지표'!E6/C8-1</f>
        <v>0.17603722373012798</v>
      </c>
      <c r="D15" s="5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3"/>
    </row>
    <row r="16" spans="1:26" ht="19.95" customHeight="1" x14ac:dyDescent="0.4">
      <c r="A16" s="20"/>
      <c r="B16" s="5"/>
      <c r="C16" s="5"/>
      <c r="D16" s="5"/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3"/>
    </row>
    <row r="17" spans="1:26" ht="19.95" customHeight="1" x14ac:dyDescent="0.4">
      <c r="A17" s="6"/>
      <c r="B17" s="7"/>
      <c r="C17" s="7"/>
      <c r="D17" s="7"/>
      <c r="E17" s="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3"/>
    </row>
    <row r="18" spans="1:26" ht="18" customHeight="1" x14ac:dyDescent="0.4">
      <c r="A18" s="1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3"/>
    </row>
    <row r="19" spans="1:26" ht="18" customHeight="1" x14ac:dyDescent="0.4">
      <c r="A19" s="1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3"/>
    </row>
    <row r="20" spans="1:26" ht="18" customHeight="1" x14ac:dyDescent="0.4">
      <c r="A20" s="1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3"/>
    </row>
    <row r="21" spans="1:26" ht="18" customHeight="1" x14ac:dyDescent="0.4">
      <c r="A21" s="1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3"/>
    </row>
    <row r="22" spans="1:26" ht="18" customHeight="1" x14ac:dyDescent="0.4">
      <c r="A22" s="1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3"/>
    </row>
    <row r="23" spans="1:26" ht="18" customHeight="1" x14ac:dyDescent="0.4">
      <c r="A23" s="1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3"/>
    </row>
    <row r="24" spans="1:26" ht="18" customHeight="1" x14ac:dyDescent="0.4">
      <c r="A24" s="1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3"/>
    </row>
    <row r="25" spans="1:26" ht="18" customHeight="1" x14ac:dyDescent="0.4">
      <c r="A25" s="1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3"/>
    </row>
    <row r="26" spans="1:26" ht="18" customHeight="1" x14ac:dyDescent="0.4">
      <c r="A26" s="1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3"/>
    </row>
    <row r="27" spans="1:26" ht="18" customHeight="1" x14ac:dyDescent="0.4">
      <c r="A27" s="1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3"/>
    </row>
    <row r="28" spans="1:26" ht="18" customHeight="1" x14ac:dyDescent="0.4">
      <c r="A28" s="1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3"/>
    </row>
    <row r="29" spans="1:26" ht="18" customHeight="1" x14ac:dyDescent="0.4">
      <c r="A29" s="1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3"/>
    </row>
    <row r="30" spans="1:26" ht="18" customHeight="1" x14ac:dyDescent="0.4">
      <c r="A30" s="1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3"/>
    </row>
    <row r="31" spans="1:26" ht="18" customHeight="1" x14ac:dyDescent="0.4">
      <c r="A31" s="1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3"/>
    </row>
    <row r="32" spans="1:26" ht="18" customHeight="1" x14ac:dyDescent="0.4">
      <c r="A32" s="1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3"/>
    </row>
    <row r="33" spans="1:26" ht="18" customHeight="1" x14ac:dyDescent="0.4">
      <c r="A33" s="1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3"/>
    </row>
    <row r="34" spans="1:26" ht="18" customHeight="1" x14ac:dyDescent="0.4">
      <c r="A34" s="1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3"/>
    </row>
    <row r="35" spans="1:26" ht="18" customHeight="1" x14ac:dyDescent="0.4">
      <c r="A35" s="1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3"/>
    </row>
    <row r="36" spans="1:26" ht="18" customHeight="1" x14ac:dyDescent="0.4">
      <c r="A36" s="1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3"/>
    </row>
    <row r="37" spans="1:26" ht="18" customHeight="1" x14ac:dyDescent="0.4">
      <c r="A37" s="1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3"/>
    </row>
    <row r="38" spans="1:26" ht="18" customHeight="1" x14ac:dyDescent="0.4">
      <c r="A38" s="1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3"/>
    </row>
    <row r="39" spans="1:26" ht="18" customHeight="1" x14ac:dyDescent="0.4">
      <c r="A39" s="1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3"/>
    </row>
    <row r="40" spans="1:26" ht="18" customHeight="1" x14ac:dyDescent="0.4">
      <c r="A40" s="1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3"/>
    </row>
    <row r="41" spans="1:26" ht="18" customHeight="1" x14ac:dyDescent="0.4">
      <c r="A41" s="1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3"/>
    </row>
    <row r="42" spans="1:26" ht="18" customHeight="1" x14ac:dyDescent="0.4">
      <c r="A42" s="1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3"/>
    </row>
    <row r="43" spans="1:26" ht="18" customHeight="1" x14ac:dyDescent="0.4">
      <c r="A43" s="1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3"/>
    </row>
    <row r="44" spans="1:26" ht="18" customHeight="1" x14ac:dyDescent="0.4">
      <c r="A44" s="1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3"/>
    </row>
    <row r="45" spans="1:26" ht="18" customHeight="1" x14ac:dyDescent="0.4">
      <c r="A45" s="1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3"/>
    </row>
    <row r="46" spans="1:26" ht="18" customHeight="1" x14ac:dyDescent="0.4">
      <c r="A46" s="1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3"/>
    </row>
    <row r="47" spans="1:26" ht="18" customHeight="1" x14ac:dyDescent="0.4">
      <c r="A47" s="1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3"/>
    </row>
    <row r="48" spans="1:26" ht="18" customHeight="1" x14ac:dyDescent="0.4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3"/>
    </row>
    <row r="49" spans="1:26" ht="18" customHeight="1" x14ac:dyDescent="0.4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3"/>
    </row>
    <row r="50" spans="1:26" ht="18" customHeight="1" x14ac:dyDescent="0.4">
      <c r="A50" s="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3"/>
    </row>
    <row r="51" spans="1:26" ht="18" customHeight="1" x14ac:dyDescent="0.4">
      <c r="A51" s="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3"/>
    </row>
    <row r="52" spans="1:26" ht="18" customHeight="1" x14ac:dyDescent="0.4">
      <c r="A52" s="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3"/>
    </row>
    <row r="53" spans="1:26" ht="18" customHeight="1" x14ac:dyDescent="0.4">
      <c r="A53" s="1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3"/>
    </row>
    <row r="54" spans="1:26" ht="18" customHeight="1" x14ac:dyDescent="0.4">
      <c r="A54" s="1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3"/>
    </row>
    <row r="55" spans="1:26" ht="18" customHeight="1" x14ac:dyDescent="0.4">
      <c r="A55" s="1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3"/>
    </row>
    <row r="56" spans="1:26" ht="18" customHeight="1" x14ac:dyDescent="0.4">
      <c r="A56" s="1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3"/>
    </row>
    <row r="57" spans="1:26" ht="18" customHeight="1" x14ac:dyDescent="0.4">
      <c r="A57" s="1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3"/>
    </row>
    <row r="58" spans="1:26" ht="18" customHeight="1" x14ac:dyDescent="0.4">
      <c r="A58" s="1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3"/>
    </row>
    <row r="59" spans="1:26" ht="18" customHeight="1" x14ac:dyDescent="0.4">
      <c r="A59" s="1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3"/>
    </row>
    <row r="60" spans="1:26" ht="18" customHeight="1" x14ac:dyDescent="0.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spans="1:26" ht="18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</sheetData>
  <mergeCells count="1">
    <mergeCell ref="A11:D11"/>
  </mergeCells>
  <phoneticPr fontId="2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6E6A"/>
  </sheetPr>
  <dimension ref="A1:Z90"/>
  <sheetViews>
    <sheetView showGridLines="0" workbookViewId="0"/>
  </sheetViews>
  <sheetFormatPr defaultColWidth="8.69921875" defaultRowHeight="17.399999999999999" x14ac:dyDescent="0.4"/>
  <cols>
    <col min="1" max="1" width="24" customWidth="1"/>
    <col min="2" max="4" width="12" customWidth="1"/>
    <col min="5" max="5" width="35" customWidth="1"/>
    <col min="6" max="6" width="12" customWidth="1"/>
    <col min="7" max="26" width="10" customWidth="1"/>
  </cols>
  <sheetData>
    <row r="1" spans="1:26" ht="22.05" customHeight="1" x14ac:dyDescent="0.4">
      <c r="A1" s="111" t="s">
        <v>283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6"/>
    </row>
    <row r="2" spans="1:26" ht="18" customHeight="1" x14ac:dyDescent="0.4">
      <c r="A2" s="165" t="s">
        <v>284</v>
      </c>
      <c r="B2" s="148"/>
      <c r="C2" s="148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28"/>
    </row>
    <row r="3" spans="1:26" ht="18" customHeight="1" x14ac:dyDescent="0.4">
      <c r="A3" s="1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3"/>
    </row>
    <row r="4" spans="1:26" ht="19.95" customHeight="1" x14ac:dyDescent="0.4">
      <c r="A4" s="80" t="s">
        <v>285</v>
      </c>
      <c r="B4" s="5"/>
      <c r="C4" s="5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3"/>
    </row>
    <row r="5" spans="1:26" ht="19.95" customHeight="1" x14ac:dyDescent="0.4">
      <c r="A5" s="53" t="s">
        <v>4</v>
      </c>
      <c r="B5" s="53" t="s">
        <v>199</v>
      </c>
      <c r="C5" s="53" t="s">
        <v>7</v>
      </c>
      <c r="D5" s="7"/>
      <c r="E5" s="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3"/>
    </row>
    <row r="6" spans="1:26" ht="18" customHeight="1" x14ac:dyDescent="0.4">
      <c r="A6" s="54" t="s">
        <v>180</v>
      </c>
      <c r="B6" s="91">
        <f>'01_p1_투자의견'!B8</f>
        <v>52500</v>
      </c>
      <c r="C6" s="54" t="s">
        <v>286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3"/>
    </row>
    <row r="7" spans="1:26" ht="18" customHeight="1" x14ac:dyDescent="0.4">
      <c r="A7" s="54" t="s">
        <v>258</v>
      </c>
      <c r="B7" s="91">
        <f>'01A_p1_KeyData'!B7</f>
        <v>54500</v>
      </c>
      <c r="C7" s="5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</row>
    <row r="8" spans="1:26" ht="18" customHeight="1" x14ac:dyDescent="0.4">
      <c r="A8" s="54" t="s">
        <v>259</v>
      </c>
      <c r="B8" s="91">
        <f>'01A_p1_KeyData'!B8</f>
        <v>13120</v>
      </c>
      <c r="C8" s="5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3"/>
    </row>
    <row r="9" spans="1:26" ht="18" customHeight="1" x14ac:dyDescent="0.4">
      <c r="A9" s="54" t="s">
        <v>287</v>
      </c>
      <c r="B9" s="91">
        <f>'01A_p1_KeyData'!B9</f>
        <v>2594.4</v>
      </c>
      <c r="C9" s="54" t="s">
        <v>288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3"/>
    </row>
    <row r="10" spans="1:26" ht="19.95" customHeight="1" x14ac:dyDescent="0.4">
      <c r="A10" s="20"/>
      <c r="B10" s="5"/>
      <c r="C10" s="5"/>
      <c r="D10" s="5"/>
      <c r="E10" s="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3"/>
    </row>
    <row r="11" spans="1:26" ht="19.95" customHeight="1" x14ac:dyDescent="0.4">
      <c r="A11" s="162" t="s">
        <v>289</v>
      </c>
      <c r="B11" s="163"/>
      <c r="C11" s="163"/>
      <c r="D11" s="7"/>
      <c r="E11" s="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3"/>
    </row>
    <row r="12" spans="1:26" ht="18" customHeight="1" x14ac:dyDescent="0.4">
      <c r="A12" s="164" t="s">
        <v>290</v>
      </c>
      <c r="B12" s="148"/>
      <c r="C12" s="148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3"/>
    </row>
    <row r="13" spans="1:26" ht="18" customHeight="1" x14ac:dyDescent="0.4">
      <c r="A13" s="1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3"/>
    </row>
    <row r="14" spans="1:26" ht="18" customHeight="1" x14ac:dyDescent="0.4">
      <c r="A14" s="1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3"/>
    </row>
    <row r="15" spans="1:26" ht="18" customHeight="1" x14ac:dyDescent="0.4">
      <c r="A15" s="1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3"/>
    </row>
    <row r="16" spans="1:26" ht="19.95" customHeight="1" x14ac:dyDescent="0.4">
      <c r="A16" s="20"/>
      <c r="B16" s="5"/>
      <c r="C16" s="5"/>
      <c r="D16" s="5"/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3"/>
    </row>
    <row r="17" spans="1:26" ht="19.95" customHeight="1" x14ac:dyDescent="0.4">
      <c r="A17" s="6"/>
      <c r="B17" s="7"/>
      <c r="C17" s="7"/>
      <c r="D17" s="7"/>
      <c r="E17" s="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3"/>
    </row>
    <row r="18" spans="1:26" ht="18" customHeight="1" x14ac:dyDescent="0.4">
      <c r="A18" s="1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3"/>
    </row>
    <row r="19" spans="1:26" ht="18" customHeight="1" x14ac:dyDescent="0.4">
      <c r="A19" s="1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3"/>
    </row>
    <row r="20" spans="1:26" ht="18" customHeight="1" x14ac:dyDescent="0.4">
      <c r="A20" s="1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3"/>
    </row>
    <row r="21" spans="1:26" ht="18" customHeight="1" x14ac:dyDescent="0.4">
      <c r="A21" s="1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3"/>
    </row>
    <row r="22" spans="1:26" ht="18" customHeight="1" x14ac:dyDescent="0.4">
      <c r="A22" s="1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3"/>
    </row>
    <row r="23" spans="1:26" ht="18" customHeight="1" x14ac:dyDescent="0.4">
      <c r="A23" s="1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3"/>
    </row>
    <row r="24" spans="1:26" ht="18" customHeight="1" x14ac:dyDescent="0.4">
      <c r="A24" s="1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3"/>
    </row>
    <row r="25" spans="1:26" ht="18" customHeight="1" x14ac:dyDescent="0.4">
      <c r="A25" s="1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3"/>
    </row>
    <row r="26" spans="1:26" ht="18" customHeight="1" x14ac:dyDescent="0.4">
      <c r="A26" s="1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3"/>
    </row>
    <row r="27" spans="1:26" ht="18" customHeight="1" x14ac:dyDescent="0.4">
      <c r="A27" s="1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3"/>
    </row>
    <row r="28" spans="1:26" ht="18" customHeight="1" x14ac:dyDescent="0.4">
      <c r="A28" s="1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3"/>
    </row>
    <row r="29" spans="1:26" ht="18" customHeight="1" x14ac:dyDescent="0.4">
      <c r="A29" s="1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3"/>
    </row>
    <row r="30" spans="1:26" ht="18" customHeight="1" x14ac:dyDescent="0.4">
      <c r="A30" s="1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3"/>
    </row>
    <row r="31" spans="1:26" ht="18" customHeight="1" x14ac:dyDescent="0.4">
      <c r="A31" s="1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3"/>
    </row>
    <row r="32" spans="1:26" ht="18" customHeight="1" x14ac:dyDescent="0.4">
      <c r="A32" s="1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3"/>
    </row>
    <row r="33" spans="1:26" ht="18" customHeight="1" x14ac:dyDescent="0.4">
      <c r="A33" s="1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3"/>
    </row>
    <row r="34" spans="1:26" ht="18" customHeight="1" x14ac:dyDescent="0.4">
      <c r="A34" s="1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3"/>
    </row>
    <row r="35" spans="1:26" ht="18" customHeight="1" x14ac:dyDescent="0.4">
      <c r="A35" s="1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3"/>
    </row>
    <row r="36" spans="1:26" ht="18" customHeight="1" x14ac:dyDescent="0.4">
      <c r="A36" s="1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3"/>
    </row>
    <row r="37" spans="1:26" ht="18" customHeight="1" x14ac:dyDescent="0.4">
      <c r="A37" s="1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3"/>
    </row>
    <row r="38" spans="1:26" ht="18" customHeight="1" x14ac:dyDescent="0.4">
      <c r="A38" s="1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3"/>
    </row>
    <row r="39" spans="1:26" ht="18" customHeight="1" x14ac:dyDescent="0.4">
      <c r="A39" s="1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3"/>
    </row>
    <row r="40" spans="1:26" ht="18" customHeight="1" x14ac:dyDescent="0.4">
      <c r="A40" s="1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3"/>
    </row>
    <row r="41" spans="1:26" ht="18" customHeight="1" x14ac:dyDescent="0.4">
      <c r="A41" s="1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3"/>
    </row>
    <row r="42" spans="1:26" ht="18" customHeight="1" x14ac:dyDescent="0.4">
      <c r="A42" s="1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3"/>
    </row>
    <row r="43" spans="1:26" ht="18" customHeight="1" x14ac:dyDescent="0.4">
      <c r="A43" s="1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3"/>
    </row>
    <row r="44" spans="1:26" ht="18" customHeight="1" x14ac:dyDescent="0.4">
      <c r="A44" s="1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3"/>
    </row>
    <row r="45" spans="1:26" ht="18" customHeight="1" x14ac:dyDescent="0.4">
      <c r="A45" s="1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3"/>
    </row>
    <row r="46" spans="1:26" ht="18" customHeight="1" x14ac:dyDescent="0.4">
      <c r="A46" s="1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3"/>
    </row>
    <row r="47" spans="1:26" ht="18" customHeight="1" x14ac:dyDescent="0.4">
      <c r="A47" s="1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3"/>
    </row>
    <row r="48" spans="1:26" ht="18" customHeight="1" x14ac:dyDescent="0.4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3"/>
    </row>
    <row r="49" spans="1:26" ht="18" customHeight="1" x14ac:dyDescent="0.4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3"/>
    </row>
    <row r="50" spans="1:26" ht="18" customHeight="1" x14ac:dyDescent="0.4">
      <c r="A50" s="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3"/>
    </row>
    <row r="51" spans="1:26" ht="18" customHeight="1" x14ac:dyDescent="0.4">
      <c r="A51" s="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3"/>
    </row>
    <row r="52" spans="1:26" ht="18" customHeight="1" x14ac:dyDescent="0.4">
      <c r="A52" s="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3"/>
    </row>
    <row r="53" spans="1:26" ht="18" customHeight="1" x14ac:dyDescent="0.4">
      <c r="A53" s="1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3"/>
    </row>
    <row r="54" spans="1:26" ht="18" customHeight="1" x14ac:dyDescent="0.4">
      <c r="A54" s="1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3"/>
    </row>
    <row r="55" spans="1:26" ht="18" customHeight="1" x14ac:dyDescent="0.4">
      <c r="A55" s="1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3"/>
    </row>
    <row r="56" spans="1:26" ht="18" customHeight="1" x14ac:dyDescent="0.4">
      <c r="A56" s="1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3"/>
    </row>
    <row r="57" spans="1:26" ht="18" customHeight="1" x14ac:dyDescent="0.4">
      <c r="A57" s="1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3"/>
    </row>
    <row r="58" spans="1:26" ht="18" customHeight="1" x14ac:dyDescent="0.4">
      <c r="A58" s="1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3"/>
    </row>
    <row r="59" spans="1:26" ht="18" customHeight="1" x14ac:dyDescent="0.4">
      <c r="A59" s="1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3"/>
    </row>
    <row r="60" spans="1:26" ht="18" customHeight="1" x14ac:dyDescent="0.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spans="1:26" ht="18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</sheetData>
  <mergeCells count="3">
    <mergeCell ref="A12:C12"/>
    <mergeCell ref="A2:C2"/>
    <mergeCell ref="A11:C11"/>
  </mergeCells>
  <phoneticPr fontId="2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6E6A"/>
  </sheetPr>
  <dimension ref="A1:Z90"/>
  <sheetViews>
    <sheetView showGridLines="0" workbookViewId="0"/>
  </sheetViews>
  <sheetFormatPr defaultColWidth="8.69921875" defaultRowHeight="17.399999999999999" x14ac:dyDescent="0.4"/>
  <cols>
    <col min="1" max="1" width="24" customWidth="1"/>
    <col min="2" max="4" width="12" customWidth="1"/>
    <col min="5" max="5" width="35" customWidth="1"/>
    <col min="6" max="6" width="12" customWidth="1"/>
    <col min="7" max="26" width="10" customWidth="1"/>
  </cols>
  <sheetData>
    <row r="1" spans="1:26" ht="22.05" customHeight="1" x14ac:dyDescent="0.4">
      <c r="A1" s="111" t="s">
        <v>291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6"/>
    </row>
    <row r="2" spans="1:26" ht="18" customHeight="1" x14ac:dyDescent="0.4">
      <c r="A2" s="112" t="s">
        <v>292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28"/>
    </row>
    <row r="3" spans="1:26" ht="18" customHeight="1" x14ac:dyDescent="0.4">
      <c r="A3" s="1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3"/>
    </row>
    <row r="4" spans="1:26" ht="19.95" customHeight="1" x14ac:dyDescent="0.4">
      <c r="A4" s="73" t="s">
        <v>293</v>
      </c>
      <c r="B4" s="73" t="s">
        <v>40</v>
      </c>
      <c r="C4" s="73" t="s">
        <v>41</v>
      </c>
      <c r="D4" s="73" t="s">
        <v>42</v>
      </c>
      <c r="E4" s="73" t="s">
        <v>21</v>
      </c>
      <c r="F4" s="54" t="s">
        <v>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3"/>
    </row>
    <row r="5" spans="1:26" ht="19.95" customHeight="1" x14ac:dyDescent="0.4">
      <c r="A5" s="53" t="s">
        <v>43</v>
      </c>
      <c r="B5" s="113">
        <v>909.7</v>
      </c>
      <c r="C5" s="113">
        <v>892.1</v>
      </c>
      <c r="D5" s="113">
        <v>1065.3</v>
      </c>
      <c r="E5" s="113">
        <v>1485.6</v>
      </c>
      <c r="F5" s="54" t="s">
        <v>44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3"/>
    </row>
    <row r="6" spans="1:26" ht="18" customHeight="1" x14ac:dyDescent="0.4">
      <c r="A6" s="54" t="s">
        <v>33</v>
      </c>
      <c r="B6" s="115">
        <v>23.7</v>
      </c>
      <c r="C6" s="115">
        <v>11.3</v>
      </c>
      <c r="D6" s="115">
        <v>49.2</v>
      </c>
      <c r="E6" s="115">
        <v>180</v>
      </c>
      <c r="F6" s="54" t="s">
        <v>44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3"/>
    </row>
    <row r="7" spans="1:26" ht="18" customHeight="1" x14ac:dyDescent="0.4">
      <c r="A7" s="54" t="s">
        <v>45</v>
      </c>
      <c r="B7" s="115">
        <v>28.4</v>
      </c>
      <c r="C7" s="115">
        <v>30.2</v>
      </c>
      <c r="D7" s="115">
        <v>53.5</v>
      </c>
      <c r="E7" s="115">
        <v>187.3</v>
      </c>
      <c r="F7" s="54" t="s">
        <v>44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</row>
    <row r="8" spans="1:26" ht="18" customHeight="1" x14ac:dyDescent="0.4">
      <c r="A8" s="54" t="s">
        <v>294</v>
      </c>
      <c r="B8" s="115">
        <v>25.4</v>
      </c>
      <c r="C8" s="115">
        <v>23.8</v>
      </c>
      <c r="D8" s="115">
        <v>48.8</v>
      </c>
      <c r="E8" s="115">
        <v>149.9</v>
      </c>
      <c r="F8" s="54" t="s">
        <v>44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3"/>
    </row>
    <row r="9" spans="1:26" ht="18" customHeight="1" x14ac:dyDescent="0.4">
      <c r="A9" s="54" t="s">
        <v>47</v>
      </c>
      <c r="B9" s="115">
        <v>493</v>
      </c>
      <c r="C9" s="115">
        <v>461</v>
      </c>
      <c r="D9" s="115">
        <v>947</v>
      </c>
      <c r="E9" s="115">
        <v>3033</v>
      </c>
      <c r="F9" s="54" t="s">
        <v>48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3"/>
    </row>
    <row r="10" spans="1:26" ht="19.95" customHeight="1" x14ac:dyDescent="0.4">
      <c r="A10" s="73" t="s">
        <v>295</v>
      </c>
      <c r="B10" s="118">
        <v>-0.8619</v>
      </c>
      <c r="C10" s="118">
        <v>-6.4899999999999999E-2</v>
      </c>
      <c r="D10" s="118">
        <v>1.0542</v>
      </c>
      <c r="E10" s="118">
        <v>2.2027000000000001</v>
      </c>
      <c r="F10" s="54" t="s">
        <v>30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3"/>
    </row>
    <row r="11" spans="1:26" ht="19.95" customHeight="1" x14ac:dyDescent="0.4">
      <c r="A11" s="53" t="s">
        <v>296</v>
      </c>
      <c r="B11" s="113">
        <v>54.87</v>
      </c>
      <c r="C11" s="113">
        <v>33.619999999999997</v>
      </c>
      <c r="D11" s="113">
        <v>49.74</v>
      </c>
      <c r="E11" s="113">
        <v>17.309999999999999</v>
      </c>
      <c r="F11" s="54" t="s">
        <v>177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3"/>
    </row>
    <row r="12" spans="1:26" ht="18" customHeight="1" x14ac:dyDescent="0.4">
      <c r="A12" s="54" t="s">
        <v>297</v>
      </c>
      <c r="B12" s="115">
        <v>1.6</v>
      </c>
      <c r="C12" s="115">
        <v>0.91</v>
      </c>
      <c r="D12" s="115">
        <v>2.69</v>
      </c>
      <c r="E12" s="115">
        <v>2.62</v>
      </c>
      <c r="F12" s="54" t="s">
        <v>177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3"/>
    </row>
    <row r="13" spans="1:26" ht="18" customHeight="1" x14ac:dyDescent="0.4">
      <c r="A13" s="54" t="s">
        <v>298</v>
      </c>
      <c r="B13" s="115">
        <v>8.4700000000000006</v>
      </c>
      <c r="C13" s="115">
        <v>4.49</v>
      </c>
      <c r="D13" s="115">
        <v>13.96</v>
      </c>
      <c r="E13" s="115">
        <v>8.16</v>
      </c>
      <c r="F13" s="54" t="s">
        <v>177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3"/>
    </row>
    <row r="14" spans="1:26" ht="18" customHeight="1" x14ac:dyDescent="0.4">
      <c r="A14" s="54" t="s">
        <v>299</v>
      </c>
      <c r="B14" s="115">
        <v>2.9499999999999998E-2</v>
      </c>
      <c r="C14" s="115">
        <v>2.7300000000000001E-2</v>
      </c>
      <c r="D14" s="115">
        <v>5.4899999999999997E-2</v>
      </c>
      <c r="E14" s="115">
        <v>0.15509999999999999</v>
      </c>
      <c r="F14" s="54" t="s">
        <v>30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3"/>
    </row>
    <row r="15" spans="1:26" ht="18" customHeight="1" x14ac:dyDescent="0.4">
      <c r="A15" s="54" t="s">
        <v>300</v>
      </c>
      <c r="B15" s="115">
        <v>16857</v>
      </c>
      <c r="C15" s="115">
        <v>16996</v>
      </c>
      <c r="D15" s="115">
        <v>17505</v>
      </c>
      <c r="E15" s="115">
        <v>20014</v>
      </c>
      <c r="F15" s="54" t="s">
        <v>48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3"/>
    </row>
    <row r="16" spans="1:26" ht="19.95" customHeight="1" x14ac:dyDescent="0.4">
      <c r="A16" s="73" t="s">
        <v>301</v>
      </c>
      <c r="B16" s="118">
        <v>300</v>
      </c>
      <c r="C16" s="118">
        <v>400</v>
      </c>
      <c r="D16" s="118">
        <v>400</v>
      </c>
      <c r="E16" s="118">
        <v>400</v>
      </c>
      <c r="F16" s="54" t="s">
        <v>48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3"/>
    </row>
    <row r="17" spans="1:26" ht="19.95" customHeight="1" x14ac:dyDescent="0.4">
      <c r="A17" s="6"/>
      <c r="B17" s="7"/>
      <c r="C17" s="7"/>
      <c r="D17" s="7"/>
      <c r="E17" s="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3"/>
    </row>
    <row r="18" spans="1:26" ht="18" customHeight="1" x14ac:dyDescent="0.4">
      <c r="A18" s="116" t="s">
        <v>302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3"/>
    </row>
    <row r="19" spans="1:26" ht="18" customHeight="1" x14ac:dyDescent="0.4">
      <c r="A19" s="54" t="s">
        <v>50</v>
      </c>
      <c r="B19" s="54" t="s">
        <v>40</v>
      </c>
      <c r="C19" s="54" t="s">
        <v>41</v>
      </c>
      <c r="D19" s="54" t="s">
        <v>42</v>
      </c>
      <c r="E19" s="54" t="s">
        <v>21</v>
      </c>
      <c r="F19" s="54" t="s">
        <v>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3"/>
    </row>
    <row r="20" spans="1:26" ht="18" customHeight="1" x14ac:dyDescent="0.4">
      <c r="A20" s="54" t="s">
        <v>303</v>
      </c>
      <c r="B20" s="54">
        <f>B6/B5</f>
        <v>2.6052544794987358E-2</v>
      </c>
      <c r="C20" s="54">
        <f>C6/C5</f>
        <v>1.2666741396704406E-2</v>
      </c>
      <c r="D20" s="54">
        <f>D6/D5</f>
        <v>4.6184173472261336E-2</v>
      </c>
      <c r="E20" s="54">
        <f>E6/E5</f>
        <v>0.12116316639741519</v>
      </c>
      <c r="F20" s="54" t="s">
        <v>304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3"/>
    </row>
    <row r="21" spans="1:26" ht="18" customHeight="1" x14ac:dyDescent="0.4">
      <c r="A21" s="54" t="s">
        <v>305</v>
      </c>
      <c r="B21" s="54">
        <f>B11*B9</f>
        <v>27050.91</v>
      </c>
      <c r="C21" s="54">
        <f>C11*C9</f>
        <v>15498.82</v>
      </c>
      <c r="D21" s="54">
        <f>D11*D9</f>
        <v>47103.78</v>
      </c>
      <c r="E21" s="54">
        <f>E11*E9</f>
        <v>52501.229999999996</v>
      </c>
      <c r="F21" s="54" t="s">
        <v>306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3"/>
    </row>
    <row r="22" spans="1:26" ht="18" customHeight="1" x14ac:dyDescent="0.4">
      <c r="A22" s="164" t="s">
        <v>307</v>
      </c>
      <c r="B22" s="148"/>
      <c r="C22" s="148"/>
      <c r="D22" s="148"/>
      <c r="E22" s="148"/>
      <c r="F22" s="14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3"/>
    </row>
    <row r="23" spans="1:26" ht="18" customHeight="1" x14ac:dyDescent="0.4">
      <c r="A23" s="164" t="s">
        <v>308</v>
      </c>
      <c r="B23" s="148"/>
      <c r="C23" s="148"/>
      <c r="D23" s="148"/>
      <c r="E23" s="148"/>
      <c r="F23" s="14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3"/>
    </row>
    <row r="24" spans="1:26" ht="18" customHeight="1" x14ac:dyDescent="0.4">
      <c r="A24" s="1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3"/>
    </row>
    <row r="25" spans="1:26" ht="18" customHeight="1" x14ac:dyDescent="0.4">
      <c r="A25" s="1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3"/>
    </row>
    <row r="26" spans="1:26" ht="18" customHeight="1" x14ac:dyDescent="0.4">
      <c r="A26" s="1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3"/>
    </row>
    <row r="27" spans="1:26" ht="18" customHeight="1" x14ac:dyDescent="0.4">
      <c r="A27" s="1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3"/>
    </row>
    <row r="28" spans="1:26" ht="18" customHeight="1" x14ac:dyDescent="0.4">
      <c r="A28" s="1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3"/>
    </row>
    <row r="29" spans="1:26" ht="18" customHeight="1" x14ac:dyDescent="0.4">
      <c r="A29" s="1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3"/>
    </row>
    <row r="30" spans="1:26" ht="18" customHeight="1" x14ac:dyDescent="0.4">
      <c r="A30" s="1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3"/>
    </row>
    <row r="31" spans="1:26" ht="18" customHeight="1" x14ac:dyDescent="0.4">
      <c r="A31" s="1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3"/>
    </row>
    <row r="32" spans="1:26" ht="18" customHeight="1" x14ac:dyDescent="0.4">
      <c r="A32" s="1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3"/>
    </row>
    <row r="33" spans="1:26" ht="18" customHeight="1" x14ac:dyDescent="0.4">
      <c r="A33" s="1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3"/>
    </row>
    <row r="34" spans="1:26" ht="18" customHeight="1" x14ac:dyDescent="0.4">
      <c r="A34" s="1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3"/>
    </row>
    <row r="35" spans="1:26" ht="18" customHeight="1" x14ac:dyDescent="0.4">
      <c r="A35" s="1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3"/>
    </row>
    <row r="36" spans="1:26" ht="18" customHeight="1" x14ac:dyDescent="0.4">
      <c r="A36" s="1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3"/>
    </row>
    <row r="37" spans="1:26" ht="18" customHeight="1" x14ac:dyDescent="0.4">
      <c r="A37" s="1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3"/>
    </row>
    <row r="38" spans="1:26" ht="18" customHeight="1" x14ac:dyDescent="0.4">
      <c r="A38" s="1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3"/>
    </row>
    <row r="39" spans="1:26" ht="18" customHeight="1" x14ac:dyDescent="0.4">
      <c r="A39" s="1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3"/>
    </row>
    <row r="40" spans="1:26" ht="18" customHeight="1" x14ac:dyDescent="0.4">
      <c r="A40" s="1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3"/>
    </row>
    <row r="41" spans="1:26" ht="18" customHeight="1" x14ac:dyDescent="0.4">
      <c r="A41" s="1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3"/>
    </row>
    <row r="42" spans="1:26" ht="18" customHeight="1" x14ac:dyDescent="0.4">
      <c r="A42" s="1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3"/>
    </row>
    <row r="43" spans="1:26" ht="18" customHeight="1" x14ac:dyDescent="0.4">
      <c r="A43" s="1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3"/>
    </row>
    <row r="44" spans="1:26" ht="18" customHeight="1" x14ac:dyDescent="0.4">
      <c r="A44" s="1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3"/>
    </row>
    <row r="45" spans="1:26" ht="18" customHeight="1" x14ac:dyDescent="0.4">
      <c r="A45" s="1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3"/>
    </row>
    <row r="46" spans="1:26" ht="18" customHeight="1" x14ac:dyDescent="0.4">
      <c r="A46" s="1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3"/>
    </row>
    <row r="47" spans="1:26" ht="18" customHeight="1" x14ac:dyDescent="0.4">
      <c r="A47" s="1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3"/>
    </row>
    <row r="48" spans="1:26" ht="18" customHeight="1" x14ac:dyDescent="0.4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3"/>
    </row>
    <row r="49" spans="1:26" ht="18" customHeight="1" x14ac:dyDescent="0.4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3"/>
    </row>
    <row r="50" spans="1:26" ht="18" customHeight="1" x14ac:dyDescent="0.4">
      <c r="A50" s="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3"/>
    </row>
    <row r="51" spans="1:26" ht="18" customHeight="1" x14ac:dyDescent="0.4">
      <c r="A51" s="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3"/>
    </row>
    <row r="52" spans="1:26" ht="18" customHeight="1" x14ac:dyDescent="0.4">
      <c r="A52" s="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3"/>
    </row>
    <row r="53" spans="1:26" ht="18" customHeight="1" x14ac:dyDescent="0.4">
      <c r="A53" s="1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3"/>
    </row>
    <row r="54" spans="1:26" ht="18" customHeight="1" x14ac:dyDescent="0.4">
      <c r="A54" s="1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3"/>
    </row>
    <row r="55" spans="1:26" ht="18" customHeight="1" x14ac:dyDescent="0.4">
      <c r="A55" s="1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3"/>
    </row>
    <row r="56" spans="1:26" ht="18" customHeight="1" x14ac:dyDescent="0.4">
      <c r="A56" s="1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3"/>
    </row>
    <row r="57" spans="1:26" ht="18" customHeight="1" x14ac:dyDescent="0.4">
      <c r="A57" s="1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3"/>
    </row>
    <row r="58" spans="1:26" ht="18" customHeight="1" x14ac:dyDescent="0.4">
      <c r="A58" s="1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3"/>
    </row>
    <row r="59" spans="1:26" ht="18" customHeight="1" x14ac:dyDescent="0.4">
      <c r="A59" s="1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3"/>
    </row>
    <row r="60" spans="1:26" ht="18" customHeight="1" x14ac:dyDescent="0.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spans="1:26" ht="18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</sheetData>
  <mergeCells count="2">
    <mergeCell ref="A22:F22"/>
    <mergeCell ref="A23:F23"/>
  </mergeCells>
  <phoneticPr fontId="2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6E6A"/>
  </sheetPr>
  <dimension ref="A1:Z90"/>
  <sheetViews>
    <sheetView showGridLines="0" workbookViewId="0"/>
  </sheetViews>
  <sheetFormatPr defaultColWidth="8.69921875" defaultRowHeight="17.399999999999999" x14ac:dyDescent="0.4"/>
  <cols>
    <col min="1" max="1" width="24" customWidth="1"/>
    <col min="2" max="4" width="12" customWidth="1"/>
    <col min="5" max="5" width="35" customWidth="1"/>
    <col min="6" max="6" width="12" customWidth="1"/>
    <col min="7" max="26" width="10" customWidth="1"/>
  </cols>
  <sheetData>
    <row r="1" spans="1:26" ht="22.05" customHeight="1" x14ac:dyDescent="0.4">
      <c r="A1" s="111" t="s">
        <v>309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6"/>
    </row>
    <row r="2" spans="1:26" ht="18" customHeight="1" x14ac:dyDescent="0.4">
      <c r="A2" s="165" t="s">
        <v>310</v>
      </c>
      <c r="B2" s="148"/>
      <c r="C2" s="148"/>
      <c r="D2" s="148"/>
      <c r="E2" s="148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28"/>
    </row>
    <row r="3" spans="1:26" ht="18" customHeight="1" x14ac:dyDescent="0.4">
      <c r="A3" s="1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3"/>
    </row>
    <row r="4" spans="1:26" ht="19.95" customHeight="1" x14ac:dyDescent="0.4">
      <c r="A4" s="80" t="s">
        <v>311</v>
      </c>
      <c r="B4" s="5"/>
      <c r="C4" s="5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3"/>
    </row>
    <row r="5" spans="1:26" ht="19.95" customHeight="1" x14ac:dyDescent="0.4">
      <c r="A5" s="53" t="s">
        <v>67</v>
      </c>
      <c r="B5" s="53" t="s">
        <v>4</v>
      </c>
      <c r="C5" s="53" t="s">
        <v>5</v>
      </c>
      <c r="D5" s="53" t="s">
        <v>6</v>
      </c>
      <c r="E5" s="53" t="s">
        <v>170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3"/>
    </row>
    <row r="6" spans="1:26" ht="18" customHeight="1" x14ac:dyDescent="0.4">
      <c r="A6" s="54" t="s">
        <v>182</v>
      </c>
      <c r="B6" s="54" t="s">
        <v>47</v>
      </c>
      <c r="C6" s="115">
        <v>3033</v>
      </c>
      <c r="D6" s="54" t="s">
        <v>48</v>
      </c>
      <c r="E6" s="54" t="s">
        <v>312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3"/>
    </row>
    <row r="7" spans="1:26" ht="18" customHeight="1" x14ac:dyDescent="0.4">
      <c r="A7" s="54" t="s">
        <v>313</v>
      </c>
      <c r="B7" s="54" t="s">
        <v>314</v>
      </c>
      <c r="C7" s="91">
        <f>M2_목표주가_타겟멀티플!$C$7</f>
        <v>26.580000000000002</v>
      </c>
      <c r="D7" s="54" t="s">
        <v>177</v>
      </c>
      <c r="E7" s="54" t="s">
        <v>315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</row>
    <row r="8" spans="1:26" ht="18" customHeight="1" x14ac:dyDescent="0.4">
      <c r="A8" s="54" t="s">
        <v>179</v>
      </c>
      <c r="B8" s="54" t="s">
        <v>180</v>
      </c>
      <c r="C8" s="91">
        <f>'01_p1_투자의견'!B8</f>
        <v>52500</v>
      </c>
      <c r="D8" s="54" t="s">
        <v>48</v>
      </c>
      <c r="E8" s="54" t="s">
        <v>181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3"/>
    </row>
    <row r="9" spans="1:26" ht="18" customHeight="1" x14ac:dyDescent="0.4">
      <c r="A9" s="1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3"/>
    </row>
    <row r="10" spans="1:26" ht="19.95" customHeight="1" x14ac:dyDescent="0.4">
      <c r="A10" s="80" t="s">
        <v>187</v>
      </c>
      <c r="B10" s="5"/>
      <c r="C10" s="5"/>
      <c r="D10" s="5"/>
      <c r="E10" s="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3"/>
    </row>
    <row r="11" spans="1:26" ht="19.95" customHeight="1" x14ac:dyDescent="0.4">
      <c r="A11" s="53" t="s">
        <v>67</v>
      </c>
      <c r="B11" s="53" t="s">
        <v>4</v>
      </c>
      <c r="C11" s="53" t="s">
        <v>188</v>
      </c>
      <c r="D11" s="53" t="s">
        <v>6</v>
      </c>
      <c r="E11" s="53" t="s">
        <v>189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3"/>
    </row>
    <row r="12" spans="1:26" ht="18" customHeight="1" x14ac:dyDescent="0.4">
      <c r="A12" s="54" t="s">
        <v>175</v>
      </c>
      <c r="B12" s="54" t="s">
        <v>190</v>
      </c>
      <c r="C12" s="54">
        <f>$C$6*$C$7</f>
        <v>80617.14</v>
      </c>
      <c r="D12" s="54" t="s">
        <v>48</v>
      </c>
      <c r="E12" s="54" t="s">
        <v>316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3"/>
    </row>
    <row r="13" spans="1:26" ht="18" customHeight="1" x14ac:dyDescent="0.4">
      <c r="A13" s="54" t="s">
        <v>175</v>
      </c>
      <c r="B13" s="54" t="s">
        <v>192</v>
      </c>
      <c r="C13" s="54">
        <f>ROUND($C$12/1000,0)*1000</f>
        <v>81000</v>
      </c>
      <c r="D13" s="54" t="s">
        <v>48</v>
      </c>
      <c r="E13" s="54" t="s">
        <v>317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3"/>
    </row>
    <row r="14" spans="1:26" ht="18" customHeight="1" x14ac:dyDescent="0.4">
      <c r="A14" s="54" t="s">
        <v>175</v>
      </c>
      <c r="B14" s="54" t="s">
        <v>194</v>
      </c>
      <c r="C14" s="54">
        <f>$C$13/$C$8-1</f>
        <v>0.54285714285714293</v>
      </c>
      <c r="D14" s="54" t="s">
        <v>30</v>
      </c>
      <c r="E14" s="54" t="s">
        <v>195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3"/>
    </row>
    <row r="15" spans="1:26" ht="18" customHeight="1" x14ac:dyDescent="0.4">
      <c r="A15" s="1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3"/>
    </row>
    <row r="16" spans="1:26" ht="19.95" customHeight="1" x14ac:dyDescent="0.4">
      <c r="A16" s="80" t="s">
        <v>318</v>
      </c>
      <c r="B16" s="5"/>
      <c r="C16" s="5"/>
      <c r="D16" s="5"/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3"/>
    </row>
    <row r="17" spans="1:26" ht="19.95" customHeight="1" x14ac:dyDescent="0.4">
      <c r="A17" s="53" t="s">
        <v>67</v>
      </c>
      <c r="B17" s="53" t="s">
        <v>4</v>
      </c>
      <c r="C17" s="53" t="s">
        <v>199</v>
      </c>
      <c r="D17" s="53" t="s">
        <v>200</v>
      </c>
      <c r="E17" s="53" t="s">
        <v>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3"/>
    </row>
    <row r="18" spans="1:26" ht="18" customHeight="1" x14ac:dyDescent="0.4">
      <c r="A18" s="54" t="s">
        <v>201</v>
      </c>
      <c r="B18" s="54" t="s">
        <v>319</v>
      </c>
      <c r="C18" s="54">
        <f>$C$13</f>
        <v>81000</v>
      </c>
      <c r="D18" s="54">
        <v>81000</v>
      </c>
      <c r="E18" s="5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3"/>
    </row>
    <row r="19" spans="1:26" ht="18" customHeight="1" x14ac:dyDescent="0.4">
      <c r="A19" s="54" t="s">
        <v>201</v>
      </c>
      <c r="B19" s="54" t="s">
        <v>204</v>
      </c>
      <c r="C19" s="54">
        <f>$C$14</f>
        <v>0.54285714285714293</v>
      </c>
      <c r="D19" s="54">
        <v>0.54300000000000004</v>
      </c>
      <c r="E19" s="5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3"/>
    </row>
    <row r="20" spans="1:26" ht="18" customHeight="1" x14ac:dyDescent="0.4">
      <c r="A20" s="1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3"/>
    </row>
    <row r="21" spans="1:26" ht="18" customHeight="1" x14ac:dyDescent="0.4">
      <c r="A21" s="164" t="s">
        <v>211</v>
      </c>
      <c r="B21" s="148"/>
      <c r="C21" s="148"/>
      <c r="D21" s="148"/>
      <c r="E21" s="14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3"/>
    </row>
    <row r="22" spans="1:26" ht="18" customHeight="1" x14ac:dyDescent="0.4">
      <c r="A22" s="164" t="s">
        <v>320</v>
      </c>
      <c r="B22" s="148"/>
      <c r="C22" s="148"/>
      <c r="D22" s="148"/>
      <c r="E22" s="148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3"/>
    </row>
    <row r="23" spans="1:26" ht="18" customHeight="1" x14ac:dyDescent="0.4">
      <c r="A23" s="1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3"/>
    </row>
    <row r="24" spans="1:26" ht="18" customHeight="1" x14ac:dyDescent="0.4">
      <c r="A24" s="1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3"/>
    </row>
    <row r="25" spans="1:26" ht="18" customHeight="1" x14ac:dyDescent="0.4">
      <c r="A25" s="1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3"/>
    </row>
    <row r="26" spans="1:26" ht="18" customHeight="1" x14ac:dyDescent="0.4">
      <c r="A26" s="1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3"/>
    </row>
    <row r="27" spans="1:26" ht="18" customHeight="1" x14ac:dyDescent="0.4">
      <c r="A27" s="1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3"/>
    </row>
    <row r="28" spans="1:26" ht="18" customHeight="1" x14ac:dyDescent="0.4">
      <c r="A28" s="1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3"/>
    </row>
    <row r="29" spans="1:26" ht="18" customHeight="1" x14ac:dyDescent="0.4">
      <c r="A29" s="1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3"/>
    </row>
    <row r="30" spans="1:26" ht="18" customHeight="1" x14ac:dyDescent="0.4">
      <c r="A30" s="1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3"/>
    </row>
    <row r="31" spans="1:26" ht="18" customHeight="1" x14ac:dyDescent="0.4">
      <c r="A31" s="1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3"/>
    </row>
    <row r="32" spans="1:26" ht="18" customHeight="1" x14ac:dyDescent="0.4">
      <c r="A32" s="1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3"/>
    </row>
    <row r="33" spans="1:26" ht="18" customHeight="1" x14ac:dyDescent="0.4">
      <c r="A33" s="1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3"/>
    </row>
    <row r="34" spans="1:26" ht="18" customHeight="1" x14ac:dyDescent="0.4">
      <c r="A34" s="1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3"/>
    </row>
    <row r="35" spans="1:26" ht="18" customHeight="1" x14ac:dyDescent="0.4">
      <c r="A35" s="1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3"/>
    </row>
    <row r="36" spans="1:26" ht="18" customHeight="1" x14ac:dyDescent="0.4">
      <c r="A36" s="1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3"/>
    </row>
    <row r="37" spans="1:26" ht="18" customHeight="1" x14ac:dyDescent="0.4">
      <c r="A37" s="1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3"/>
    </row>
    <row r="38" spans="1:26" ht="18" customHeight="1" x14ac:dyDescent="0.4">
      <c r="A38" s="1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3"/>
    </row>
    <row r="39" spans="1:26" ht="18" customHeight="1" x14ac:dyDescent="0.4">
      <c r="A39" s="1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3"/>
    </row>
    <row r="40" spans="1:26" ht="18" customHeight="1" x14ac:dyDescent="0.4">
      <c r="A40" s="1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3"/>
    </row>
    <row r="41" spans="1:26" ht="18" customHeight="1" x14ac:dyDescent="0.4">
      <c r="A41" s="1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3"/>
    </row>
    <row r="42" spans="1:26" ht="18" customHeight="1" x14ac:dyDescent="0.4">
      <c r="A42" s="1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3"/>
    </row>
    <row r="43" spans="1:26" ht="18" customHeight="1" x14ac:dyDescent="0.4">
      <c r="A43" s="1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3"/>
    </row>
    <row r="44" spans="1:26" ht="18" customHeight="1" x14ac:dyDescent="0.4">
      <c r="A44" s="1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3"/>
    </row>
    <row r="45" spans="1:26" ht="18" customHeight="1" x14ac:dyDescent="0.4">
      <c r="A45" s="1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3"/>
    </row>
    <row r="46" spans="1:26" ht="18" customHeight="1" x14ac:dyDescent="0.4">
      <c r="A46" s="1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3"/>
    </row>
    <row r="47" spans="1:26" ht="18" customHeight="1" x14ac:dyDescent="0.4">
      <c r="A47" s="1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3"/>
    </row>
    <row r="48" spans="1:26" ht="18" customHeight="1" x14ac:dyDescent="0.4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3"/>
    </row>
    <row r="49" spans="1:26" ht="18" customHeight="1" x14ac:dyDescent="0.4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3"/>
    </row>
    <row r="50" spans="1:26" ht="18" customHeight="1" x14ac:dyDescent="0.4">
      <c r="A50" s="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3"/>
    </row>
    <row r="51" spans="1:26" ht="18" customHeight="1" x14ac:dyDescent="0.4">
      <c r="A51" s="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3"/>
    </row>
    <row r="52" spans="1:26" ht="18" customHeight="1" x14ac:dyDescent="0.4">
      <c r="A52" s="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3"/>
    </row>
    <row r="53" spans="1:26" ht="18" customHeight="1" x14ac:dyDescent="0.4">
      <c r="A53" s="1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3"/>
    </row>
    <row r="54" spans="1:26" ht="18" customHeight="1" x14ac:dyDescent="0.4">
      <c r="A54" s="1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3"/>
    </row>
    <row r="55" spans="1:26" ht="18" customHeight="1" x14ac:dyDescent="0.4">
      <c r="A55" s="1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3"/>
    </row>
    <row r="56" spans="1:26" ht="18" customHeight="1" x14ac:dyDescent="0.4">
      <c r="A56" s="1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3"/>
    </row>
    <row r="57" spans="1:26" ht="18" customHeight="1" x14ac:dyDescent="0.4">
      <c r="A57" s="1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3"/>
    </row>
    <row r="58" spans="1:26" ht="18" customHeight="1" x14ac:dyDescent="0.4">
      <c r="A58" s="1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3"/>
    </row>
    <row r="59" spans="1:26" ht="18" customHeight="1" x14ac:dyDescent="0.4">
      <c r="A59" s="1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3"/>
    </row>
    <row r="60" spans="1:26" ht="18" customHeight="1" x14ac:dyDescent="0.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spans="1:26" ht="18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</sheetData>
  <mergeCells count="3">
    <mergeCell ref="A2:E2"/>
    <mergeCell ref="A22:E22"/>
    <mergeCell ref="A21:E21"/>
  </mergeCells>
  <phoneticPr fontId="2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6E6A"/>
  </sheetPr>
  <dimension ref="A1:Z90"/>
  <sheetViews>
    <sheetView showGridLines="0" workbookViewId="0"/>
  </sheetViews>
  <sheetFormatPr defaultColWidth="8.69921875" defaultRowHeight="17.399999999999999" x14ac:dyDescent="0.4"/>
  <cols>
    <col min="1" max="1" width="24" customWidth="1"/>
    <col min="2" max="4" width="12" customWidth="1"/>
    <col min="5" max="5" width="35" customWidth="1"/>
    <col min="6" max="6" width="12" customWidth="1"/>
    <col min="7" max="26" width="10" customWidth="1"/>
  </cols>
  <sheetData>
    <row r="1" spans="1:26" ht="22.05" customHeight="1" x14ac:dyDescent="0.4">
      <c r="A1" s="111" t="s">
        <v>321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6"/>
    </row>
    <row r="2" spans="1:26" ht="18" customHeight="1" x14ac:dyDescent="0.4">
      <c r="A2" s="165" t="s">
        <v>322</v>
      </c>
      <c r="B2" s="148"/>
      <c r="C2" s="148"/>
      <c r="D2" s="148"/>
      <c r="E2" s="148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28"/>
    </row>
    <row r="3" spans="1:26" ht="18" customHeight="1" x14ac:dyDescent="0.4">
      <c r="A3" s="1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3"/>
    </row>
    <row r="4" spans="1:26" ht="19.95" customHeight="1" x14ac:dyDescent="0.4">
      <c r="A4" s="73" t="s">
        <v>323</v>
      </c>
      <c r="B4" s="73" t="s">
        <v>324</v>
      </c>
      <c r="C4" s="74"/>
      <c r="D4" s="74"/>
      <c r="E4" s="73" t="s">
        <v>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3"/>
    </row>
    <row r="5" spans="1:26" ht="19.95" customHeight="1" x14ac:dyDescent="0.4">
      <c r="A5" s="53" t="s">
        <v>325</v>
      </c>
      <c r="B5" s="113">
        <v>30</v>
      </c>
      <c r="C5" s="114"/>
      <c r="D5" s="114"/>
      <c r="E5" s="53" t="s">
        <v>326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3"/>
    </row>
    <row r="6" spans="1:26" ht="18" customHeight="1" x14ac:dyDescent="0.4">
      <c r="A6" s="54" t="s">
        <v>327</v>
      </c>
      <c r="B6" s="115">
        <v>25</v>
      </c>
      <c r="C6" s="56"/>
      <c r="D6" s="56"/>
      <c r="E6" s="54" t="s">
        <v>326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3"/>
    </row>
    <row r="7" spans="1:26" ht="18" customHeight="1" x14ac:dyDescent="0.4">
      <c r="A7" s="54" t="s">
        <v>328</v>
      </c>
      <c r="B7" s="115">
        <v>20</v>
      </c>
      <c r="C7" s="56"/>
      <c r="D7" s="56"/>
      <c r="E7" s="54" t="s">
        <v>326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</row>
    <row r="8" spans="1:26" ht="18" customHeight="1" x14ac:dyDescent="0.4">
      <c r="A8" s="54" t="s">
        <v>329</v>
      </c>
      <c r="B8" s="115">
        <v>15</v>
      </c>
      <c r="C8" s="56"/>
      <c r="D8" s="56"/>
      <c r="E8" s="54" t="s">
        <v>326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3"/>
    </row>
    <row r="9" spans="1:26" ht="18" customHeight="1" x14ac:dyDescent="0.4">
      <c r="A9" s="54" t="s">
        <v>330</v>
      </c>
      <c r="B9" s="115">
        <v>10</v>
      </c>
      <c r="C9" s="56"/>
      <c r="D9" s="56"/>
      <c r="E9" s="54" t="s">
        <v>326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3"/>
    </row>
    <row r="10" spans="1:26" ht="19.95" customHeight="1" x14ac:dyDescent="0.4">
      <c r="A10" s="20"/>
      <c r="B10" s="5"/>
      <c r="C10" s="5"/>
      <c r="D10" s="5"/>
      <c r="E10" s="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3"/>
    </row>
    <row r="11" spans="1:26" ht="19.95" customHeight="1" x14ac:dyDescent="0.4">
      <c r="A11" s="119" t="s">
        <v>211</v>
      </c>
      <c r="B11" s="7"/>
      <c r="C11" s="7"/>
      <c r="D11" s="7"/>
      <c r="E11" s="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3"/>
    </row>
    <row r="12" spans="1:26" ht="18" customHeight="1" x14ac:dyDescent="0.4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3"/>
    </row>
    <row r="13" spans="1:26" ht="18" customHeight="1" x14ac:dyDescent="0.4">
      <c r="A13" s="116" t="s">
        <v>331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3"/>
    </row>
    <row r="14" spans="1:26" ht="18" customHeight="1" x14ac:dyDescent="0.4">
      <c r="A14" s="54" t="s">
        <v>323</v>
      </c>
      <c r="B14" s="54" t="s">
        <v>324</v>
      </c>
      <c r="C14" s="54" t="s">
        <v>332</v>
      </c>
      <c r="D14" s="54" t="s">
        <v>333</v>
      </c>
      <c r="E14" s="54" t="s">
        <v>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3"/>
    </row>
    <row r="15" spans="1:26" ht="18" customHeight="1" x14ac:dyDescent="0.4">
      <c r="A15" s="54" t="s">
        <v>325</v>
      </c>
      <c r="B15" s="54">
        <f>$B$5</f>
        <v>30</v>
      </c>
      <c r="C15" s="91">
        <f>$B15*'14_p4_투자지표'!$E$6</f>
        <v>90990</v>
      </c>
      <c r="D15" s="91">
        <f>$C15/'05_도표1_Valuation'!$C$8-1</f>
        <v>0.7331428571428571</v>
      </c>
      <c r="E15" s="54" t="s">
        <v>334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3"/>
    </row>
    <row r="16" spans="1:26" ht="19.95" customHeight="1" x14ac:dyDescent="0.4">
      <c r="A16" s="73" t="s">
        <v>327</v>
      </c>
      <c r="B16" s="120">
        <f>$B$6</f>
        <v>25</v>
      </c>
      <c r="C16" s="121">
        <f>$B16*'14_p4_투자지표'!$E$6</f>
        <v>75825</v>
      </c>
      <c r="D16" s="121">
        <f>$C16/'05_도표1_Valuation'!$C$8-1</f>
        <v>0.44428571428571439</v>
      </c>
      <c r="E16" s="73" t="s">
        <v>334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3"/>
    </row>
    <row r="17" spans="1:26" ht="19.95" customHeight="1" x14ac:dyDescent="0.4">
      <c r="A17" s="53" t="s">
        <v>328</v>
      </c>
      <c r="B17" s="122">
        <f>$B$7</f>
        <v>20</v>
      </c>
      <c r="C17" s="99">
        <f>$B17*'14_p4_투자지표'!$E$6</f>
        <v>60660</v>
      </c>
      <c r="D17" s="99">
        <f>$C17/'05_도표1_Valuation'!$C$8-1</f>
        <v>0.15542857142857147</v>
      </c>
      <c r="E17" s="53" t="s">
        <v>334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3"/>
    </row>
    <row r="18" spans="1:26" ht="18" customHeight="1" x14ac:dyDescent="0.4">
      <c r="A18" s="54" t="s">
        <v>329</v>
      </c>
      <c r="B18" s="54">
        <f>$B$8</f>
        <v>15</v>
      </c>
      <c r="C18" s="91">
        <f>$B18*'14_p4_투자지표'!$E$6</f>
        <v>45495</v>
      </c>
      <c r="D18" s="91">
        <f>$C18/'05_도표1_Valuation'!$C$8-1</f>
        <v>-0.13342857142857145</v>
      </c>
      <c r="E18" s="54" t="s">
        <v>334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3"/>
    </row>
    <row r="19" spans="1:26" ht="18" customHeight="1" x14ac:dyDescent="0.4">
      <c r="A19" s="54" t="s">
        <v>330</v>
      </c>
      <c r="B19" s="54">
        <f>$B$9</f>
        <v>10</v>
      </c>
      <c r="C19" s="91">
        <f>$B19*'14_p4_투자지표'!$E$6</f>
        <v>30330</v>
      </c>
      <c r="D19" s="91">
        <f>$C19/'05_도표1_Valuation'!$C$8-1</f>
        <v>-0.42228571428571426</v>
      </c>
      <c r="E19" s="54" t="s">
        <v>334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3"/>
    </row>
    <row r="20" spans="1:26" ht="18" customHeight="1" x14ac:dyDescent="0.4">
      <c r="A20" s="1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3"/>
    </row>
    <row r="21" spans="1:26" ht="18" customHeight="1" x14ac:dyDescent="0.4">
      <c r="A21" s="164" t="s">
        <v>335</v>
      </c>
      <c r="B21" s="148"/>
      <c r="C21" s="148"/>
      <c r="D21" s="148"/>
      <c r="E21" s="14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3"/>
    </row>
    <row r="22" spans="1:26" ht="18" customHeight="1" x14ac:dyDescent="0.4">
      <c r="A22" s="1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3"/>
    </row>
    <row r="23" spans="1:26" ht="18" customHeight="1" x14ac:dyDescent="0.4">
      <c r="A23" s="1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3"/>
    </row>
    <row r="24" spans="1:26" ht="18" customHeight="1" x14ac:dyDescent="0.4">
      <c r="A24" s="1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3"/>
    </row>
    <row r="25" spans="1:26" ht="18" customHeight="1" x14ac:dyDescent="0.4">
      <c r="A25" s="1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3"/>
    </row>
    <row r="26" spans="1:26" ht="18" customHeight="1" x14ac:dyDescent="0.4">
      <c r="A26" s="1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3"/>
    </row>
    <row r="27" spans="1:26" ht="18" customHeight="1" x14ac:dyDescent="0.4">
      <c r="A27" s="1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3"/>
    </row>
    <row r="28" spans="1:26" ht="18" customHeight="1" x14ac:dyDescent="0.4">
      <c r="A28" s="1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3"/>
    </row>
    <row r="29" spans="1:26" ht="18" customHeight="1" x14ac:dyDescent="0.4">
      <c r="A29" s="1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3"/>
    </row>
    <row r="30" spans="1:26" ht="18" customHeight="1" x14ac:dyDescent="0.4">
      <c r="A30" s="1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3"/>
    </row>
    <row r="31" spans="1:26" ht="18" customHeight="1" x14ac:dyDescent="0.4">
      <c r="A31" s="1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3"/>
    </row>
    <row r="32" spans="1:26" ht="18" customHeight="1" x14ac:dyDescent="0.4">
      <c r="A32" s="1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3"/>
    </row>
    <row r="33" spans="1:26" ht="18" customHeight="1" x14ac:dyDescent="0.4">
      <c r="A33" s="1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3"/>
    </row>
    <row r="34" spans="1:26" ht="18" customHeight="1" x14ac:dyDescent="0.4">
      <c r="A34" s="1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3"/>
    </row>
    <row r="35" spans="1:26" ht="18" customHeight="1" x14ac:dyDescent="0.4">
      <c r="A35" s="1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3"/>
    </row>
    <row r="36" spans="1:26" ht="18" customHeight="1" x14ac:dyDescent="0.4">
      <c r="A36" s="1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3"/>
    </row>
    <row r="37" spans="1:26" ht="18" customHeight="1" x14ac:dyDescent="0.4">
      <c r="A37" s="1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3"/>
    </row>
    <row r="38" spans="1:26" ht="18" customHeight="1" x14ac:dyDescent="0.4">
      <c r="A38" s="1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3"/>
    </row>
    <row r="39" spans="1:26" ht="18" customHeight="1" x14ac:dyDescent="0.4">
      <c r="A39" s="1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3"/>
    </row>
    <row r="40" spans="1:26" ht="18" customHeight="1" x14ac:dyDescent="0.4">
      <c r="A40" s="1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3"/>
    </row>
    <row r="41" spans="1:26" ht="18" customHeight="1" x14ac:dyDescent="0.4">
      <c r="A41" s="1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3"/>
    </row>
    <row r="42" spans="1:26" ht="18" customHeight="1" x14ac:dyDescent="0.4">
      <c r="A42" s="1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3"/>
    </row>
    <row r="43" spans="1:26" ht="18" customHeight="1" x14ac:dyDescent="0.4">
      <c r="A43" s="1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3"/>
    </row>
    <row r="44" spans="1:26" ht="18" customHeight="1" x14ac:dyDescent="0.4">
      <c r="A44" s="1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3"/>
    </row>
    <row r="45" spans="1:26" ht="18" customHeight="1" x14ac:dyDescent="0.4">
      <c r="A45" s="1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3"/>
    </row>
    <row r="46" spans="1:26" ht="18" customHeight="1" x14ac:dyDescent="0.4">
      <c r="A46" s="1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3"/>
    </row>
    <row r="47" spans="1:26" ht="18" customHeight="1" x14ac:dyDescent="0.4">
      <c r="A47" s="1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3"/>
    </row>
    <row r="48" spans="1:26" ht="18" customHeight="1" x14ac:dyDescent="0.4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3"/>
    </row>
    <row r="49" spans="1:26" ht="18" customHeight="1" x14ac:dyDescent="0.4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3"/>
    </row>
    <row r="50" spans="1:26" ht="18" customHeight="1" x14ac:dyDescent="0.4">
      <c r="A50" s="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3"/>
    </row>
    <row r="51" spans="1:26" ht="18" customHeight="1" x14ac:dyDescent="0.4">
      <c r="A51" s="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3"/>
    </row>
    <row r="52" spans="1:26" ht="18" customHeight="1" x14ac:dyDescent="0.4">
      <c r="A52" s="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3"/>
    </row>
    <row r="53" spans="1:26" ht="18" customHeight="1" x14ac:dyDescent="0.4">
      <c r="A53" s="1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3"/>
    </row>
    <row r="54" spans="1:26" ht="18" customHeight="1" x14ac:dyDescent="0.4">
      <c r="A54" s="1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3"/>
    </row>
    <row r="55" spans="1:26" ht="18" customHeight="1" x14ac:dyDescent="0.4">
      <c r="A55" s="1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3"/>
    </row>
    <row r="56" spans="1:26" ht="18" customHeight="1" x14ac:dyDescent="0.4">
      <c r="A56" s="1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3"/>
    </row>
    <row r="57" spans="1:26" ht="18" customHeight="1" x14ac:dyDescent="0.4">
      <c r="A57" s="1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3"/>
    </row>
    <row r="58" spans="1:26" ht="18" customHeight="1" x14ac:dyDescent="0.4">
      <c r="A58" s="1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3"/>
    </row>
    <row r="59" spans="1:26" ht="18" customHeight="1" x14ac:dyDescent="0.4">
      <c r="A59" s="1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3"/>
    </row>
    <row r="60" spans="1:26" ht="18" customHeight="1" x14ac:dyDescent="0.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spans="1:26" ht="18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</sheetData>
  <mergeCells count="2">
    <mergeCell ref="A2:E2"/>
    <mergeCell ref="A21:E21"/>
  </mergeCells>
  <phoneticPr fontId="2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6E6A"/>
  </sheetPr>
  <dimension ref="A1:Z90"/>
  <sheetViews>
    <sheetView showGridLines="0" workbookViewId="0"/>
  </sheetViews>
  <sheetFormatPr defaultColWidth="8.69921875" defaultRowHeight="17.399999999999999" x14ac:dyDescent="0.4"/>
  <cols>
    <col min="1" max="1" width="24" customWidth="1"/>
    <col min="2" max="4" width="12" customWidth="1"/>
    <col min="5" max="5" width="35" customWidth="1"/>
    <col min="6" max="6" width="12" customWidth="1"/>
    <col min="7" max="26" width="10" customWidth="1"/>
  </cols>
  <sheetData>
    <row r="1" spans="1:26" ht="22.05" customHeight="1" x14ac:dyDescent="0.4">
      <c r="A1" s="111" t="s">
        <v>336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6"/>
    </row>
    <row r="2" spans="1:26" ht="18" customHeight="1" x14ac:dyDescent="0.4">
      <c r="A2" s="165" t="s">
        <v>322</v>
      </c>
      <c r="B2" s="148"/>
      <c r="C2" s="148"/>
      <c r="D2" s="148"/>
      <c r="E2" s="148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28"/>
    </row>
    <row r="3" spans="1:26" ht="18" customHeight="1" x14ac:dyDescent="0.4">
      <c r="A3" s="1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3"/>
    </row>
    <row r="4" spans="1:26" ht="19.95" customHeight="1" x14ac:dyDescent="0.4">
      <c r="A4" s="73" t="s">
        <v>323</v>
      </c>
      <c r="B4" s="73" t="s">
        <v>324</v>
      </c>
      <c r="C4" s="74"/>
      <c r="D4" s="74"/>
      <c r="E4" s="73" t="s">
        <v>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3"/>
    </row>
    <row r="5" spans="1:26" ht="19.95" customHeight="1" x14ac:dyDescent="0.4">
      <c r="A5" s="53" t="s">
        <v>325</v>
      </c>
      <c r="B5" s="113">
        <v>2.6</v>
      </c>
      <c r="C5" s="114"/>
      <c r="D5" s="114"/>
      <c r="E5" s="53" t="s">
        <v>326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3"/>
    </row>
    <row r="6" spans="1:26" ht="18" customHeight="1" x14ac:dyDescent="0.4">
      <c r="A6" s="54" t="s">
        <v>327</v>
      </c>
      <c r="B6" s="115">
        <v>2.1</v>
      </c>
      <c r="C6" s="56"/>
      <c r="D6" s="56"/>
      <c r="E6" s="54" t="s">
        <v>326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3"/>
    </row>
    <row r="7" spans="1:26" ht="18" customHeight="1" x14ac:dyDescent="0.4">
      <c r="A7" s="54" t="s">
        <v>328</v>
      </c>
      <c r="B7" s="115">
        <v>1.7</v>
      </c>
      <c r="C7" s="56"/>
      <c r="D7" s="56"/>
      <c r="E7" s="54" t="s">
        <v>326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</row>
    <row r="8" spans="1:26" ht="18" customHeight="1" x14ac:dyDescent="0.4">
      <c r="A8" s="54" t="s">
        <v>329</v>
      </c>
      <c r="B8" s="115">
        <v>1.2</v>
      </c>
      <c r="C8" s="56"/>
      <c r="D8" s="56"/>
      <c r="E8" s="54" t="s">
        <v>326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3"/>
    </row>
    <row r="9" spans="1:26" ht="18" customHeight="1" x14ac:dyDescent="0.4">
      <c r="A9" s="54" t="s">
        <v>330</v>
      </c>
      <c r="B9" s="115">
        <v>0.8</v>
      </c>
      <c r="C9" s="56"/>
      <c r="D9" s="56"/>
      <c r="E9" s="54" t="s">
        <v>326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3"/>
    </row>
    <row r="10" spans="1:26" ht="19.95" customHeight="1" x14ac:dyDescent="0.4">
      <c r="A10" s="20"/>
      <c r="B10" s="5"/>
      <c r="C10" s="5"/>
      <c r="D10" s="5"/>
      <c r="E10" s="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3"/>
    </row>
    <row r="11" spans="1:26" ht="19.95" customHeight="1" x14ac:dyDescent="0.4">
      <c r="A11" s="119" t="s">
        <v>211</v>
      </c>
      <c r="B11" s="7"/>
      <c r="C11" s="7"/>
      <c r="D11" s="7"/>
      <c r="E11" s="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3"/>
    </row>
    <row r="12" spans="1:26" ht="18" customHeight="1" x14ac:dyDescent="0.4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3"/>
    </row>
    <row r="13" spans="1:26" ht="18" customHeight="1" x14ac:dyDescent="0.4">
      <c r="A13" s="116" t="s">
        <v>331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3"/>
    </row>
    <row r="14" spans="1:26" ht="18" customHeight="1" x14ac:dyDescent="0.4">
      <c r="A14" s="54" t="s">
        <v>323</v>
      </c>
      <c r="B14" s="54" t="s">
        <v>324</v>
      </c>
      <c r="C14" s="54" t="s">
        <v>332</v>
      </c>
      <c r="D14" s="54" t="s">
        <v>333</v>
      </c>
      <c r="E14" s="54" t="s">
        <v>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3"/>
    </row>
    <row r="15" spans="1:26" ht="18" customHeight="1" x14ac:dyDescent="0.4">
      <c r="A15" s="54" t="s">
        <v>325</v>
      </c>
      <c r="B15" s="54">
        <f>$B$5</f>
        <v>2.6</v>
      </c>
      <c r="C15" s="91">
        <f>$B15*'14_p4_투자지표'!$E$7</f>
        <v>52036.4</v>
      </c>
      <c r="D15" s="91">
        <f>$C15/'05_도표1_Valuation'!$C$8-1</f>
        <v>-8.8304761904761664E-3</v>
      </c>
      <c r="E15" s="54" t="s">
        <v>337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3"/>
    </row>
    <row r="16" spans="1:26" ht="19.95" customHeight="1" x14ac:dyDescent="0.4">
      <c r="A16" s="73" t="s">
        <v>327</v>
      </c>
      <c r="B16" s="120">
        <f>$B$6</f>
        <v>2.1</v>
      </c>
      <c r="C16" s="121">
        <f>$B16*'14_p4_투자지표'!$E$7</f>
        <v>42029.4</v>
      </c>
      <c r="D16" s="121">
        <f>$C16/'05_도표1_Valuation'!$C$8-1</f>
        <v>-0.19943999999999995</v>
      </c>
      <c r="E16" s="73" t="s">
        <v>337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3"/>
    </row>
    <row r="17" spans="1:26" ht="19.95" customHeight="1" x14ac:dyDescent="0.4">
      <c r="A17" s="53" t="s">
        <v>328</v>
      </c>
      <c r="B17" s="122">
        <f>$B$7</f>
        <v>1.7</v>
      </c>
      <c r="C17" s="99">
        <f>$B17*'14_p4_투자지표'!$E$7</f>
        <v>34023.799999999996</v>
      </c>
      <c r="D17" s="99">
        <f>$C17/'05_도표1_Valuation'!$C$8-1</f>
        <v>-0.35192761904761916</v>
      </c>
      <c r="E17" s="53" t="s">
        <v>337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3"/>
    </row>
    <row r="18" spans="1:26" ht="18" customHeight="1" x14ac:dyDescent="0.4">
      <c r="A18" s="54" t="s">
        <v>329</v>
      </c>
      <c r="B18" s="54">
        <f>$B$8</f>
        <v>1.2</v>
      </c>
      <c r="C18" s="91">
        <f>$B18*'14_p4_투자지표'!$E$7</f>
        <v>24016.799999999999</v>
      </c>
      <c r="D18" s="91">
        <f>$C18/'05_도표1_Valuation'!$C$8-1</f>
        <v>-0.54253714285714283</v>
      </c>
      <c r="E18" s="54" t="s">
        <v>337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3"/>
    </row>
    <row r="19" spans="1:26" ht="18" customHeight="1" x14ac:dyDescent="0.4">
      <c r="A19" s="54" t="s">
        <v>330</v>
      </c>
      <c r="B19" s="54">
        <f>$B$9</f>
        <v>0.8</v>
      </c>
      <c r="C19" s="91">
        <f>$B19*'14_p4_투자지표'!$E$7</f>
        <v>16011.2</v>
      </c>
      <c r="D19" s="91">
        <f>$C19/'05_도표1_Valuation'!$C$8-1</f>
        <v>-0.69502476190476181</v>
      </c>
      <c r="E19" s="54" t="s">
        <v>337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3"/>
    </row>
    <row r="20" spans="1:26" ht="18" customHeight="1" x14ac:dyDescent="0.4">
      <c r="A20" s="1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3"/>
    </row>
    <row r="21" spans="1:26" ht="18" customHeight="1" x14ac:dyDescent="0.4">
      <c r="A21" s="164" t="s">
        <v>335</v>
      </c>
      <c r="B21" s="148"/>
      <c r="C21" s="148"/>
      <c r="D21" s="148"/>
      <c r="E21" s="14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3"/>
    </row>
    <row r="22" spans="1:26" ht="18" customHeight="1" x14ac:dyDescent="0.4">
      <c r="A22" s="1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3"/>
    </row>
    <row r="23" spans="1:26" ht="18" customHeight="1" x14ac:dyDescent="0.4">
      <c r="A23" s="1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3"/>
    </row>
    <row r="24" spans="1:26" ht="18" customHeight="1" x14ac:dyDescent="0.4">
      <c r="A24" s="1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3"/>
    </row>
    <row r="25" spans="1:26" ht="18" customHeight="1" x14ac:dyDescent="0.4">
      <c r="A25" s="1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3"/>
    </row>
    <row r="26" spans="1:26" ht="18" customHeight="1" x14ac:dyDescent="0.4">
      <c r="A26" s="1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3"/>
    </row>
    <row r="27" spans="1:26" ht="18" customHeight="1" x14ac:dyDescent="0.4">
      <c r="A27" s="1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3"/>
    </row>
    <row r="28" spans="1:26" ht="18" customHeight="1" x14ac:dyDescent="0.4">
      <c r="A28" s="1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3"/>
    </row>
    <row r="29" spans="1:26" ht="18" customHeight="1" x14ac:dyDescent="0.4">
      <c r="A29" s="1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3"/>
    </row>
    <row r="30" spans="1:26" ht="18" customHeight="1" x14ac:dyDescent="0.4">
      <c r="A30" s="1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3"/>
    </row>
    <row r="31" spans="1:26" ht="18" customHeight="1" x14ac:dyDescent="0.4">
      <c r="A31" s="1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3"/>
    </row>
    <row r="32" spans="1:26" ht="18" customHeight="1" x14ac:dyDescent="0.4">
      <c r="A32" s="1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3"/>
    </row>
    <row r="33" spans="1:26" ht="18" customHeight="1" x14ac:dyDescent="0.4">
      <c r="A33" s="1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3"/>
    </row>
    <row r="34" spans="1:26" ht="18" customHeight="1" x14ac:dyDescent="0.4">
      <c r="A34" s="1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3"/>
    </row>
    <row r="35" spans="1:26" ht="18" customHeight="1" x14ac:dyDescent="0.4">
      <c r="A35" s="1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3"/>
    </row>
    <row r="36" spans="1:26" ht="18" customHeight="1" x14ac:dyDescent="0.4">
      <c r="A36" s="1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3"/>
    </row>
    <row r="37" spans="1:26" ht="18" customHeight="1" x14ac:dyDescent="0.4">
      <c r="A37" s="1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3"/>
    </row>
    <row r="38" spans="1:26" ht="18" customHeight="1" x14ac:dyDescent="0.4">
      <c r="A38" s="1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3"/>
    </row>
    <row r="39" spans="1:26" ht="18" customHeight="1" x14ac:dyDescent="0.4">
      <c r="A39" s="1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3"/>
    </row>
    <row r="40" spans="1:26" ht="18" customHeight="1" x14ac:dyDescent="0.4">
      <c r="A40" s="1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3"/>
    </row>
    <row r="41" spans="1:26" ht="18" customHeight="1" x14ac:dyDescent="0.4">
      <c r="A41" s="1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3"/>
    </row>
    <row r="42" spans="1:26" ht="18" customHeight="1" x14ac:dyDescent="0.4">
      <c r="A42" s="1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3"/>
    </row>
    <row r="43" spans="1:26" ht="18" customHeight="1" x14ac:dyDescent="0.4">
      <c r="A43" s="1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3"/>
    </row>
    <row r="44" spans="1:26" ht="18" customHeight="1" x14ac:dyDescent="0.4">
      <c r="A44" s="1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3"/>
    </row>
    <row r="45" spans="1:26" ht="18" customHeight="1" x14ac:dyDescent="0.4">
      <c r="A45" s="1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3"/>
    </row>
    <row r="46" spans="1:26" ht="18" customHeight="1" x14ac:dyDescent="0.4">
      <c r="A46" s="1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3"/>
    </row>
    <row r="47" spans="1:26" ht="18" customHeight="1" x14ac:dyDescent="0.4">
      <c r="A47" s="1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3"/>
    </row>
    <row r="48" spans="1:26" ht="18" customHeight="1" x14ac:dyDescent="0.4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3"/>
    </row>
    <row r="49" spans="1:26" ht="18" customHeight="1" x14ac:dyDescent="0.4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3"/>
    </row>
    <row r="50" spans="1:26" ht="18" customHeight="1" x14ac:dyDescent="0.4">
      <c r="A50" s="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3"/>
    </row>
    <row r="51" spans="1:26" ht="18" customHeight="1" x14ac:dyDescent="0.4">
      <c r="A51" s="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3"/>
    </row>
    <row r="52" spans="1:26" ht="18" customHeight="1" x14ac:dyDescent="0.4">
      <c r="A52" s="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3"/>
    </row>
    <row r="53" spans="1:26" ht="18" customHeight="1" x14ac:dyDescent="0.4">
      <c r="A53" s="1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3"/>
    </row>
    <row r="54" spans="1:26" ht="18" customHeight="1" x14ac:dyDescent="0.4">
      <c r="A54" s="1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3"/>
    </row>
    <row r="55" spans="1:26" ht="18" customHeight="1" x14ac:dyDescent="0.4">
      <c r="A55" s="1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3"/>
    </row>
    <row r="56" spans="1:26" ht="18" customHeight="1" x14ac:dyDescent="0.4">
      <c r="A56" s="1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3"/>
    </row>
    <row r="57" spans="1:26" ht="18" customHeight="1" x14ac:dyDescent="0.4">
      <c r="A57" s="1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3"/>
    </row>
    <row r="58" spans="1:26" ht="18" customHeight="1" x14ac:dyDescent="0.4">
      <c r="A58" s="1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3"/>
    </row>
    <row r="59" spans="1:26" ht="18" customHeight="1" x14ac:dyDescent="0.4">
      <c r="A59" s="1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3"/>
    </row>
    <row r="60" spans="1:26" ht="18" customHeight="1" x14ac:dyDescent="0.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spans="1:26" ht="18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</sheetData>
  <mergeCells count="2">
    <mergeCell ref="A2:E2"/>
    <mergeCell ref="A21:E21"/>
  </mergeCells>
  <phoneticPr fontId="2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6E6A"/>
  </sheetPr>
  <dimension ref="A1:Z90"/>
  <sheetViews>
    <sheetView showGridLines="0" workbookViewId="0"/>
  </sheetViews>
  <sheetFormatPr defaultColWidth="8.69921875" defaultRowHeight="17.399999999999999" x14ac:dyDescent="0.4"/>
  <cols>
    <col min="1" max="1" width="20" customWidth="1"/>
    <col min="2" max="26" width="10" customWidth="1"/>
  </cols>
  <sheetData>
    <row r="1" spans="1:26" ht="22.05" customHeight="1" x14ac:dyDescent="0.4">
      <c r="A1" s="49" t="s">
        <v>338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1"/>
    </row>
    <row r="2" spans="1:26" ht="18" customHeight="1" x14ac:dyDescent="0.4">
      <c r="A2" s="166" t="s">
        <v>339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"/>
    </row>
    <row r="3" spans="1:26" ht="18" customHeight="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95" customHeight="1" x14ac:dyDescent="0.4">
      <c r="A4" s="53" t="s">
        <v>67</v>
      </c>
      <c r="B4" s="53" t="s">
        <v>340</v>
      </c>
      <c r="C4" s="53" t="s">
        <v>341</v>
      </c>
      <c r="D4" s="53" t="s">
        <v>342</v>
      </c>
      <c r="E4" s="53" t="s">
        <v>343</v>
      </c>
      <c r="F4" s="53" t="s">
        <v>344</v>
      </c>
      <c r="G4" s="53" t="s">
        <v>345</v>
      </c>
      <c r="H4" s="53" t="s">
        <v>346</v>
      </c>
      <c r="I4" s="53" t="s">
        <v>347</v>
      </c>
      <c r="J4" s="53" t="s">
        <v>348</v>
      </c>
      <c r="K4" s="53" t="s">
        <v>349</v>
      </c>
      <c r="L4" s="53" t="s">
        <v>350</v>
      </c>
      <c r="M4" s="53" t="s">
        <v>351</v>
      </c>
      <c r="N4" s="53" t="s">
        <v>352</v>
      </c>
      <c r="O4" s="53" t="s">
        <v>353</v>
      </c>
      <c r="P4" s="53" t="s">
        <v>354</v>
      </c>
      <c r="Q4" s="53" t="s">
        <v>355</v>
      </c>
      <c r="R4" s="53" t="s">
        <v>12</v>
      </c>
      <c r="S4" s="53" t="s">
        <v>13</v>
      </c>
      <c r="T4" s="53" t="s">
        <v>14</v>
      </c>
      <c r="U4" s="53" t="s">
        <v>15</v>
      </c>
      <c r="V4" s="53" t="s">
        <v>356</v>
      </c>
      <c r="W4" s="53" t="s">
        <v>357</v>
      </c>
      <c r="X4" s="53" t="s">
        <v>358</v>
      </c>
      <c r="Y4" s="53" t="s">
        <v>359</v>
      </c>
      <c r="Z4" s="1"/>
    </row>
    <row r="5" spans="1:26" ht="18" customHeight="1" x14ac:dyDescent="0.4">
      <c r="A5" s="54" t="s">
        <v>43</v>
      </c>
      <c r="B5" s="123">
        <v>235</v>
      </c>
      <c r="C5" s="123">
        <v>230</v>
      </c>
      <c r="D5" s="123">
        <v>256</v>
      </c>
      <c r="E5" s="123">
        <v>283</v>
      </c>
      <c r="F5" s="123">
        <v>296</v>
      </c>
      <c r="G5" s="123">
        <v>343</v>
      </c>
      <c r="H5" s="123">
        <v>373</v>
      </c>
      <c r="I5" s="123">
        <v>296</v>
      </c>
      <c r="J5" s="123">
        <v>218</v>
      </c>
      <c r="K5" s="123">
        <v>220</v>
      </c>
      <c r="L5" s="123">
        <v>238</v>
      </c>
      <c r="M5" s="123">
        <v>235</v>
      </c>
      <c r="N5" s="78">
        <v>214.8</v>
      </c>
      <c r="O5" s="78">
        <v>238.3</v>
      </c>
      <c r="P5" s="78">
        <v>232.7</v>
      </c>
      <c r="Q5" s="78">
        <v>206.4</v>
      </c>
      <c r="R5" s="78">
        <v>215.4</v>
      </c>
      <c r="S5" s="78">
        <v>245.9</v>
      </c>
      <c r="T5" s="78">
        <v>286.2</v>
      </c>
      <c r="U5" s="78">
        <v>317.89999999999998</v>
      </c>
      <c r="V5" s="78">
        <v>330</v>
      </c>
      <c r="W5" s="78">
        <v>354</v>
      </c>
      <c r="X5" s="78">
        <v>397.7</v>
      </c>
      <c r="Y5" s="78">
        <v>403.9</v>
      </c>
      <c r="Z5" s="1"/>
    </row>
    <row r="6" spans="1:26" ht="18" customHeight="1" x14ac:dyDescent="0.4">
      <c r="A6" s="54" t="s">
        <v>33</v>
      </c>
      <c r="B6" s="123">
        <v>5.9</v>
      </c>
      <c r="C6" s="123">
        <v>8.1</v>
      </c>
      <c r="D6" s="123">
        <v>23</v>
      </c>
      <c r="E6" s="123">
        <v>25.5</v>
      </c>
      <c r="F6" s="123">
        <v>42.9</v>
      </c>
      <c r="G6" s="123">
        <v>61.7</v>
      </c>
      <c r="H6" s="123">
        <v>78.3</v>
      </c>
      <c r="I6" s="123">
        <v>48.8</v>
      </c>
      <c r="J6" s="123">
        <v>9.8000000000000007</v>
      </c>
      <c r="K6" s="123">
        <v>6.6</v>
      </c>
      <c r="L6" s="123">
        <v>2.4</v>
      </c>
      <c r="M6" s="123">
        <v>8.1999999999999993</v>
      </c>
      <c r="N6" s="78">
        <v>-2.9</v>
      </c>
      <c r="O6" s="78">
        <v>10.7</v>
      </c>
      <c r="P6" s="78">
        <v>9.1999999999999993</v>
      </c>
      <c r="Q6" s="78">
        <v>-6</v>
      </c>
      <c r="R6" s="78">
        <v>-6.2</v>
      </c>
      <c r="S6" s="78">
        <v>1.9</v>
      </c>
      <c r="T6" s="78">
        <v>24.4</v>
      </c>
      <c r="U6" s="78">
        <v>29</v>
      </c>
      <c r="V6" s="78">
        <v>40.200000000000003</v>
      </c>
      <c r="W6" s="78">
        <v>43</v>
      </c>
      <c r="X6" s="78">
        <v>48.4</v>
      </c>
      <c r="Y6" s="78">
        <v>48.4</v>
      </c>
      <c r="Z6" s="1"/>
    </row>
    <row r="7" spans="1:26" ht="18" customHeight="1" x14ac:dyDescent="0.4">
      <c r="A7" s="54" t="s">
        <v>360</v>
      </c>
      <c r="B7" s="124">
        <f t="shared" ref="B7:Y7" si="0">B6/B5</f>
        <v>2.5106382978723404E-2</v>
      </c>
      <c r="C7" s="124">
        <f t="shared" si="0"/>
        <v>3.5217391304347825E-2</v>
      </c>
      <c r="D7" s="124">
        <f t="shared" si="0"/>
        <v>8.984375E-2</v>
      </c>
      <c r="E7" s="124">
        <f t="shared" si="0"/>
        <v>9.0106007067137811E-2</v>
      </c>
      <c r="F7" s="124">
        <f t="shared" si="0"/>
        <v>0.14493243243243242</v>
      </c>
      <c r="G7" s="124">
        <f t="shared" si="0"/>
        <v>0.17988338192419825</v>
      </c>
      <c r="H7" s="124">
        <f t="shared" si="0"/>
        <v>0.2099195710455764</v>
      </c>
      <c r="I7" s="124">
        <f t="shared" si="0"/>
        <v>0.16486486486486485</v>
      </c>
      <c r="J7" s="124">
        <f t="shared" si="0"/>
        <v>4.4954128440366975E-2</v>
      </c>
      <c r="K7" s="124">
        <f t="shared" si="0"/>
        <v>0.03</v>
      </c>
      <c r="L7" s="124">
        <f t="shared" si="0"/>
        <v>1.0084033613445377E-2</v>
      </c>
      <c r="M7" s="124">
        <f t="shared" si="0"/>
        <v>3.4893617021276593E-2</v>
      </c>
      <c r="N7" s="124">
        <f t="shared" si="0"/>
        <v>-1.3500931098696461E-2</v>
      </c>
      <c r="O7" s="124">
        <f t="shared" si="0"/>
        <v>4.49013848090642E-2</v>
      </c>
      <c r="P7" s="124">
        <f t="shared" si="0"/>
        <v>3.9535883111302107E-2</v>
      </c>
      <c r="Q7" s="124">
        <f t="shared" si="0"/>
        <v>-2.9069767441860465E-2</v>
      </c>
      <c r="R7" s="124">
        <f t="shared" si="0"/>
        <v>-2.8783658310120707E-2</v>
      </c>
      <c r="S7" s="124">
        <f t="shared" si="0"/>
        <v>7.7267181781211867E-3</v>
      </c>
      <c r="T7" s="124">
        <f t="shared" si="0"/>
        <v>8.5255066387141851E-2</v>
      </c>
      <c r="U7" s="124">
        <f t="shared" si="0"/>
        <v>9.1223655237496079E-2</v>
      </c>
      <c r="V7" s="124">
        <f t="shared" si="0"/>
        <v>0.12181818181818183</v>
      </c>
      <c r="W7" s="124">
        <f t="shared" si="0"/>
        <v>0.12146892655367232</v>
      </c>
      <c r="X7" s="124">
        <f t="shared" si="0"/>
        <v>0.12169977369876792</v>
      </c>
      <c r="Y7" s="124">
        <f t="shared" si="0"/>
        <v>0.11983164149541967</v>
      </c>
      <c r="Z7" s="1"/>
    </row>
    <row r="8" spans="1:26" ht="18" customHeight="1" x14ac:dyDescent="0.4">
      <c r="A8" s="1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3"/>
      <c r="Z8" s="1"/>
    </row>
    <row r="9" spans="1:26" ht="18" customHeight="1" x14ac:dyDescent="0.4">
      <c r="A9" s="150" t="s">
        <v>361</v>
      </c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2"/>
      <c r="Z9" s="1"/>
    </row>
    <row r="10" spans="1:26" ht="18" customHeigh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</sheetData>
  <mergeCells count="2">
    <mergeCell ref="A9:Y9"/>
    <mergeCell ref="A2:Y2"/>
  </mergeCells>
  <phoneticPr fontId="26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F6E6A"/>
  </sheetPr>
  <dimension ref="A1:Z90"/>
  <sheetViews>
    <sheetView showGridLines="0" workbookViewId="0"/>
  </sheetViews>
  <sheetFormatPr defaultColWidth="8.69921875" defaultRowHeight="17.399999999999999" x14ac:dyDescent="0.4"/>
  <cols>
    <col min="1" max="1" width="20" customWidth="1"/>
    <col min="2" max="26" width="10" customWidth="1"/>
  </cols>
  <sheetData>
    <row r="1" spans="1:26" ht="22.05" customHeight="1" x14ac:dyDescent="0.4">
      <c r="A1" s="49" t="s">
        <v>362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1"/>
    </row>
    <row r="2" spans="1:26" ht="18" customHeight="1" x14ac:dyDescent="0.4">
      <c r="A2" s="166" t="s">
        <v>363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3"/>
      <c r="W2" s="3"/>
      <c r="X2" s="3"/>
      <c r="Y2" s="3"/>
      <c r="Z2" s="1"/>
    </row>
    <row r="3" spans="1:26" ht="18" customHeight="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95" customHeight="1" x14ac:dyDescent="0.4">
      <c r="A4" s="53" t="s">
        <v>67</v>
      </c>
      <c r="B4" s="53" t="s">
        <v>340</v>
      </c>
      <c r="C4" s="53" t="s">
        <v>341</v>
      </c>
      <c r="D4" s="53" t="s">
        <v>342</v>
      </c>
      <c r="E4" s="53" t="s">
        <v>343</v>
      </c>
      <c r="F4" s="53" t="s">
        <v>344</v>
      </c>
      <c r="G4" s="53" t="s">
        <v>345</v>
      </c>
      <c r="H4" s="53" t="s">
        <v>346</v>
      </c>
      <c r="I4" s="53" t="s">
        <v>347</v>
      </c>
      <c r="J4" s="53" t="s">
        <v>348</v>
      </c>
      <c r="K4" s="53" t="s">
        <v>349</v>
      </c>
      <c r="L4" s="53" t="s">
        <v>350</v>
      </c>
      <c r="M4" s="53" t="s">
        <v>351</v>
      </c>
      <c r="N4" s="53" t="s">
        <v>352</v>
      </c>
      <c r="O4" s="53" t="s">
        <v>353</v>
      </c>
      <c r="P4" s="53" t="s">
        <v>354</v>
      </c>
      <c r="Q4" s="53" t="s">
        <v>355</v>
      </c>
      <c r="R4" s="53" t="s">
        <v>12</v>
      </c>
      <c r="S4" s="53" t="s">
        <v>13</v>
      </c>
      <c r="T4" s="53" t="s">
        <v>14</v>
      </c>
      <c r="U4" s="1"/>
      <c r="V4" s="1"/>
      <c r="W4" s="1"/>
      <c r="X4" s="1"/>
      <c r="Y4" s="1"/>
      <c r="Z4" s="1"/>
    </row>
    <row r="5" spans="1:26" ht="18" customHeight="1" x14ac:dyDescent="0.4">
      <c r="A5" s="54" t="s">
        <v>364</v>
      </c>
      <c r="B5" s="125">
        <v>640</v>
      </c>
      <c r="C5" s="125">
        <v>1300</v>
      </c>
      <c r="D5" s="125">
        <v>2070</v>
      </c>
      <c r="E5" s="125">
        <v>1310</v>
      </c>
      <c r="F5" s="125">
        <v>780</v>
      </c>
      <c r="G5" s="125">
        <v>1100</v>
      </c>
      <c r="H5" s="125">
        <v>610</v>
      </c>
      <c r="I5" s="125">
        <v>330</v>
      </c>
      <c r="J5" s="125">
        <v>800</v>
      </c>
      <c r="K5" s="125">
        <v>380</v>
      </c>
      <c r="L5" s="125">
        <v>1010</v>
      </c>
      <c r="M5" s="125">
        <v>340</v>
      </c>
      <c r="N5" s="125">
        <v>730</v>
      </c>
      <c r="O5" s="125">
        <v>690</v>
      </c>
      <c r="P5" s="125">
        <v>780</v>
      </c>
      <c r="Q5" s="125">
        <v>360</v>
      </c>
      <c r="R5" s="125">
        <v>800</v>
      </c>
      <c r="S5" s="125">
        <v>1290</v>
      </c>
      <c r="T5" s="125">
        <v>3080</v>
      </c>
      <c r="U5" s="1"/>
      <c r="V5" s="1"/>
      <c r="W5" s="1"/>
      <c r="X5" s="1"/>
      <c r="Y5" s="1"/>
      <c r="Z5" s="1"/>
    </row>
    <row r="6" spans="1:26" ht="18" customHeight="1" x14ac:dyDescent="0.4">
      <c r="A6" s="12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2"/>
      <c r="U6" s="1"/>
      <c r="V6" s="1"/>
      <c r="W6" s="1"/>
      <c r="X6" s="1"/>
      <c r="Y6" s="1"/>
      <c r="Z6" s="1"/>
    </row>
    <row r="7" spans="1:26" ht="18" customHeight="1" x14ac:dyDescent="0.4">
      <c r="A7" s="153" t="s">
        <v>365</v>
      </c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54"/>
      <c r="U7" s="1"/>
      <c r="V7" s="1"/>
      <c r="W7" s="1"/>
      <c r="X7" s="1"/>
      <c r="Y7" s="1"/>
      <c r="Z7" s="1"/>
    </row>
    <row r="8" spans="1:26" ht="18" customHeight="1" x14ac:dyDescent="0.4">
      <c r="A8" s="150" t="s">
        <v>366</v>
      </c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2"/>
      <c r="U8" s="1"/>
      <c r="V8" s="1"/>
      <c r="W8" s="1"/>
      <c r="X8" s="1"/>
      <c r="Y8" s="1"/>
      <c r="Z8" s="1"/>
    </row>
    <row r="9" spans="1:26" ht="18" customHeight="1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</sheetData>
  <mergeCells count="3">
    <mergeCell ref="A7:T7"/>
    <mergeCell ref="A8:T8"/>
    <mergeCell ref="A2:U2"/>
  </mergeCells>
  <phoneticPr fontId="26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F6E6A"/>
  </sheetPr>
  <dimension ref="A1:Z90"/>
  <sheetViews>
    <sheetView showGridLines="0" workbookViewId="0"/>
  </sheetViews>
  <sheetFormatPr defaultColWidth="8.69921875" defaultRowHeight="17.399999999999999" x14ac:dyDescent="0.4"/>
  <cols>
    <col min="1" max="1" width="24" customWidth="1"/>
    <col min="2" max="12" width="10" customWidth="1"/>
    <col min="13" max="13" width="8" customWidth="1"/>
    <col min="14" max="26" width="10" customWidth="1"/>
  </cols>
  <sheetData>
    <row r="1" spans="1:26" ht="22.05" customHeight="1" x14ac:dyDescent="0.4">
      <c r="A1" s="111" t="s">
        <v>367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6"/>
    </row>
    <row r="2" spans="1:26" ht="18" customHeight="1" x14ac:dyDescent="0.4">
      <c r="A2" s="165" t="s">
        <v>368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28"/>
    </row>
    <row r="3" spans="1:26" ht="18" customHeight="1" x14ac:dyDescent="0.4">
      <c r="A3" s="1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3"/>
    </row>
    <row r="4" spans="1:26" ht="19.95" customHeight="1" x14ac:dyDescent="0.4">
      <c r="A4" s="53" t="s">
        <v>67</v>
      </c>
      <c r="B4" s="53" t="s">
        <v>12</v>
      </c>
      <c r="C4" s="53" t="s">
        <v>13</v>
      </c>
      <c r="D4" s="53" t="s">
        <v>14</v>
      </c>
      <c r="E4" s="53" t="s">
        <v>15</v>
      </c>
      <c r="F4" s="53" t="s">
        <v>16</v>
      </c>
      <c r="G4" s="53" t="s">
        <v>17</v>
      </c>
      <c r="H4" s="53" t="s">
        <v>18</v>
      </c>
      <c r="I4" s="53" t="s">
        <v>19</v>
      </c>
      <c r="J4" s="53" t="s">
        <v>41</v>
      </c>
      <c r="K4" s="53" t="s">
        <v>42</v>
      </c>
      <c r="L4" s="53" t="s">
        <v>21</v>
      </c>
      <c r="M4" s="53" t="s">
        <v>6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3"/>
    </row>
    <row r="5" spans="1:26" ht="18" customHeight="1" x14ac:dyDescent="0.4">
      <c r="A5" s="54" t="s">
        <v>43</v>
      </c>
      <c r="B5" s="126">
        <v>215.4</v>
      </c>
      <c r="C5" s="126">
        <v>245.9</v>
      </c>
      <c r="D5" s="126">
        <v>286.2</v>
      </c>
      <c r="E5" s="126">
        <v>317.89999999999998</v>
      </c>
      <c r="F5" s="126">
        <v>330</v>
      </c>
      <c r="G5" s="126">
        <v>354</v>
      </c>
      <c r="H5" s="126">
        <v>397.7</v>
      </c>
      <c r="I5" s="126">
        <v>403.9</v>
      </c>
      <c r="J5" s="126">
        <v>892.1</v>
      </c>
      <c r="K5" s="126">
        <v>1065.3</v>
      </c>
      <c r="L5" s="126">
        <v>1485.6</v>
      </c>
      <c r="M5" s="54" t="s">
        <v>44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3"/>
    </row>
    <row r="6" spans="1:26" ht="18" customHeight="1" x14ac:dyDescent="0.4">
      <c r="A6" s="54" t="s">
        <v>29</v>
      </c>
      <c r="B6" s="127">
        <v>3.0000000000000001E-3</v>
      </c>
      <c r="C6" s="127">
        <v>3.2000000000000001E-2</v>
      </c>
      <c r="D6" s="127">
        <v>0.23</v>
      </c>
      <c r="E6" s="127">
        <v>0.54</v>
      </c>
      <c r="F6" s="127">
        <v>0.53200000000000003</v>
      </c>
      <c r="G6" s="127">
        <v>0.44</v>
      </c>
      <c r="H6" s="127">
        <v>0.39</v>
      </c>
      <c r="I6" s="127">
        <v>0.27</v>
      </c>
      <c r="J6" s="127">
        <v>-1.9E-2</v>
      </c>
      <c r="K6" s="127">
        <v>0.19400000000000001</v>
      </c>
      <c r="L6" s="127">
        <v>0.39500000000000002</v>
      </c>
      <c r="M6" s="54" t="s">
        <v>30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3"/>
    </row>
    <row r="7" spans="1:26" ht="18" customHeight="1" x14ac:dyDescent="0.4">
      <c r="A7" s="54" t="s">
        <v>31</v>
      </c>
      <c r="B7" s="127">
        <v>4.2999999999999997E-2</v>
      </c>
      <c r="C7" s="127">
        <v>0.14199999999999999</v>
      </c>
      <c r="D7" s="127">
        <v>0.16400000000000001</v>
      </c>
      <c r="E7" s="127">
        <v>0.111</v>
      </c>
      <c r="F7" s="127">
        <v>3.7999999999999999E-2</v>
      </c>
      <c r="G7" s="127">
        <v>7.2999999999999995E-2</v>
      </c>
      <c r="H7" s="127">
        <v>0.123</v>
      </c>
      <c r="I7" s="127">
        <v>1.4999999999999999E-2</v>
      </c>
      <c r="J7" s="127"/>
      <c r="K7" s="127"/>
      <c r="L7" s="127"/>
      <c r="M7" s="54" t="s">
        <v>30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</row>
    <row r="8" spans="1:26" ht="18" customHeight="1" x14ac:dyDescent="0.4">
      <c r="A8" s="54" t="s">
        <v>23</v>
      </c>
      <c r="B8" s="126">
        <v>176.6</v>
      </c>
      <c r="C8" s="126">
        <v>207.8</v>
      </c>
      <c r="D8" s="126">
        <v>243.8</v>
      </c>
      <c r="E8" s="126">
        <v>273.7</v>
      </c>
      <c r="F8" s="126">
        <v>283.89999999999998</v>
      </c>
      <c r="G8" s="126">
        <v>296.89999999999998</v>
      </c>
      <c r="H8" s="126">
        <v>311.7</v>
      </c>
      <c r="I8" s="126">
        <v>308.7</v>
      </c>
      <c r="J8" s="126">
        <v>768.8</v>
      </c>
      <c r="K8" s="126">
        <v>901.9</v>
      </c>
      <c r="L8" s="126">
        <v>1201.2</v>
      </c>
      <c r="M8" s="54" t="s">
        <v>44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3"/>
    </row>
    <row r="9" spans="1:26" ht="18" customHeight="1" x14ac:dyDescent="0.4">
      <c r="A9" s="54" t="s">
        <v>369</v>
      </c>
      <c r="B9" s="126">
        <v>101.3</v>
      </c>
      <c r="C9" s="126">
        <v>127.1</v>
      </c>
      <c r="D9" s="126">
        <v>158</v>
      </c>
      <c r="E9" s="126">
        <v>160.5</v>
      </c>
      <c r="F9" s="126">
        <v>162.1</v>
      </c>
      <c r="G9" s="126">
        <v>168.3</v>
      </c>
      <c r="H9" s="126">
        <v>174.6</v>
      </c>
      <c r="I9" s="126">
        <v>168.7</v>
      </c>
      <c r="J9" s="126">
        <v>476.5</v>
      </c>
      <c r="K9" s="126">
        <v>546.9</v>
      </c>
      <c r="L9" s="126">
        <v>673.7</v>
      </c>
      <c r="M9" s="54" t="s">
        <v>44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3"/>
    </row>
    <row r="10" spans="1:26" ht="18" customHeight="1" x14ac:dyDescent="0.4">
      <c r="A10" s="54" t="s">
        <v>370</v>
      </c>
      <c r="B10" s="126">
        <v>75.3</v>
      </c>
      <c r="C10" s="126">
        <v>80.7</v>
      </c>
      <c r="D10" s="126">
        <v>85.8</v>
      </c>
      <c r="E10" s="126">
        <v>113.2</v>
      </c>
      <c r="F10" s="126">
        <v>121.8</v>
      </c>
      <c r="G10" s="126">
        <v>128.6</v>
      </c>
      <c r="H10" s="126">
        <v>137</v>
      </c>
      <c r="I10" s="126">
        <v>140.1</v>
      </c>
      <c r="J10" s="126">
        <v>292.39999999999998</v>
      </c>
      <c r="K10" s="126">
        <v>355</v>
      </c>
      <c r="L10" s="126">
        <v>527.5</v>
      </c>
      <c r="M10" s="54" t="s">
        <v>44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3"/>
    </row>
    <row r="11" spans="1:26" ht="18" customHeight="1" x14ac:dyDescent="0.4">
      <c r="A11" s="54" t="s">
        <v>26</v>
      </c>
      <c r="B11" s="126">
        <v>38.799999999999997</v>
      </c>
      <c r="C11" s="126">
        <v>37.700000000000003</v>
      </c>
      <c r="D11" s="126">
        <v>42.4</v>
      </c>
      <c r="E11" s="126">
        <v>44.2</v>
      </c>
      <c r="F11" s="126">
        <v>46.1</v>
      </c>
      <c r="G11" s="126">
        <v>57.1</v>
      </c>
      <c r="H11" s="126">
        <v>86</v>
      </c>
      <c r="I11" s="126">
        <v>95.1</v>
      </c>
      <c r="J11" s="126">
        <v>122.6</v>
      </c>
      <c r="K11" s="126">
        <v>163.1</v>
      </c>
      <c r="L11" s="126">
        <v>284.39999999999998</v>
      </c>
      <c r="M11" s="54" t="s">
        <v>44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3"/>
    </row>
    <row r="12" spans="1:26" ht="18" customHeight="1" x14ac:dyDescent="0.4">
      <c r="A12" s="54" t="s">
        <v>27</v>
      </c>
      <c r="B12" s="126">
        <v>0</v>
      </c>
      <c r="C12" s="126">
        <v>0.3</v>
      </c>
      <c r="D12" s="126">
        <v>0</v>
      </c>
      <c r="E12" s="126">
        <v>0</v>
      </c>
      <c r="F12" s="126">
        <v>0</v>
      </c>
      <c r="G12" s="126">
        <v>0</v>
      </c>
      <c r="H12" s="126">
        <v>0</v>
      </c>
      <c r="I12" s="126">
        <v>0</v>
      </c>
      <c r="J12" s="126">
        <v>0.8</v>
      </c>
      <c r="K12" s="126">
        <v>0.3</v>
      </c>
      <c r="L12" s="126">
        <v>0</v>
      </c>
      <c r="M12" s="54" t="s">
        <v>44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3"/>
    </row>
    <row r="13" spans="1:26" ht="18" customHeight="1" x14ac:dyDescent="0.4">
      <c r="A13" s="54" t="s">
        <v>371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5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3"/>
    </row>
    <row r="14" spans="1:26" ht="18" customHeight="1" x14ac:dyDescent="0.4">
      <c r="A14" s="54" t="s">
        <v>372</v>
      </c>
      <c r="B14" s="127">
        <v>0.82</v>
      </c>
      <c r="C14" s="127">
        <v>0.84499999999999997</v>
      </c>
      <c r="D14" s="127">
        <v>0.85199999999999998</v>
      </c>
      <c r="E14" s="127">
        <v>0.86099999999999999</v>
      </c>
      <c r="F14" s="127">
        <v>0.86</v>
      </c>
      <c r="G14" s="127">
        <v>0.83899999999999997</v>
      </c>
      <c r="H14" s="127">
        <v>0.78400000000000003</v>
      </c>
      <c r="I14" s="127">
        <v>0.76400000000000001</v>
      </c>
      <c r="J14" s="127">
        <v>0.86199999999999999</v>
      </c>
      <c r="K14" s="127">
        <v>0.84699999999999998</v>
      </c>
      <c r="L14" s="127">
        <v>0.80900000000000005</v>
      </c>
      <c r="M14" s="54" t="s">
        <v>30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3"/>
    </row>
    <row r="15" spans="1:26" ht="18" customHeight="1" x14ac:dyDescent="0.4">
      <c r="A15" s="54" t="s">
        <v>373</v>
      </c>
      <c r="B15" s="127">
        <v>0.47</v>
      </c>
      <c r="C15" s="127">
        <v>0.51700000000000002</v>
      </c>
      <c r="D15" s="127">
        <v>0.55200000000000005</v>
      </c>
      <c r="E15" s="127">
        <v>0.505</v>
      </c>
      <c r="F15" s="127">
        <v>0.49099999999999999</v>
      </c>
      <c r="G15" s="127">
        <v>0.47499999999999998</v>
      </c>
      <c r="H15" s="127">
        <v>0.439</v>
      </c>
      <c r="I15" s="127">
        <v>0.41799999999999998</v>
      </c>
      <c r="J15" s="127">
        <v>0.53400000000000003</v>
      </c>
      <c r="K15" s="127">
        <v>0.51300000000000001</v>
      </c>
      <c r="L15" s="127">
        <v>0.45300000000000001</v>
      </c>
      <c r="M15" s="54" t="s">
        <v>30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3"/>
    </row>
    <row r="16" spans="1:26" ht="18" customHeight="1" x14ac:dyDescent="0.4">
      <c r="A16" s="54" t="s">
        <v>374</v>
      </c>
      <c r="B16" s="127">
        <v>0.35</v>
      </c>
      <c r="C16" s="127">
        <v>0.32800000000000001</v>
      </c>
      <c r="D16" s="127">
        <v>0.3</v>
      </c>
      <c r="E16" s="127">
        <v>0.35599999999999998</v>
      </c>
      <c r="F16" s="127">
        <v>0.36899999999999999</v>
      </c>
      <c r="G16" s="127">
        <v>0.36299999999999999</v>
      </c>
      <c r="H16" s="127">
        <v>0.34499999999999997</v>
      </c>
      <c r="I16" s="127">
        <v>0.34699999999999998</v>
      </c>
      <c r="J16" s="127">
        <v>0.32800000000000001</v>
      </c>
      <c r="K16" s="127">
        <v>0.33300000000000002</v>
      </c>
      <c r="L16" s="127">
        <v>0.35499999999999998</v>
      </c>
      <c r="M16" s="54" t="s">
        <v>30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3"/>
    </row>
    <row r="17" spans="1:26" ht="18" customHeight="1" x14ac:dyDescent="0.4">
      <c r="A17" s="54" t="s">
        <v>375</v>
      </c>
      <c r="B17" s="127">
        <v>0.18</v>
      </c>
      <c r="C17" s="127">
        <v>0.153</v>
      </c>
      <c r="D17" s="127">
        <v>0.14799999999999999</v>
      </c>
      <c r="E17" s="127">
        <v>0.13900000000000001</v>
      </c>
      <c r="F17" s="127">
        <v>0.14000000000000001</v>
      </c>
      <c r="G17" s="127">
        <v>0.161</v>
      </c>
      <c r="H17" s="127">
        <v>0.216</v>
      </c>
      <c r="I17" s="127">
        <v>0.23599999999999999</v>
      </c>
      <c r="J17" s="127">
        <v>0.13700000000000001</v>
      </c>
      <c r="K17" s="127">
        <v>0.153</v>
      </c>
      <c r="L17" s="127">
        <v>0.191</v>
      </c>
      <c r="M17" s="54" t="s">
        <v>30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3"/>
    </row>
    <row r="18" spans="1:26" ht="18" customHeight="1" x14ac:dyDescent="0.4">
      <c r="A18" s="54" t="s">
        <v>376</v>
      </c>
      <c r="B18" s="127">
        <v>0</v>
      </c>
      <c r="C18" s="127">
        <v>1E-3</v>
      </c>
      <c r="D18" s="127">
        <v>0</v>
      </c>
      <c r="E18" s="127">
        <v>0</v>
      </c>
      <c r="F18" s="127">
        <v>0</v>
      </c>
      <c r="G18" s="127">
        <v>0</v>
      </c>
      <c r="H18" s="127">
        <v>0</v>
      </c>
      <c r="I18" s="127">
        <v>0</v>
      </c>
      <c r="J18" s="127">
        <v>1E-3</v>
      </c>
      <c r="K18" s="127">
        <v>0</v>
      </c>
      <c r="L18" s="127">
        <v>0</v>
      </c>
      <c r="M18" s="54" t="s">
        <v>30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3"/>
    </row>
    <row r="19" spans="1:26" ht="18" customHeight="1" x14ac:dyDescent="0.4">
      <c r="A19" s="54" t="s">
        <v>377</v>
      </c>
      <c r="B19" s="126">
        <v>-6.2</v>
      </c>
      <c r="C19" s="126">
        <v>1.9</v>
      </c>
      <c r="D19" s="126">
        <v>24.4</v>
      </c>
      <c r="E19" s="126">
        <v>29</v>
      </c>
      <c r="F19" s="126">
        <v>40.200000000000003</v>
      </c>
      <c r="G19" s="126">
        <v>43</v>
      </c>
      <c r="H19" s="126">
        <v>48.4</v>
      </c>
      <c r="I19" s="126">
        <v>48.4</v>
      </c>
      <c r="J19" s="126">
        <v>11.3</v>
      </c>
      <c r="K19" s="126">
        <v>49.2</v>
      </c>
      <c r="L19" s="126">
        <v>180</v>
      </c>
      <c r="M19" s="54" t="s">
        <v>44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3"/>
    </row>
    <row r="20" spans="1:26" ht="18" customHeight="1" x14ac:dyDescent="0.4">
      <c r="A20" s="54" t="s">
        <v>29</v>
      </c>
      <c r="B20" s="127">
        <v>1.1499999999999999</v>
      </c>
      <c r="C20" s="127">
        <v>-0.82199999999999995</v>
      </c>
      <c r="D20" s="127">
        <v>1.655</v>
      </c>
      <c r="E20" s="127">
        <v>-5.8639999999999999</v>
      </c>
      <c r="F20" s="127">
        <v>-7.4820000000000002</v>
      </c>
      <c r="G20" s="127">
        <v>22.01</v>
      </c>
      <c r="H20" s="127">
        <v>0.97799999999999998</v>
      </c>
      <c r="I20" s="127">
        <v>0.66800000000000004</v>
      </c>
      <c r="J20" s="127">
        <v>-0.52600000000000002</v>
      </c>
      <c r="K20" s="127">
        <v>3.3660000000000001</v>
      </c>
      <c r="L20" s="127">
        <v>2.6619999999999999</v>
      </c>
      <c r="M20" s="54" t="s">
        <v>30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3"/>
    </row>
    <row r="21" spans="1:26" ht="18" customHeight="1" x14ac:dyDescent="0.4">
      <c r="A21" s="54" t="s">
        <v>31</v>
      </c>
      <c r="B21" s="127">
        <v>4.1000000000000002E-2</v>
      </c>
      <c r="C21" s="127">
        <v>-1.3140000000000001</v>
      </c>
      <c r="D21" s="127">
        <v>12.074</v>
      </c>
      <c r="E21" s="127">
        <v>0.188</v>
      </c>
      <c r="F21" s="127">
        <v>0.38400000000000001</v>
      </c>
      <c r="G21" s="127">
        <v>7.0999999999999994E-2</v>
      </c>
      <c r="H21" s="127">
        <v>0.124</v>
      </c>
      <c r="I21" s="127">
        <v>1E-3</v>
      </c>
      <c r="J21" s="127"/>
      <c r="K21" s="127"/>
      <c r="L21" s="127"/>
      <c r="M21" s="54" t="s">
        <v>30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3"/>
    </row>
    <row r="22" spans="1:26" ht="18" customHeight="1" x14ac:dyDescent="0.4">
      <c r="A22" s="54" t="s">
        <v>360</v>
      </c>
      <c r="B22" s="127">
        <v>-2.9000000000000001E-2</v>
      </c>
      <c r="C22" s="127">
        <v>8.0000000000000002E-3</v>
      </c>
      <c r="D22" s="127">
        <v>8.5000000000000006E-2</v>
      </c>
      <c r="E22" s="127">
        <v>9.0999999999999998E-2</v>
      </c>
      <c r="F22" s="127">
        <v>0.122</v>
      </c>
      <c r="G22" s="127">
        <v>0.122</v>
      </c>
      <c r="H22" s="127">
        <v>0.122</v>
      </c>
      <c r="I22" s="127">
        <v>0.12</v>
      </c>
      <c r="J22" s="127">
        <v>1.2999999999999999E-2</v>
      </c>
      <c r="K22" s="127">
        <v>4.5999999999999999E-2</v>
      </c>
      <c r="L22" s="127">
        <v>0.121</v>
      </c>
      <c r="M22" s="54" t="s">
        <v>30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3"/>
    </row>
    <row r="23" spans="1:26" ht="18" customHeight="1" x14ac:dyDescent="0.4">
      <c r="A23" s="1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3"/>
    </row>
    <row r="24" spans="1:26" ht="18" customHeight="1" x14ac:dyDescent="0.4">
      <c r="A24" s="116" t="s">
        <v>211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3"/>
    </row>
    <row r="25" spans="1:26" ht="18" customHeight="1" x14ac:dyDescent="0.4">
      <c r="A25" s="1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3"/>
    </row>
    <row r="26" spans="1:26" ht="19.95" customHeight="1" x14ac:dyDescent="0.4">
      <c r="A26" s="80" t="s">
        <v>302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2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3"/>
    </row>
    <row r="27" spans="1:26" ht="19.95" customHeight="1" x14ac:dyDescent="0.4">
      <c r="A27" s="53" t="s">
        <v>50</v>
      </c>
      <c r="B27" s="53" t="s">
        <v>12</v>
      </c>
      <c r="C27" s="53" t="s">
        <v>13</v>
      </c>
      <c r="D27" s="53" t="s">
        <v>14</v>
      </c>
      <c r="E27" s="53" t="s">
        <v>15</v>
      </c>
      <c r="F27" s="53" t="s">
        <v>16</v>
      </c>
      <c r="G27" s="53" t="s">
        <v>17</v>
      </c>
      <c r="H27" s="53" t="s">
        <v>18</v>
      </c>
      <c r="I27" s="53" t="s">
        <v>19</v>
      </c>
      <c r="J27" s="53" t="s">
        <v>41</v>
      </c>
      <c r="K27" s="53" t="s">
        <v>42</v>
      </c>
      <c r="L27" s="53" t="s">
        <v>21</v>
      </c>
      <c r="M27" s="53" t="s">
        <v>6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3"/>
    </row>
    <row r="28" spans="1:26" ht="18" customHeight="1" x14ac:dyDescent="0.4">
      <c r="A28" s="54" t="s">
        <v>378</v>
      </c>
      <c r="B28" s="54">
        <f t="shared" ref="B28:L28" si="0">B8+B11+B12</f>
        <v>215.39999999999998</v>
      </c>
      <c r="C28" s="54">
        <f t="shared" si="0"/>
        <v>245.8</v>
      </c>
      <c r="D28" s="54">
        <f t="shared" si="0"/>
        <v>286.2</v>
      </c>
      <c r="E28" s="54">
        <f t="shared" si="0"/>
        <v>317.89999999999998</v>
      </c>
      <c r="F28" s="54">
        <f t="shared" si="0"/>
        <v>330</v>
      </c>
      <c r="G28" s="54">
        <f t="shared" si="0"/>
        <v>354</v>
      </c>
      <c r="H28" s="54">
        <f t="shared" si="0"/>
        <v>397.7</v>
      </c>
      <c r="I28" s="54">
        <f t="shared" si="0"/>
        <v>403.79999999999995</v>
      </c>
      <c r="J28" s="54">
        <f t="shared" si="0"/>
        <v>892.19999999999993</v>
      </c>
      <c r="K28" s="54">
        <f t="shared" si="0"/>
        <v>1065.3</v>
      </c>
      <c r="L28" s="54">
        <f t="shared" si="0"/>
        <v>1485.6</v>
      </c>
      <c r="M28" s="5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3"/>
    </row>
    <row r="29" spans="1:26" ht="18" customHeight="1" x14ac:dyDescent="0.4">
      <c r="A29" s="54" t="s">
        <v>379</v>
      </c>
      <c r="B29" s="54">
        <f t="shared" ref="B29:L29" si="1">B28-B5</f>
        <v>0</v>
      </c>
      <c r="C29" s="54">
        <f t="shared" si="1"/>
        <v>-9.9999999999994316E-2</v>
      </c>
      <c r="D29" s="54">
        <f t="shared" si="1"/>
        <v>0</v>
      </c>
      <c r="E29" s="54">
        <f t="shared" si="1"/>
        <v>0</v>
      </c>
      <c r="F29" s="54">
        <f t="shared" si="1"/>
        <v>0</v>
      </c>
      <c r="G29" s="54">
        <f t="shared" si="1"/>
        <v>0</v>
      </c>
      <c r="H29" s="54">
        <f t="shared" si="1"/>
        <v>0</v>
      </c>
      <c r="I29" s="54">
        <f t="shared" si="1"/>
        <v>-0.10000000000002274</v>
      </c>
      <c r="J29" s="54">
        <f t="shared" si="1"/>
        <v>9.9999999999909051E-2</v>
      </c>
      <c r="K29" s="54">
        <f t="shared" si="1"/>
        <v>0</v>
      </c>
      <c r="L29" s="54">
        <f t="shared" si="1"/>
        <v>0</v>
      </c>
      <c r="M29" s="56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3"/>
    </row>
    <row r="30" spans="1:26" ht="18" customHeight="1" x14ac:dyDescent="0.4">
      <c r="A30" s="54" t="s">
        <v>380</v>
      </c>
      <c r="B30" s="124">
        <f t="shared" ref="B30:L30" si="2">IFERROR(B19/B5,"")</f>
        <v>-2.8783658310120707E-2</v>
      </c>
      <c r="C30" s="124">
        <f t="shared" si="2"/>
        <v>7.7267181781211867E-3</v>
      </c>
      <c r="D30" s="124">
        <f t="shared" si="2"/>
        <v>8.5255066387141851E-2</v>
      </c>
      <c r="E30" s="124">
        <f t="shared" si="2"/>
        <v>9.1223655237496079E-2</v>
      </c>
      <c r="F30" s="124">
        <f t="shared" si="2"/>
        <v>0.12181818181818183</v>
      </c>
      <c r="G30" s="124">
        <f t="shared" si="2"/>
        <v>0.12146892655367232</v>
      </c>
      <c r="H30" s="124">
        <f t="shared" si="2"/>
        <v>0.12169977369876792</v>
      </c>
      <c r="I30" s="124">
        <f t="shared" si="2"/>
        <v>0.11983164149541967</v>
      </c>
      <c r="J30" s="124">
        <f t="shared" si="2"/>
        <v>1.2666741396704406E-2</v>
      </c>
      <c r="K30" s="124">
        <f t="shared" si="2"/>
        <v>4.6184173472261336E-2</v>
      </c>
      <c r="L30" s="124">
        <f t="shared" si="2"/>
        <v>0.12116316639741519</v>
      </c>
      <c r="M30" s="56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3"/>
    </row>
    <row r="31" spans="1:26" ht="18" customHeight="1" x14ac:dyDescent="0.4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3"/>
    </row>
    <row r="32" spans="1:26" ht="18" customHeight="1" x14ac:dyDescent="0.4">
      <c r="A32" s="164" t="s">
        <v>381</v>
      </c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3"/>
    </row>
    <row r="33" spans="1:26" ht="18" customHeight="1" x14ac:dyDescent="0.4">
      <c r="A33" s="1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3"/>
    </row>
    <row r="34" spans="1:26" ht="18" customHeight="1" x14ac:dyDescent="0.4">
      <c r="A34" s="1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3"/>
    </row>
    <row r="35" spans="1:26" ht="18" customHeight="1" x14ac:dyDescent="0.4">
      <c r="A35" s="1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3"/>
    </row>
    <row r="36" spans="1:26" ht="18" customHeight="1" x14ac:dyDescent="0.4">
      <c r="A36" s="1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3"/>
    </row>
    <row r="37" spans="1:26" ht="18" customHeight="1" x14ac:dyDescent="0.4">
      <c r="A37" s="1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3"/>
    </row>
    <row r="38" spans="1:26" ht="18" customHeight="1" x14ac:dyDescent="0.4">
      <c r="A38" s="1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3"/>
    </row>
    <row r="39" spans="1:26" ht="18" customHeight="1" x14ac:dyDescent="0.4">
      <c r="A39" s="1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3"/>
    </row>
    <row r="40" spans="1:26" ht="18" customHeight="1" x14ac:dyDescent="0.4">
      <c r="A40" s="1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3"/>
    </row>
    <row r="41" spans="1:26" ht="18" customHeight="1" x14ac:dyDescent="0.4">
      <c r="A41" s="1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3"/>
    </row>
    <row r="42" spans="1:26" ht="18" customHeight="1" x14ac:dyDescent="0.4">
      <c r="A42" s="1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3"/>
    </row>
    <row r="43" spans="1:26" ht="18" customHeight="1" x14ac:dyDescent="0.4">
      <c r="A43" s="1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3"/>
    </row>
    <row r="44" spans="1:26" ht="18" customHeight="1" x14ac:dyDescent="0.4">
      <c r="A44" s="1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3"/>
    </row>
    <row r="45" spans="1:26" ht="18" customHeight="1" x14ac:dyDescent="0.4">
      <c r="A45" s="1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3"/>
    </row>
    <row r="46" spans="1:26" ht="18" customHeight="1" x14ac:dyDescent="0.4">
      <c r="A46" s="1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3"/>
    </row>
    <row r="47" spans="1:26" ht="18" customHeight="1" x14ac:dyDescent="0.4">
      <c r="A47" s="1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3"/>
    </row>
    <row r="48" spans="1:26" ht="18" customHeight="1" x14ac:dyDescent="0.4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3"/>
    </row>
    <row r="49" spans="1:26" ht="18" customHeight="1" x14ac:dyDescent="0.4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3"/>
    </row>
    <row r="50" spans="1:26" ht="18" customHeight="1" x14ac:dyDescent="0.4">
      <c r="A50" s="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3"/>
    </row>
    <row r="51" spans="1:26" ht="18" customHeight="1" x14ac:dyDescent="0.4">
      <c r="A51" s="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3"/>
    </row>
    <row r="52" spans="1:26" ht="18" customHeight="1" x14ac:dyDescent="0.4">
      <c r="A52" s="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3"/>
    </row>
    <row r="53" spans="1:26" ht="18" customHeight="1" x14ac:dyDescent="0.4">
      <c r="A53" s="1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3"/>
    </row>
    <row r="54" spans="1:26" ht="18" customHeight="1" x14ac:dyDescent="0.4">
      <c r="A54" s="1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3"/>
    </row>
    <row r="55" spans="1:26" ht="18" customHeight="1" x14ac:dyDescent="0.4">
      <c r="A55" s="1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3"/>
    </row>
    <row r="56" spans="1:26" ht="18" customHeight="1" x14ac:dyDescent="0.4">
      <c r="A56" s="1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3"/>
    </row>
    <row r="57" spans="1:26" ht="18" customHeight="1" x14ac:dyDescent="0.4">
      <c r="A57" s="1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3"/>
    </row>
    <row r="58" spans="1:26" ht="18" customHeight="1" x14ac:dyDescent="0.4">
      <c r="A58" s="1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3"/>
    </row>
    <row r="59" spans="1:26" ht="18" customHeight="1" x14ac:dyDescent="0.4">
      <c r="A59" s="1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3"/>
    </row>
    <row r="60" spans="1:26" ht="18" customHeight="1" x14ac:dyDescent="0.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spans="1:26" ht="18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</sheetData>
  <mergeCells count="2">
    <mergeCell ref="A2:M2"/>
    <mergeCell ref="A32:L32"/>
  </mergeCells>
  <phoneticPr fontId="2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F6E6A"/>
  </sheetPr>
  <dimension ref="A1:Z90"/>
  <sheetViews>
    <sheetView showGridLines="0" workbookViewId="0"/>
  </sheetViews>
  <sheetFormatPr defaultColWidth="8.69921875" defaultRowHeight="17.399999999999999" x14ac:dyDescent="0.4"/>
  <cols>
    <col min="1" max="1" width="24" customWidth="1"/>
    <col min="2" max="12" width="10" customWidth="1"/>
    <col min="13" max="13" width="8" customWidth="1"/>
    <col min="14" max="26" width="10" customWidth="1"/>
  </cols>
  <sheetData>
    <row r="1" spans="1:26" ht="22.05" customHeight="1" x14ac:dyDescent="0.4">
      <c r="A1" s="111" t="s">
        <v>382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6"/>
    </row>
    <row r="2" spans="1:26" ht="18" customHeight="1" x14ac:dyDescent="0.4">
      <c r="A2" s="165" t="s">
        <v>368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28"/>
    </row>
    <row r="3" spans="1:26" ht="18" customHeight="1" x14ac:dyDescent="0.4">
      <c r="A3" s="1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3"/>
    </row>
    <row r="4" spans="1:26" ht="19.95" customHeight="1" x14ac:dyDescent="0.4">
      <c r="A4" s="53" t="s">
        <v>67</v>
      </c>
      <c r="B4" s="53" t="s">
        <v>12</v>
      </c>
      <c r="C4" s="53" t="s">
        <v>13</v>
      </c>
      <c r="D4" s="53" t="s">
        <v>14</v>
      </c>
      <c r="E4" s="53" t="s">
        <v>383</v>
      </c>
      <c r="F4" s="53" t="s">
        <v>16</v>
      </c>
      <c r="G4" s="53" t="s">
        <v>17</v>
      </c>
      <c r="H4" s="53" t="s">
        <v>18</v>
      </c>
      <c r="I4" s="53" t="s">
        <v>19</v>
      </c>
      <c r="J4" s="53" t="s">
        <v>41</v>
      </c>
      <c r="K4" s="53" t="s">
        <v>42</v>
      </c>
      <c r="L4" s="53" t="s">
        <v>21</v>
      </c>
      <c r="M4" s="53" t="s">
        <v>6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3"/>
    </row>
    <row r="5" spans="1:26" ht="18" customHeight="1" x14ac:dyDescent="0.4">
      <c r="A5" s="54" t="s">
        <v>43</v>
      </c>
      <c r="B5" s="126">
        <v>215.4</v>
      </c>
      <c r="C5" s="126">
        <v>245.9</v>
      </c>
      <c r="D5" s="126">
        <v>286.2</v>
      </c>
      <c r="E5" s="126">
        <v>307.39999999999998</v>
      </c>
      <c r="F5" s="126">
        <v>314.2</v>
      </c>
      <c r="G5" s="126">
        <v>332.7</v>
      </c>
      <c r="H5" s="126">
        <v>348.5</v>
      </c>
      <c r="I5" s="126">
        <v>348.8</v>
      </c>
      <c r="J5" s="126">
        <v>892.1</v>
      </c>
      <c r="K5" s="126">
        <v>1054.8</v>
      </c>
      <c r="L5" s="126">
        <v>1344.2</v>
      </c>
      <c r="M5" s="54" t="s">
        <v>44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3"/>
    </row>
    <row r="6" spans="1:26" ht="18" customHeight="1" x14ac:dyDescent="0.4">
      <c r="A6" s="54" t="s">
        <v>29</v>
      </c>
      <c r="B6" s="127">
        <v>3.0000000000000001E-3</v>
      </c>
      <c r="C6" s="127">
        <v>3.2000000000000001E-2</v>
      </c>
      <c r="D6" s="127">
        <v>0.23</v>
      </c>
      <c r="E6" s="127">
        <v>0.48899999999999999</v>
      </c>
      <c r="F6" s="127">
        <v>0.45900000000000002</v>
      </c>
      <c r="G6" s="127">
        <v>0.35299999999999998</v>
      </c>
      <c r="H6" s="127">
        <v>0.218</v>
      </c>
      <c r="I6" s="127">
        <v>0.13500000000000001</v>
      </c>
      <c r="J6" s="127">
        <v>-1.9E-2</v>
      </c>
      <c r="K6" s="127">
        <v>0.182</v>
      </c>
      <c r="L6" s="127">
        <v>0.27400000000000002</v>
      </c>
      <c r="M6" s="54" t="s">
        <v>30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3"/>
    </row>
    <row r="7" spans="1:26" ht="18" customHeight="1" x14ac:dyDescent="0.4">
      <c r="A7" s="54" t="s">
        <v>31</v>
      </c>
      <c r="B7" s="127">
        <v>4.2999999999999997E-2</v>
      </c>
      <c r="C7" s="127">
        <v>0.14199999999999999</v>
      </c>
      <c r="D7" s="127">
        <v>0.16400000000000001</v>
      </c>
      <c r="E7" s="127">
        <v>7.3999999999999996E-2</v>
      </c>
      <c r="F7" s="127">
        <v>2.1999999999999999E-2</v>
      </c>
      <c r="G7" s="127">
        <v>5.8999999999999997E-2</v>
      </c>
      <c r="H7" s="127">
        <v>4.7E-2</v>
      </c>
      <c r="I7" s="127">
        <v>1E-3</v>
      </c>
      <c r="J7" s="127"/>
      <c r="K7" s="127"/>
      <c r="L7" s="127"/>
      <c r="M7" s="54" t="s">
        <v>30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</row>
    <row r="8" spans="1:26" ht="18" customHeight="1" x14ac:dyDescent="0.4">
      <c r="A8" s="54" t="s">
        <v>23</v>
      </c>
      <c r="B8" s="126">
        <v>176.6</v>
      </c>
      <c r="C8" s="126">
        <v>207.8</v>
      </c>
      <c r="D8" s="126">
        <v>243.8</v>
      </c>
      <c r="E8" s="126">
        <v>263.2</v>
      </c>
      <c r="F8" s="126">
        <v>269.60000000000002</v>
      </c>
      <c r="G8" s="126">
        <v>283.60000000000002</v>
      </c>
      <c r="H8" s="126">
        <v>289.8</v>
      </c>
      <c r="I8" s="126">
        <v>283</v>
      </c>
      <c r="J8" s="126">
        <v>768.8</v>
      </c>
      <c r="K8" s="126">
        <v>891.5</v>
      </c>
      <c r="L8" s="126">
        <v>1126</v>
      </c>
      <c r="M8" s="54" t="s">
        <v>44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3"/>
    </row>
    <row r="9" spans="1:26" ht="18" customHeight="1" x14ac:dyDescent="0.4">
      <c r="A9" s="54" t="s">
        <v>369</v>
      </c>
      <c r="B9" s="126">
        <v>101.3</v>
      </c>
      <c r="C9" s="126">
        <v>127.1</v>
      </c>
      <c r="D9" s="126">
        <v>158</v>
      </c>
      <c r="E9" s="126">
        <v>166.7</v>
      </c>
      <c r="F9" s="126">
        <v>170</v>
      </c>
      <c r="G9" s="126">
        <v>179.2</v>
      </c>
      <c r="H9" s="126">
        <v>182.4</v>
      </c>
      <c r="I9" s="126">
        <v>175.5</v>
      </c>
      <c r="J9" s="126">
        <v>476.5</v>
      </c>
      <c r="K9" s="126">
        <v>553.1</v>
      </c>
      <c r="L9" s="126">
        <v>707.1</v>
      </c>
      <c r="M9" s="54" t="s">
        <v>44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3"/>
    </row>
    <row r="10" spans="1:26" ht="18" customHeight="1" x14ac:dyDescent="0.4">
      <c r="A10" s="54" t="s">
        <v>370</v>
      </c>
      <c r="B10" s="126">
        <v>75.3</v>
      </c>
      <c r="C10" s="126">
        <v>80.7</v>
      </c>
      <c r="D10" s="126">
        <v>85.8</v>
      </c>
      <c r="E10" s="126">
        <v>96.5</v>
      </c>
      <c r="F10" s="126">
        <v>99.7</v>
      </c>
      <c r="G10" s="126">
        <v>104.4</v>
      </c>
      <c r="H10" s="126">
        <v>107.4</v>
      </c>
      <c r="I10" s="126">
        <v>107.4</v>
      </c>
      <c r="J10" s="126">
        <v>292.39999999999998</v>
      </c>
      <c r="K10" s="126">
        <v>338.3</v>
      </c>
      <c r="L10" s="126">
        <v>418.9</v>
      </c>
      <c r="M10" s="54" t="s">
        <v>44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3"/>
    </row>
    <row r="11" spans="1:26" ht="18" customHeight="1" x14ac:dyDescent="0.4">
      <c r="A11" s="54" t="s">
        <v>26</v>
      </c>
      <c r="B11" s="126">
        <v>38.799999999999997</v>
      </c>
      <c r="C11" s="126">
        <v>37.700000000000003</v>
      </c>
      <c r="D11" s="126">
        <v>42.4</v>
      </c>
      <c r="E11" s="126">
        <v>44.2</v>
      </c>
      <c r="F11" s="126">
        <v>44.6</v>
      </c>
      <c r="G11" s="126">
        <v>49.1</v>
      </c>
      <c r="H11" s="126">
        <v>58.7</v>
      </c>
      <c r="I11" s="126">
        <v>65.8</v>
      </c>
      <c r="J11" s="126">
        <v>122.6</v>
      </c>
      <c r="K11" s="126">
        <v>163.1</v>
      </c>
      <c r="L11" s="126">
        <v>218.2</v>
      </c>
      <c r="M11" s="54" t="s">
        <v>44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3"/>
    </row>
    <row r="12" spans="1:26" ht="18" customHeight="1" x14ac:dyDescent="0.4">
      <c r="A12" s="54" t="s">
        <v>27</v>
      </c>
      <c r="B12" s="126">
        <v>0</v>
      </c>
      <c r="C12" s="126">
        <v>0.3</v>
      </c>
      <c r="D12" s="126">
        <v>0</v>
      </c>
      <c r="E12" s="126">
        <v>0</v>
      </c>
      <c r="F12" s="126">
        <v>0</v>
      </c>
      <c r="G12" s="126">
        <v>0</v>
      </c>
      <c r="H12" s="126">
        <v>0</v>
      </c>
      <c r="I12" s="126">
        <v>0</v>
      </c>
      <c r="J12" s="126">
        <v>0.8</v>
      </c>
      <c r="K12" s="126">
        <v>0.3</v>
      </c>
      <c r="L12" s="126">
        <v>0</v>
      </c>
      <c r="M12" s="54" t="s">
        <v>44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3"/>
    </row>
    <row r="13" spans="1:26" ht="18" customHeight="1" x14ac:dyDescent="0.4">
      <c r="A13" s="54" t="s">
        <v>371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5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3"/>
    </row>
    <row r="14" spans="1:26" ht="18" customHeight="1" x14ac:dyDescent="0.4">
      <c r="A14" s="54" t="s">
        <v>372</v>
      </c>
      <c r="B14" s="127">
        <v>0.82</v>
      </c>
      <c r="C14" s="127">
        <v>0.84499999999999997</v>
      </c>
      <c r="D14" s="127">
        <v>0.85199999999999998</v>
      </c>
      <c r="E14" s="127">
        <v>0.85599999999999998</v>
      </c>
      <c r="F14" s="127">
        <v>0.85799999999999998</v>
      </c>
      <c r="G14" s="127">
        <v>0.85199999999999998</v>
      </c>
      <c r="H14" s="127">
        <v>0.83199999999999996</v>
      </c>
      <c r="I14" s="127">
        <v>0.81100000000000005</v>
      </c>
      <c r="J14" s="127">
        <v>0.86199999999999999</v>
      </c>
      <c r="K14" s="127">
        <v>0.84399999999999997</v>
      </c>
      <c r="L14" s="127">
        <v>0.83799999999999997</v>
      </c>
      <c r="M14" s="54" t="s">
        <v>30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3"/>
    </row>
    <row r="15" spans="1:26" ht="18" customHeight="1" x14ac:dyDescent="0.4">
      <c r="A15" s="54" t="s">
        <v>373</v>
      </c>
      <c r="B15" s="127">
        <v>0.47</v>
      </c>
      <c r="C15" s="127">
        <v>0.51700000000000002</v>
      </c>
      <c r="D15" s="127">
        <v>0.55200000000000005</v>
      </c>
      <c r="E15" s="127">
        <v>0.54200000000000004</v>
      </c>
      <c r="F15" s="127">
        <v>0.54100000000000004</v>
      </c>
      <c r="G15" s="127">
        <v>0.53900000000000003</v>
      </c>
      <c r="H15" s="127">
        <v>0.52300000000000002</v>
      </c>
      <c r="I15" s="127">
        <v>0.503</v>
      </c>
      <c r="J15" s="127">
        <v>0.53400000000000003</v>
      </c>
      <c r="K15" s="127">
        <v>0.52400000000000002</v>
      </c>
      <c r="L15" s="127">
        <v>0.52600000000000002</v>
      </c>
      <c r="M15" s="54" t="s">
        <v>30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3"/>
    </row>
    <row r="16" spans="1:26" ht="18" customHeight="1" x14ac:dyDescent="0.4">
      <c r="A16" s="54" t="s">
        <v>374</v>
      </c>
      <c r="B16" s="127">
        <v>0.35</v>
      </c>
      <c r="C16" s="127">
        <v>0.32800000000000001</v>
      </c>
      <c r="D16" s="127">
        <v>0.3</v>
      </c>
      <c r="E16" s="127">
        <v>0.314</v>
      </c>
      <c r="F16" s="127">
        <v>0.317</v>
      </c>
      <c r="G16" s="127">
        <v>0.314</v>
      </c>
      <c r="H16" s="127">
        <v>0.308</v>
      </c>
      <c r="I16" s="127">
        <v>0.308</v>
      </c>
      <c r="J16" s="127">
        <v>0.32800000000000001</v>
      </c>
      <c r="K16" s="127">
        <v>0.32100000000000001</v>
      </c>
      <c r="L16" s="127">
        <v>0.312</v>
      </c>
      <c r="M16" s="54" t="s">
        <v>30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3"/>
    </row>
    <row r="17" spans="1:26" ht="18" customHeight="1" x14ac:dyDescent="0.4">
      <c r="A17" s="54" t="s">
        <v>375</v>
      </c>
      <c r="B17" s="127">
        <v>0.18</v>
      </c>
      <c r="C17" s="127">
        <v>0.153</v>
      </c>
      <c r="D17" s="127">
        <v>0.14799999999999999</v>
      </c>
      <c r="E17" s="127">
        <v>0.14399999999999999</v>
      </c>
      <c r="F17" s="127">
        <v>0.14199999999999999</v>
      </c>
      <c r="G17" s="127">
        <v>0.14799999999999999</v>
      </c>
      <c r="H17" s="127">
        <v>0.16800000000000001</v>
      </c>
      <c r="I17" s="127">
        <v>0.189</v>
      </c>
      <c r="J17" s="127">
        <v>0.13700000000000001</v>
      </c>
      <c r="K17" s="127">
        <v>0.155</v>
      </c>
      <c r="L17" s="127">
        <v>0.16200000000000001</v>
      </c>
      <c r="M17" s="54" t="s">
        <v>30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3"/>
    </row>
    <row r="18" spans="1:26" ht="18" customHeight="1" x14ac:dyDescent="0.4">
      <c r="A18" s="54" t="s">
        <v>376</v>
      </c>
      <c r="B18" s="127">
        <v>0</v>
      </c>
      <c r="C18" s="127">
        <v>1E-3</v>
      </c>
      <c r="D18" s="127">
        <v>0</v>
      </c>
      <c r="E18" s="127">
        <v>0</v>
      </c>
      <c r="F18" s="127">
        <v>0</v>
      </c>
      <c r="G18" s="127">
        <v>0</v>
      </c>
      <c r="H18" s="127">
        <v>0</v>
      </c>
      <c r="I18" s="127">
        <v>0</v>
      </c>
      <c r="J18" s="127">
        <v>1E-3</v>
      </c>
      <c r="K18" s="127">
        <v>0</v>
      </c>
      <c r="L18" s="127">
        <v>0</v>
      </c>
      <c r="M18" s="54" t="s">
        <v>30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3"/>
    </row>
    <row r="19" spans="1:26" ht="18" customHeight="1" x14ac:dyDescent="0.4">
      <c r="A19" s="54" t="s">
        <v>377</v>
      </c>
      <c r="B19" s="126">
        <v>-6.2</v>
      </c>
      <c r="C19" s="126">
        <v>1.9</v>
      </c>
      <c r="D19" s="126">
        <v>24.4</v>
      </c>
      <c r="E19" s="126">
        <v>25.8</v>
      </c>
      <c r="F19" s="126">
        <v>31.1</v>
      </c>
      <c r="G19" s="126">
        <v>36.9</v>
      </c>
      <c r="H19" s="126">
        <v>40.5</v>
      </c>
      <c r="I19" s="126">
        <v>39.4</v>
      </c>
      <c r="J19" s="126">
        <v>11.3</v>
      </c>
      <c r="K19" s="126">
        <v>45.9</v>
      </c>
      <c r="L19" s="126">
        <v>148</v>
      </c>
      <c r="M19" s="54" t="s">
        <v>44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3"/>
    </row>
    <row r="20" spans="1:26" ht="18" customHeight="1" x14ac:dyDescent="0.4">
      <c r="A20" s="54" t="s">
        <v>29</v>
      </c>
      <c r="B20" s="127">
        <v>1.1499999999999999</v>
      </c>
      <c r="C20" s="127">
        <v>-0.82199999999999995</v>
      </c>
      <c r="D20" s="127">
        <v>1.655</v>
      </c>
      <c r="E20" s="127">
        <v>-5.3179999999999996</v>
      </c>
      <c r="F20" s="127">
        <v>-6.0209999999999999</v>
      </c>
      <c r="G20" s="127">
        <v>18.745999999999999</v>
      </c>
      <c r="H20" s="127">
        <v>0.65800000000000003</v>
      </c>
      <c r="I20" s="127">
        <v>0.52800000000000002</v>
      </c>
      <c r="J20" s="127">
        <v>-0.52600000000000002</v>
      </c>
      <c r="K20" s="127">
        <v>3.0760000000000001</v>
      </c>
      <c r="L20" s="127">
        <v>2.2240000000000002</v>
      </c>
      <c r="M20" s="54" t="s">
        <v>30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3"/>
    </row>
    <row r="21" spans="1:26" ht="18" customHeight="1" x14ac:dyDescent="0.4">
      <c r="A21" s="54" t="s">
        <v>31</v>
      </c>
      <c r="B21" s="127">
        <v>4.1000000000000002E-2</v>
      </c>
      <c r="C21" s="127">
        <v>-1.3140000000000001</v>
      </c>
      <c r="D21" s="127">
        <v>12.074</v>
      </c>
      <c r="E21" s="127">
        <v>5.3999999999999999E-2</v>
      </c>
      <c r="F21" s="127">
        <v>0.20799999999999999</v>
      </c>
      <c r="G21" s="127">
        <v>0.186</v>
      </c>
      <c r="H21" s="127">
        <v>9.8000000000000004E-2</v>
      </c>
      <c r="I21" s="127">
        <v>-2.8000000000000001E-2</v>
      </c>
      <c r="J21" s="127"/>
      <c r="K21" s="127"/>
      <c r="L21" s="127"/>
      <c r="M21" s="54" t="s">
        <v>30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3"/>
    </row>
    <row r="22" spans="1:26" ht="18" customHeight="1" x14ac:dyDescent="0.4">
      <c r="A22" s="54" t="s">
        <v>360</v>
      </c>
      <c r="B22" s="127">
        <v>-2.9000000000000001E-2</v>
      </c>
      <c r="C22" s="127">
        <v>8.0000000000000002E-3</v>
      </c>
      <c r="D22" s="127">
        <v>8.5000000000000006E-2</v>
      </c>
      <c r="E22" s="127">
        <v>8.4000000000000005E-2</v>
      </c>
      <c r="F22" s="127">
        <v>9.9000000000000005E-2</v>
      </c>
      <c r="G22" s="127">
        <v>0.111</v>
      </c>
      <c r="H22" s="127">
        <v>0.11600000000000001</v>
      </c>
      <c r="I22" s="127">
        <v>0.113</v>
      </c>
      <c r="J22" s="127">
        <v>1.2999999999999999E-2</v>
      </c>
      <c r="K22" s="127">
        <v>4.3999999999999997E-2</v>
      </c>
      <c r="L22" s="127">
        <v>0.11</v>
      </c>
      <c r="M22" s="54" t="s">
        <v>30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3"/>
    </row>
    <row r="23" spans="1:26" ht="18" customHeight="1" x14ac:dyDescent="0.4">
      <c r="A23" s="1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3"/>
    </row>
    <row r="24" spans="1:26" ht="18" customHeight="1" x14ac:dyDescent="0.4">
      <c r="A24" s="116" t="s">
        <v>211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3"/>
    </row>
    <row r="25" spans="1:26" ht="18" customHeight="1" x14ac:dyDescent="0.4">
      <c r="A25" s="1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3"/>
    </row>
    <row r="26" spans="1:26" ht="19.95" customHeight="1" x14ac:dyDescent="0.4">
      <c r="A26" s="80" t="s">
        <v>302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2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3"/>
    </row>
    <row r="27" spans="1:26" ht="19.95" customHeight="1" x14ac:dyDescent="0.4">
      <c r="A27" s="53" t="s">
        <v>50</v>
      </c>
      <c r="B27" s="53" t="s">
        <v>12</v>
      </c>
      <c r="C27" s="53" t="s">
        <v>13</v>
      </c>
      <c r="D27" s="53" t="s">
        <v>14</v>
      </c>
      <c r="E27" s="53" t="s">
        <v>383</v>
      </c>
      <c r="F27" s="53" t="s">
        <v>16</v>
      </c>
      <c r="G27" s="53" t="s">
        <v>17</v>
      </c>
      <c r="H27" s="53" t="s">
        <v>18</v>
      </c>
      <c r="I27" s="53" t="s">
        <v>19</v>
      </c>
      <c r="J27" s="53" t="s">
        <v>41</v>
      </c>
      <c r="K27" s="53" t="s">
        <v>42</v>
      </c>
      <c r="L27" s="53" t="s">
        <v>21</v>
      </c>
      <c r="M27" s="53" t="s">
        <v>6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3"/>
    </row>
    <row r="28" spans="1:26" ht="18" customHeight="1" x14ac:dyDescent="0.4">
      <c r="A28" s="54" t="s">
        <v>378</v>
      </c>
      <c r="B28" s="54">
        <f t="shared" ref="B28:L28" si="0">B8+B11+B12</f>
        <v>215.39999999999998</v>
      </c>
      <c r="C28" s="54">
        <f t="shared" si="0"/>
        <v>245.8</v>
      </c>
      <c r="D28" s="54">
        <f t="shared" si="0"/>
        <v>286.2</v>
      </c>
      <c r="E28" s="54">
        <f t="shared" si="0"/>
        <v>307.39999999999998</v>
      </c>
      <c r="F28" s="54">
        <f t="shared" si="0"/>
        <v>314.20000000000005</v>
      </c>
      <c r="G28" s="54">
        <f t="shared" si="0"/>
        <v>332.70000000000005</v>
      </c>
      <c r="H28" s="54">
        <f t="shared" si="0"/>
        <v>348.5</v>
      </c>
      <c r="I28" s="54">
        <f t="shared" si="0"/>
        <v>348.8</v>
      </c>
      <c r="J28" s="54">
        <f t="shared" si="0"/>
        <v>892.19999999999993</v>
      </c>
      <c r="K28" s="54">
        <f t="shared" si="0"/>
        <v>1054.8999999999999</v>
      </c>
      <c r="L28" s="54">
        <f t="shared" si="0"/>
        <v>1344.2</v>
      </c>
      <c r="M28" s="5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3"/>
    </row>
    <row r="29" spans="1:26" ht="18" customHeight="1" x14ac:dyDescent="0.4">
      <c r="A29" s="54" t="s">
        <v>379</v>
      </c>
      <c r="B29" s="54">
        <f t="shared" ref="B29:L29" si="1">B28-B5</f>
        <v>0</v>
      </c>
      <c r="C29" s="54">
        <f t="shared" si="1"/>
        <v>-9.9999999999994316E-2</v>
      </c>
      <c r="D29" s="54">
        <f t="shared" si="1"/>
        <v>0</v>
      </c>
      <c r="E29" s="54">
        <f t="shared" si="1"/>
        <v>0</v>
      </c>
      <c r="F29" s="54">
        <f t="shared" si="1"/>
        <v>0</v>
      </c>
      <c r="G29" s="54">
        <f t="shared" si="1"/>
        <v>0</v>
      </c>
      <c r="H29" s="54">
        <f t="shared" si="1"/>
        <v>0</v>
      </c>
      <c r="I29" s="54">
        <f t="shared" si="1"/>
        <v>0</v>
      </c>
      <c r="J29" s="54">
        <f t="shared" si="1"/>
        <v>9.9999999999909051E-2</v>
      </c>
      <c r="K29" s="54">
        <f t="shared" si="1"/>
        <v>9.9999999999909051E-2</v>
      </c>
      <c r="L29" s="54">
        <f t="shared" si="1"/>
        <v>0</v>
      </c>
      <c r="M29" s="56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3"/>
    </row>
    <row r="30" spans="1:26" ht="18" customHeight="1" x14ac:dyDescent="0.4">
      <c r="A30" s="54" t="s">
        <v>380</v>
      </c>
      <c r="B30" s="124">
        <f t="shared" ref="B30:L30" si="2">IFERROR(B19/B5,"")</f>
        <v>-2.8783658310120707E-2</v>
      </c>
      <c r="C30" s="124">
        <f t="shared" si="2"/>
        <v>7.7267181781211867E-3</v>
      </c>
      <c r="D30" s="124">
        <f t="shared" si="2"/>
        <v>8.5255066387141851E-2</v>
      </c>
      <c r="E30" s="124">
        <f t="shared" si="2"/>
        <v>8.3929733246584259E-2</v>
      </c>
      <c r="F30" s="124">
        <f t="shared" si="2"/>
        <v>9.8981540420114589E-2</v>
      </c>
      <c r="G30" s="124">
        <f t="shared" si="2"/>
        <v>0.1109107303877367</v>
      </c>
      <c r="H30" s="124">
        <f t="shared" si="2"/>
        <v>0.11621233859397417</v>
      </c>
      <c r="I30" s="124">
        <f t="shared" si="2"/>
        <v>0.11295871559633026</v>
      </c>
      <c r="J30" s="124">
        <f t="shared" si="2"/>
        <v>1.2666741396704406E-2</v>
      </c>
      <c r="K30" s="124">
        <f t="shared" si="2"/>
        <v>4.3515358361774746E-2</v>
      </c>
      <c r="L30" s="124">
        <f t="shared" si="2"/>
        <v>0.11010266329415265</v>
      </c>
      <c r="M30" s="56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3"/>
    </row>
    <row r="31" spans="1:26" ht="18" customHeight="1" x14ac:dyDescent="0.4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3"/>
    </row>
    <row r="32" spans="1:26" ht="18" customHeight="1" x14ac:dyDescent="0.4">
      <c r="A32" s="164" t="s">
        <v>381</v>
      </c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3"/>
    </row>
    <row r="33" spans="1:26" ht="18" customHeight="1" x14ac:dyDescent="0.4">
      <c r="A33" s="1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3"/>
    </row>
    <row r="34" spans="1:26" ht="18" customHeight="1" x14ac:dyDescent="0.4">
      <c r="A34" s="1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3"/>
    </row>
    <row r="35" spans="1:26" ht="18" customHeight="1" x14ac:dyDescent="0.4">
      <c r="A35" s="1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3"/>
    </row>
    <row r="36" spans="1:26" ht="18" customHeight="1" x14ac:dyDescent="0.4">
      <c r="A36" s="1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3"/>
    </row>
    <row r="37" spans="1:26" ht="18" customHeight="1" x14ac:dyDescent="0.4">
      <c r="A37" s="1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3"/>
    </row>
    <row r="38" spans="1:26" ht="18" customHeight="1" x14ac:dyDescent="0.4">
      <c r="A38" s="1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3"/>
    </row>
    <row r="39" spans="1:26" ht="18" customHeight="1" x14ac:dyDescent="0.4">
      <c r="A39" s="1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3"/>
    </row>
    <row r="40" spans="1:26" ht="18" customHeight="1" x14ac:dyDescent="0.4">
      <c r="A40" s="1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3"/>
    </row>
    <row r="41" spans="1:26" ht="18" customHeight="1" x14ac:dyDescent="0.4">
      <c r="A41" s="1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3"/>
    </row>
    <row r="42" spans="1:26" ht="18" customHeight="1" x14ac:dyDescent="0.4">
      <c r="A42" s="1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3"/>
    </row>
    <row r="43" spans="1:26" ht="18" customHeight="1" x14ac:dyDescent="0.4">
      <c r="A43" s="1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3"/>
    </row>
    <row r="44" spans="1:26" ht="18" customHeight="1" x14ac:dyDescent="0.4">
      <c r="A44" s="1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3"/>
    </row>
    <row r="45" spans="1:26" ht="18" customHeight="1" x14ac:dyDescent="0.4">
      <c r="A45" s="1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3"/>
    </row>
    <row r="46" spans="1:26" ht="18" customHeight="1" x14ac:dyDescent="0.4">
      <c r="A46" s="1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3"/>
    </row>
    <row r="47" spans="1:26" ht="18" customHeight="1" x14ac:dyDescent="0.4">
      <c r="A47" s="1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3"/>
    </row>
    <row r="48" spans="1:26" ht="18" customHeight="1" x14ac:dyDescent="0.4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3"/>
    </row>
    <row r="49" spans="1:26" ht="18" customHeight="1" x14ac:dyDescent="0.4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3"/>
    </row>
    <row r="50" spans="1:26" ht="18" customHeight="1" x14ac:dyDescent="0.4">
      <c r="A50" s="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3"/>
    </row>
    <row r="51" spans="1:26" ht="18" customHeight="1" x14ac:dyDescent="0.4">
      <c r="A51" s="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3"/>
    </row>
    <row r="52" spans="1:26" ht="18" customHeight="1" x14ac:dyDescent="0.4">
      <c r="A52" s="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3"/>
    </row>
    <row r="53" spans="1:26" ht="18" customHeight="1" x14ac:dyDescent="0.4">
      <c r="A53" s="1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3"/>
    </row>
    <row r="54" spans="1:26" ht="18" customHeight="1" x14ac:dyDescent="0.4">
      <c r="A54" s="1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3"/>
    </row>
    <row r="55" spans="1:26" ht="18" customHeight="1" x14ac:dyDescent="0.4">
      <c r="A55" s="1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3"/>
    </row>
    <row r="56" spans="1:26" ht="18" customHeight="1" x14ac:dyDescent="0.4">
      <c r="A56" s="1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3"/>
    </row>
    <row r="57" spans="1:26" ht="18" customHeight="1" x14ac:dyDescent="0.4">
      <c r="A57" s="1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3"/>
    </row>
    <row r="58" spans="1:26" ht="18" customHeight="1" x14ac:dyDescent="0.4">
      <c r="A58" s="1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3"/>
    </row>
    <row r="59" spans="1:26" ht="18" customHeight="1" x14ac:dyDescent="0.4">
      <c r="A59" s="1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3"/>
    </row>
    <row r="60" spans="1:26" ht="18" customHeight="1" x14ac:dyDescent="0.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spans="1:26" ht="18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</sheetData>
  <mergeCells count="2">
    <mergeCell ref="A2:M2"/>
    <mergeCell ref="A32:L32"/>
  </mergeCells>
  <phoneticPr fontId="2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F6E6A"/>
  </sheetPr>
  <dimension ref="A1:Z90"/>
  <sheetViews>
    <sheetView showGridLines="0" workbookViewId="0"/>
  </sheetViews>
  <sheetFormatPr defaultColWidth="8.69921875" defaultRowHeight="17.399999999999999" x14ac:dyDescent="0.4"/>
  <cols>
    <col min="1" max="1" width="24" customWidth="1"/>
    <col min="2" max="6" width="12" customWidth="1"/>
    <col min="7" max="7" width="28" customWidth="1"/>
    <col min="8" max="26" width="10" customWidth="1"/>
  </cols>
  <sheetData>
    <row r="1" spans="1:26" ht="22.05" customHeight="1" x14ac:dyDescent="0.4">
      <c r="A1" s="111" t="s">
        <v>384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6"/>
    </row>
    <row r="2" spans="1:26" ht="18" customHeight="1" x14ac:dyDescent="0.4">
      <c r="A2" s="165" t="s">
        <v>385</v>
      </c>
      <c r="B2" s="148"/>
      <c r="C2" s="148"/>
      <c r="D2" s="148"/>
      <c r="E2" s="148"/>
      <c r="F2" s="148"/>
      <c r="G2" s="148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28"/>
    </row>
    <row r="3" spans="1:26" ht="18" customHeight="1" x14ac:dyDescent="0.4">
      <c r="A3" s="1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3"/>
    </row>
    <row r="4" spans="1:26" ht="19.95" customHeight="1" x14ac:dyDescent="0.4">
      <c r="A4" s="53" t="s">
        <v>67</v>
      </c>
      <c r="B4" s="53" t="s">
        <v>40</v>
      </c>
      <c r="C4" s="53" t="s">
        <v>41</v>
      </c>
      <c r="D4" s="53" t="s">
        <v>42</v>
      </c>
      <c r="E4" s="53" t="s">
        <v>21</v>
      </c>
      <c r="F4" s="53" t="s">
        <v>22</v>
      </c>
      <c r="G4" s="53" t="s">
        <v>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3"/>
    </row>
    <row r="5" spans="1:26" ht="18" customHeight="1" x14ac:dyDescent="0.4">
      <c r="A5" s="54" t="s">
        <v>43</v>
      </c>
      <c r="B5" s="78">
        <v>909.7</v>
      </c>
      <c r="C5" s="78">
        <v>892.1</v>
      </c>
      <c r="D5" s="128">
        <f>M1_실적추정_모델!J16</f>
        <v>1065.3</v>
      </c>
      <c r="E5" s="128">
        <f>M1_실적추정_모델!K16</f>
        <v>1485.5</v>
      </c>
      <c r="F5" s="128">
        <f>M1_실적추정_모델!L16</f>
        <v>1633.3000000000002</v>
      </c>
      <c r="G5" s="5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3"/>
    </row>
    <row r="6" spans="1:26" ht="18" customHeight="1" x14ac:dyDescent="0.4">
      <c r="A6" s="54" t="s">
        <v>386</v>
      </c>
      <c r="B6" s="78">
        <v>834.5</v>
      </c>
      <c r="C6" s="78">
        <v>830.6</v>
      </c>
      <c r="D6" s="64">
        <v>957.2</v>
      </c>
      <c r="E6" s="64">
        <v>1242.2</v>
      </c>
      <c r="F6" s="64">
        <v>1355.4</v>
      </c>
      <c r="G6" s="5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3"/>
    </row>
    <row r="7" spans="1:26" ht="18" customHeight="1" x14ac:dyDescent="0.4">
      <c r="A7" s="54" t="s">
        <v>387</v>
      </c>
      <c r="B7" s="78">
        <f>B5-B6</f>
        <v>75.200000000000045</v>
      </c>
      <c r="C7" s="78">
        <f>C5-C6</f>
        <v>61.5</v>
      </c>
      <c r="D7" s="64">
        <f>D5-D6</f>
        <v>108.09999999999991</v>
      </c>
      <c r="E7" s="64">
        <f>E5-E6</f>
        <v>243.29999999999995</v>
      </c>
      <c r="F7" s="64">
        <f>F5-F6</f>
        <v>277.90000000000009</v>
      </c>
      <c r="G7" s="5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</row>
    <row r="8" spans="1:26" ht="18" customHeight="1" x14ac:dyDescent="0.4">
      <c r="A8" s="54" t="s">
        <v>388</v>
      </c>
      <c r="B8" s="78">
        <v>51.4</v>
      </c>
      <c r="C8" s="78">
        <v>50.3</v>
      </c>
      <c r="D8" s="64">
        <v>59</v>
      </c>
      <c r="E8" s="64">
        <v>63.3</v>
      </c>
      <c r="F8" s="64">
        <v>59.5</v>
      </c>
      <c r="G8" s="5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3"/>
    </row>
    <row r="9" spans="1:26" ht="18" customHeight="1" x14ac:dyDescent="0.4">
      <c r="A9" s="54" t="s">
        <v>33</v>
      </c>
      <c r="B9" s="78">
        <v>23.7</v>
      </c>
      <c r="C9" s="78">
        <v>11.3</v>
      </c>
      <c r="D9" s="128">
        <f>M1_실적추정_모델!J21</f>
        <v>49.099999999999994</v>
      </c>
      <c r="E9" s="128">
        <f>M1_실적추정_모델!K21</f>
        <v>180</v>
      </c>
      <c r="F9" s="128">
        <f>M1_실적추정_모델!L21</f>
        <v>218.3</v>
      </c>
      <c r="G9" s="5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3"/>
    </row>
    <row r="10" spans="1:26" ht="18" customHeight="1" x14ac:dyDescent="0.4">
      <c r="A10" s="54" t="s">
        <v>389</v>
      </c>
      <c r="B10" s="78">
        <v>9.1</v>
      </c>
      <c r="C10" s="78">
        <v>17.100000000000001</v>
      </c>
      <c r="D10" s="64">
        <v>0.7</v>
      </c>
      <c r="E10" s="64">
        <v>9.4</v>
      </c>
      <c r="F10" s="64">
        <v>9.1</v>
      </c>
      <c r="G10" s="5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3"/>
    </row>
    <row r="11" spans="1:26" ht="18" customHeight="1" x14ac:dyDescent="0.4">
      <c r="A11" s="54" t="s">
        <v>390</v>
      </c>
      <c r="B11" s="78">
        <v>0</v>
      </c>
      <c r="C11" s="78">
        <v>0</v>
      </c>
      <c r="D11" s="64">
        <v>-1.8</v>
      </c>
      <c r="E11" s="64">
        <v>-2.1</v>
      </c>
      <c r="F11" s="64">
        <v>5.5</v>
      </c>
      <c r="G11" s="5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3"/>
    </row>
    <row r="12" spans="1:26" ht="18" customHeight="1" x14ac:dyDescent="0.4">
      <c r="A12" s="54" t="s">
        <v>391</v>
      </c>
      <c r="B12" s="78">
        <v>-4.5</v>
      </c>
      <c r="C12" s="78">
        <v>1.8</v>
      </c>
      <c r="D12" s="64">
        <v>5.5</v>
      </c>
      <c r="E12" s="64">
        <v>0</v>
      </c>
      <c r="F12" s="64">
        <v>-4.5</v>
      </c>
      <c r="G12" s="5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3"/>
    </row>
    <row r="13" spans="1:26" ht="18" customHeight="1" x14ac:dyDescent="0.4">
      <c r="A13" s="54" t="s">
        <v>45</v>
      </c>
      <c r="B13" s="78">
        <v>28.4</v>
      </c>
      <c r="C13" s="78">
        <v>30.2</v>
      </c>
      <c r="D13" s="128">
        <f>M1_실적추정_모델!J25</f>
        <v>53.5</v>
      </c>
      <c r="E13" s="128">
        <f>M1_실적추정_모델!K25</f>
        <v>187.3</v>
      </c>
      <c r="F13" s="128">
        <f>M1_실적추정_모델!L25</f>
        <v>228.5</v>
      </c>
      <c r="G13" s="5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3"/>
    </row>
    <row r="14" spans="1:26" ht="18" customHeight="1" x14ac:dyDescent="0.4">
      <c r="A14" s="54" t="s">
        <v>392</v>
      </c>
      <c r="B14" s="78">
        <v>3</v>
      </c>
      <c r="C14" s="78">
        <v>6.4</v>
      </c>
      <c r="D14" s="64">
        <v>4.7</v>
      </c>
      <c r="E14" s="64">
        <v>37.5</v>
      </c>
      <c r="F14" s="64">
        <v>45.7</v>
      </c>
      <c r="G14" s="5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3"/>
    </row>
    <row r="15" spans="1:26" ht="18" customHeight="1" x14ac:dyDescent="0.4">
      <c r="A15" s="54" t="s">
        <v>393</v>
      </c>
      <c r="B15" s="78">
        <f>B13-B14</f>
        <v>25.4</v>
      </c>
      <c r="C15" s="78">
        <f>C13-C14</f>
        <v>23.799999999999997</v>
      </c>
      <c r="D15" s="64">
        <f>D19</f>
        <v>48.8</v>
      </c>
      <c r="E15" s="64">
        <f>E19</f>
        <v>149.9</v>
      </c>
      <c r="F15" s="64">
        <f>F19</f>
        <v>182.8</v>
      </c>
      <c r="G15" s="5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3"/>
    </row>
    <row r="16" spans="1:26" ht="18" customHeight="1" x14ac:dyDescent="0.4">
      <c r="A16" s="54" t="s">
        <v>394</v>
      </c>
      <c r="B16" s="78">
        <v>0</v>
      </c>
      <c r="C16" s="78">
        <v>0</v>
      </c>
      <c r="D16" s="64">
        <v>0</v>
      </c>
      <c r="E16" s="64">
        <v>0</v>
      </c>
      <c r="F16" s="64">
        <v>0</v>
      </c>
      <c r="G16" s="5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3"/>
    </row>
    <row r="17" spans="1:26" ht="18" customHeight="1" x14ac:dyDescent="0.4">
      <c r="A17" s="54" t="s">
        <v>395</v>
      </c>
      <c r="B17" s="78">
        <f>B15+B16</f>
        <v>25.4</v>
      </c>
      <c r="C17" s="78">
        <f>C15+C16</f>
        <v>23.799999999999997</v>
      </c>
      <c r="D17" s="64">
        <f>D15+D16</f>
        <v>48.8</v>
      </c>
      <c r="E17" s="64">
        <f>E15+E16</f>
        <v>149.9</v>
      </c>
      <c r="F17" s="64">
        <f>F15+F16</f>
        <v>182.8</v>
      </c>
      <c r="G17" s="5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3"/>
    </row>
    <row r="18" spans="1:26" ht="18" customHeight="1" x14ac:dyDescent="0.4">
      <c r="A18" s="54" t="s">
        <v>396</v>
      </c>
      <c r="B18" s="78">
        <v>0</v>
      </c>
      <c r="C18" s="78">
        <v>0</v>
      </c>
      <c r="D18" s="64">
        <v>0</v>
      </c>
      <c r="E18" s="64">
        <v>0</v>
      </c>
      <c r="F18" s="64">
        <v>0</v>
      </c>
      <c r="G18" s="5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3"/>
    </row>
    <row r="19" spans="1:26" ht="18" customHeight="1" x14ac:dyDescent="0.4">
      <c r="A19" s="54" t="s">
        <v>46</v>
      </c>
      <c r="B19" s="78">
        <v>25.4</v>
      </c>
      <c r="C19" s="78">
        <v>23.8</v>
      </c>
      <c r="D19" s="128">
        <f>M1_실적추정_모델!J26</f>
        <v>48.8</v>
      </c>
      <c r="E19" s="128">
        <f>M1_실적추정_모델!K26</f>
        <v>149.9</v>
      </c>
      <c r="F19" s="128">
        <f>M1_실적추정_모델!L26</f>
        <v>182.8</v>
      </c>
      <c r="G19" s="5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3"/>
    </row>
    <row r="20" spans="1:26" ht="18" customHeight="1" x14ac:dyDescent="0.4">
      <c r="A20" s="54" t="s">
        <v>397</v>
      </c>
      <c r="B20" s="78">
        <v>34</v>
      </c>
      <c r="C20" s="78">
        <v>22.6</v>
      </c>
      <c r="D20" s="64">
        <v>46.8</v>
      </c>
      <c r="E20" s="64">
        <v>149.9</v>
      </c>
      <c r="F20" s="64">
        <v>182.8</v>
      </c>
      <c r="G20" s="5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3"/>
    </row>
    <row r="21" spans="1:26" ht="18" customHeight="1" x14ac:dyDescent="0.4">
      <c r="A21" s="54" t="s">
        <v>398</v>
      </c>
      <c r="B21" s="78">
        <v>21.2</v>
      </c>
      <c r="C21" s="78">
        <v>8.9</v>
      </c>
      <c r="D21" s="64">
        <v>44.8</v>
      </c>
      <c r="E21" s="64">
        <v>144</v>
      </c>
      <c r="F21" s="64">
        <v>174.7</v>
      </c>
      <c r="G21" s="5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3"/>
    </row>
    <row r="22" spans="1:26" ht="18" customHeight="1" x14ac:dyDescent="0.4">
      <c r="A22" s="54" t="s">
        <v>399</v>
      </c>
      <c r="B22" s="78">
        <v>138.80000000000001</v>
      </c>
      <c r="C22" s="78">
        <v>128.69999999999999</v>
      </c>
      <c r="D22" s="64">
        <v>150.1</v>
      </c>
      <c r="E22" s="64">
        <v>274.3</v>
      </c>
      <c r="F22" s="64">
        <v>308.8</v>
      </c>
      <c r="G22" s="5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3"/>
    </row>
    <row r="23" spans="1:26" ht="19.95" customHeight="1" x14ac:dyDescent="0.4">
      <c r="A23" s="74"/>
      <c r="B23" s="129"/>
      <c r="C23" s="129"/>
      <c r="D23" s="129"/>
      <c r="E23" s="129"/>
      <c r="F23" s="129"/>
      <c r="G23" s="7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3"/>
    </row>
    <row r="24" spans="1:26" ht="18" customHeight="1" x14ac:dyDescent="0.4">
      <c r="A24" s="54" t="s">
        <v>400</v>
      </c>
      <c r="B24" s="72"/>
      <c r="C24" s="72"/>
      <c r="D24" s="72"/>
      <c r="E24" s="72"/>
      <c r="F24" s="72"/>
      <c r="G24" s="5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3"/>
    </row>
    <row r="25" spans="1:26" ht="18" customHeight="1" x14ac:dyDescent="0.4">
      <c r="A25" s="54" t="s">
        <v>401</v>
      </c>
      <c r="B25" s="78">
        <v>-0.30880000000000002</v>
      </c>
      <c r="C25" s="78">
        <v>-1.9300000000000001E-2</v>
      </c>
      <c r="D25" s="64">
        <v>0.19409999999999999</v>
      </c>
      <c r="E25" s="64">
        <v>0.39450000000000002</v>
      </c>
      <c r="F25" s="64">
        <v>9.9400000000000002E-2</v>
      </c>
      <c r="G25" s="5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3"/>
    </row>
    <row r="26" spans="1:26" ht="18" customHeight="1" x14ac:dyDescent="0.4">
      <c r="A26" s="54" t="s">
        <v>402</v>
      </c>
      <c r="B26" s="78">
        <v>-0.87880000000000003</v>
      </c>
      <c r="C26" s="78">
        <v>-0.58020000000000005</v>
      </c>
      <c r="D26" s="64">
        <v>4.0336999999999996</v>
      </c>
      <c r="E26" s="64">
        <v>2.2143000000000002</v>
      </c>
      <c r="F26" s="64">
        <v>0.2132</v>
      </c>
      <c r="G26" s="5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3"/>
    </row>
    <row r="27" spans="1:26" ht="18" customHeight="1" x14ac:dyDescent="0.4">
      <c r="A27" s="54" t="s">
        <v>403</v>
      </c>
      <c r="B27" s="78">
        <v>-0.58850000000000002</v>
      </c>
      <c r="C27" s="78">
        <v>-7.2800000000000004E-2</v>
      </c>
      <c r="D27" s="64">
        <v>0.1663</v>
      </c>
      <c r="E27" s="64">
        <v>0.82740000000000002</v>
      </c>
      <c r="F27" s="64">
        <v>0.1258</v>
      </c>
      <c r="G27" s="5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3"/>
    </row>
    <row r="28" spans="1:26" ht="18" customHeight="1" x14ac:dyDescent="0.4">
      <c r="A28" s="54" t="s">
        <v>404</v>
      </c>
      <c r="B28" s="78">
        <v>-0.89810000000000001</v>
      </c>
      <c r="C28" s="78">
        <v>-0.5232</v>
      </c>
      <c r="D28" s="64">
        <v>3.3540000000000001</v>
      </c>
      <c r="E28" s="64">
        <v>2.6585000000000001</v>
      </c>
      <c r="F28" s="64">
        <v>0.21279999999999999</v>
      </c>
      <c r="G28" s="5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3"/>
    </row>
    <row r="29" spans="1:26" ht="18" customHeight="1" x14ac:dyDescent="0.4">
      <c r="A29" s="54" t="s">
        <v>405</v>
      </c>
      <c r="B29" s="78">
        <v>-0.8619</v>
      </c>
      <c r="C29" s="78">
        <v>-6.3E-2</v>
      </c>
      <c r="D29" s="64">
        <v>1.0504</v>
      </c>
      <c r="E29" s="64">
        <v>2.0716999999999999</v>
      </c>
      <c r="F29" s="64">
        <v>0.2195</v>
      </c>
      <c r="G29" s="5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3"/>
    </row>
    <row r="30" spans="1:26" ht="18" customHeight="1" x14ac:dyDescent="0.4">
      <c r="A30" s="54" t="s">
        <v>406</v>
      </c>
      <c r="B30" s="78">
        <v>-0.8619</v>
      </c>
      <c r="C30" s="78">
        <v>-6.4899999999999999E-2</v>
      </c>
      <c r="D30" s="64">
        <v>1.0542</v>
      </c>
      <c r="E30" s="64">
        <v>2.2027000000000001</v>
      </c>
      <c r="F30" s="64">
        <v>0.21959999999999999</v>
      </c>
      <c r="G30" s="5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3"/>
    </row>
    <row r="31" spans="1:26" ht="19.95" customHeight="1" x14ac:dyDescent="0.4">
      <c r="A31" s="73" t="s">
        <v>407</v>
      </c>
      <c r="B31" s="129"/>
      <c r="C31" s="129"/>
      <c r="D31" s="129"/>
      <c r="E31" s="129"/>
      <c r="F31" s="129"/>
      <c r="G31" s="7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3"/>
    </row>
    <row r="32" spans="1:26" ht="18" customHeight="1" x14ac:dyDescent="0.4">
      <c r="A32" s="54" t="s">
        <v>408</v>
      </c>
      <c r="B32" s="78">
        <v>8.2699999999999996E-2</v>
      </c>
      <c r="C32" s="78">
        <v>6.8900000000000003E-2</v>
      </c>
      <c r="D32" s="64">
        <v>0.10150000000000001</v>
      </c>
      <c r="E32" s="64">
        <v>0.1638</v>
      </c>
      <c r="F32" s="64">
        <v>0.1701</v>
      </c>
      <c r="G32" s="5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3"/>
    </row>
    <row r="33" spans="1:26" ht="18" customHeight="1" x14ac:dyDescent="0.4">
      <c r="A33" s="54" t="s">
        <v>409</v>
      </c>
      <c r="B33" s="78">
        <v>0.15260000000000001</v>
      </c>
      <c r="C33" s="78">
        <v>0.14430000000000001</v>
      </c>
      <c r="D33" s="64">
        <v>0.1409</v>
      </c>
      <c r="E33" s="64">
        <v>0.18459999999999999</v>
      </c>
      <c r="F33" s="64">
        <v>0.18909999999999999</v>
      </c>
      <c r="G33" s="5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3"/>
    </row>
    <row r="34" spans="1:26" ht="18" customHeight="1" x14ac:dyDescent="0.4">
      <c r="A34" s="54" t="s">
        <v>410</v>
      </c>
      <c r="B34" s="78">
        <v>2.6100000000000002E-2</v>
      </c>
      <c r="C34" s="78">
        <v>1.2699999999999999E-2</v>
      </c>
      <c r="D34" s="64">
        <v>4.6199999999999998E-2</v>
      </c>
      <c r="E34" s="64">
        <v>0.1212</v>
      </c>
      <c r="F34" s="64">
        <v>0.13370000000000001</v>
      </c>
      <c r="G34" s="5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3"/>
    </row>
    <row r="35" spans="1:26" ht="18" customHeight="1" x14ac:dyDescent="0.4">
      <c r="A35" s="54" t="s">
        <v>411</v>
      </c>
      <c r="B35" s="78">
        <v>2.7900000000000001E-2</v>
      </c>
      <c r="C35" s="78">
        <v>2.6700000000000002E-2</v>
      </c>
      <c r="D35" s="64">
        <v>4.58E-2</v>
      </c>
      <c r="E35" s="64">
        <v>0.1009</v>
      </c>
      <c r="F35" s="64">
        <v>0.1119</v>
      </c>
      <c r="G35" s="5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3"/>
    </row>
    <row r="36" spans="1:26" ht="18" customHeight="1" x14ac:dyDescent="0.4">
      <c r="A36" s="12"/>
      <c r="B36" s="16"/>
      <c r="C36" s="16"/>
      <c r="D36" s="16"/>
      <c r="E36" s="16"/>
      <c r="F36" s="16"/>
      <c r="G36" s="1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3"/>
    </row>
    <row r="37" spans="1:26" ht="18" customHeight="1" x14ac:dyDescent="0.4">
      <c r="A37" s="153" t="s">
        <v>307</v>
      </c>
      <c r="B37" s="148"/>
      <c r="C37" s="148"/>
      <c r="D37" s="148"/>
      <c r="E37" s="148"/>
      <c r="F37" s="148"/>
      <c r="G37" s="15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3"/>
    </row>
    <row r="38" spans="1:26" ht="18" customHeight="1" x14ac:dyDescent="0.4">
      <c r="A38" s="12"/>
      <c r="B38" s="16"/>
      <c r="C38" s="16"/>
      <c r="D38" s="16"/>
      <c r="E38" s="16"/>
      <c r="F38" s="16"/>
      <c r="G38" s="1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3"/>
    </row>
    <row r="39" spans="1:26" ht="19.95" customHeight="1" x14ac:dyDescent="0.4">
      <c r="A39" s="80" t="s">
        <v>302</v>
      </c>
      <c r="B39" s="30"/>
      <c r="C39" s="30"/>
      <c r="D39" s="30"/>
      <c r="E39" s="30"/>
      <c r="F39" s="30"/>
      <c r="G39" s="2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3"/>
    </row>
    <row r="40" spans="1:26" ht="19.95" customHeight="1" x14ac:dyDescent="0.4">
      <c r="A40" s="53" t="s">
        <v>50</v>
      </c>
      <c r="B40" s="75" t="s">
        <v>40</v>
      </c>
      <c r="C40" s="75" t="s">
        <v>41</v>
      </c>
      <c r="D40" s="75" t="s">
        <v>42</v>
      </c>
      <c r="E40" s="75" t="s">
        <v>21</v>
      </c>
      <c r="F40" s="75" t="s">
        <v>22</v>
      </c>
      <c r="G40" s="53" t="s">
        <v>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3"/>
    </row>
    <row r="41" spans="1:26" ht="18" customHeight="1" x14ac:dyDescent="0.4">
      <c r="A41" s="54" t="s">
        <v>412</v>
      </c>
      <c r="B41" s="78">
        <f>B5-B6</f>
        <v>75.200000000000045</v>
      </c>
      <c r="C41" s="78">
        <f>C5-C6</f>
        <v>61.5</v>
      </c>
      <c r="D41" s="78">
        <f>D5-D6</f>
        <v>108.09999999999991</v>
      </c>
      <c r="E41" s="78">
        <f>E5-E6</f>
        <v>243.29999999999995</v>
      </c>
      <c r="F41" s="78">
        <f>F5-F6</f>
        <v>277.90000000000009</v>
      </c>
      <c r="G41" s="54" t="s">
        <v>413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3"/>
    </row>
    <row r="42" spans="1:26" ht="18" customHeight="1" x14ac:dyDescent="0.4">
      <c r="A42" s="54" t="s">
        <v>414</v>
      </c>
      <c r="B42" s="78">
        <f>B7-B8</f>
        <v>23.800000000000047</v>
      </c>
      <c r="C42" s="78">
        <f>C7-C8</f>
        <v>11.200000000000003</v>
      </c>
      <c r="D42" s="78">
        <f>D7-D8</f>
        <v>49.099999999999909</v>
      </c>
      <c r="E42" s="78">
        <f>E7-E8</f>
        <v>179.99999999999994</v>
      </c>
      <c r="F42" s="78">
        <f>F7-F8</f>
        <v>218.40000000000009</v>
      </c>
      <c r="G42" s="54" t="s">
        <v>415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3"/>
    </row>
    <row r="43" spans="1:26" ht="18" customHeight="1" x14ac:dyDescent="0.4">
      <c r="A43" s="54" t="s">
        <v>416</v>
      </c>
      <c r="B43" s="78">
        <f>B9/B5</f>
        <v>2.6052544794987358E-2</v>
      </c>
      <c r="C43" s="78">
        <f>C9/C5</f>
        <v>1.2666741396704406E-2</v>
      </c>
      <c r="D43" s="78">
        <f>D9/D5</f>
        <v>4.6090303200976249E-2</v>
      </c>
      <c r="E43" s="78">
        <f>E9/E5</f>
        <v>0.12117132278694043</v>
      </c>
      <c r="F43" s="78">
        <f>F9/F5</f>
        <v>0.13365578889365087</v>
      </c>
      <c r="G43" s="5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3"/>
    </row>
    <row r="44" spans="1:26" ht="18" customHeight="1" x14ac:dyDescent="0.4">
      <c r="A44" s="54" t="s">
        <v>417</v>
      </c>
      <c r="B44" s="78">
        <f>B14/B13</f>
        <v>0.10563380281690142</v>
      </c>
      <c r="C44" s="78">
        <f>C14/C13</f>
        <v>0.21192052980132453</v>
      </c>
      <c r="D44" s="78">
        <f>D14/D13</f>
        <v>8.7850467289719625E-2</v>
      </c>
      <c r="E44" s="78">
        <f>E14/E13</f>
        <v>0.200213561131874</v>
      </c>
      <c r="F44" s="78">
        <f>F14/F13</f>
        <v>0.2</v>
      </c>
      <c r="G44" s="5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3"/>
    </row>
    <row r="45" spans="1:26" ht="18" customHeight="1" x14ac:dyDescent="0.4">
      <c r="A45" s="54" t="s">
        <v>418</v>
      </c>
      <c r="B45" s="78">
        <f>B13-B14-B15</f>
        <v>0</v>
      </c>
      <c r="C45" s="78">
        <f>C13-C14-C15</f>
        <v>0</v>
      </c>
      <c r="D45" s="78">
        <f>D13-D14-D15</f>
        <v>0</v>
      </c>
      <c r="E45" s="78">
        <f>E13-E14-E15</f>
        <v>-9.9999999999994316E-2</v>
      </c>
      <c r="F45" s="78">
        <f>F13-F14-F15</f>
        <v>0</v>
      </c>
      <c r="G45" s="54" t="s">
        <v>419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3"/>
    </row>
    <row r="46" spans="1:26" ht="18" customHeight="1" x14ac:dyDescent="0.4">
      <c r="A46" s="150" t="s">
        <v>420</v>
      </c>
      <c r="B46" s="151"/>
      <c r="C46" s="151"/>
      <c r="D46" s="151"/>
      <c r="E46" s="151"/>
      <c r="F46" s="151"/>
      <c r="G46" s="15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3"/>
    </row>
    <row r="47" spans="1:26" ht="18" customHeight="1" x14ac:dyDescent="0.4">
      <c r="A47" s="1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3"/>
    </row>
    <row r="48" spans="1:26" ht="18" customHeight="1" x14ac:dyDescent="0.4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3"/>
    </row>
    <row r="49" spans="1:26" ht="18" customHeight="1" x14ac:dyDescent="0.4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3"/>
    </row>
    <row r="50" spans="1:26" ht="18" customHeight="1" x14ac:dyDescent="0.4">
      <c r="A50" s="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3"/>
    </row>
    <row r="51" spans="1:26" ht="18" customHeight="1" x14ac:dyDescent="0.4">
      <c r="A51" s="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3"/>
    </row>
    <row r="52" spans="1:26" ht="18" customHeight="1" x14ac:dyDescent="0.4">
      <c r="A52" s="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3"/>
    </row>
    <row r="53" spans="1:26" ht="18" customHeight="1" x14ac:dyDescent="0.4">
      <c r="A53" s="1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3"/>
    </row>
    <row r="54" spans="1:26" ht="18" customHeight="1" x14ac:dyDescent="0.4">
      <c r="A54" s="1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3"/>
    </row>
    <row r="55" spans="1:26" ht="18" customHeight="1" x14ac:dyDescent="0.4">
      <c r="A55" s="1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3"/>
    </row>
    <row r="56" spans="1:26" ht="18" customHeight="1" x14ac:dyDescent="0.4">
      <c r="A56" s="1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3"/>
    </row>
    <row r="57" spans="1:26" ht="18" customHeight="1" x14ac:dyDescent="0.4">
      <c r="A57" s="1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3"/>
    </row>
    <row r="58" spans="1:26" ht="18" customHeight="1" x14ac:dyDescent="0.4">
      <c r="A58" s="1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3"/>
    </row>
    <row r="59" spans="1:26" ht="18" customHeight="1" x14ac:dyDescent="0.4">
      <c r="A59" s="1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3"/>
    </row>
    <row r="60" spans="1:26" ht="18" customHeight="1" x14ac:dyDescent="0.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spans="1:26" ht="18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</sheetData>
  <mergeCells count="3">
    <mergeCell ref="A2:G2"/>
    <mergeCell ref="A37:G37"/>
    <mergeCell ref="A46:G46"/>
  </mergeCells>
  <phoneticPr fontId="2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F6E6A"/>
  </sheetPr>
  <dimension ref="A1:Z90"/>
  <sheetViews>
    <sheetView showGridLines="0" workbookViewId="0"/>
  </sheetViews>
  <sheetFormatPr defaultColWidth="8.69921875" defaultRowHeight="17.399999999999999" x14ac:dyDescent="0.4"/>
  <cols>
    <col min="1" max="1" width="24" customWidth="1"/>
    <col min="2" max="6" width="12" customWidth="1"/>
    <col min="7" max="7" width="28" customWidth="1"/>
    <col min="8" max="26" width="10" customWidth="1"/>
  </cols>
  <sheetData>
    <row r="1" spans="1:26" ht="22.05" customHeight="1" x14ac:dyDescent="0.4">
      <c r="A1" s="111" t="s">
        <v>421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6"/>
    </row>
    <row r="2" spans="1:26" ht="18" customHeight="1" x14ac:dyDescent="0.4">
      <c r="A2" s="165" t="s">
        <v>422</v>
      </c>
      <c r="B2" s="148"/>
      <c r="C2" s="148"/>
      <c r="D2" s="148"/>
      <c r="E2" s="148"/>
      <c r="F2" s="148"/>
      <c r="G2" s="148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28"/>
    </row>
    <row r="3" spans="1:26" ht="18" customHeight="1" x14ac:dyDescent="0.4">
      <c r="A3" s="1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3"/>
    </row>
    <row r="4" spans="1:26" ht="19.95" customHeight="1" x14ac:dyDescent="0.4">
      <c r="A4" s="53" t="s">
        <v>67</v>
      </c>
      <c r="B4" s="53" t="s">
        <v>40</v>
      </c>
      <c r="C4" s="53" t="s">
        <v>41</v>
      </c>
      <c r="D4" s="53" t="s">
        <v>42</v>
      </c>
      <c r="E4" s="53" t="s">
        <v>21</v>
      </c>
      <c r="F4" s="53" t="s">
        <v>22</v>
      </c>
      <c r="G4" s="53" t="s">
        <v>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3"/>
    </row>
    <row r="5" spans="1:26" ht="18" customHeight="1" x14ac:dyDescent="0.4">
      <c r="A5" s="54" t="s">
        <v>423</v>
      </c>
      <c r="B5" s="78">
        <v>433.1</v>
      </c>
      <c r="C5" s="78">
        <v>465.9</v>
      </c>
      <c r="D5" s="64">
        <v>667.7</v>
      </c>
      <c r="E5" s="64">
        <v>893.2</v>
      </c>
      <c r="F5" s="64">
        <v>1107.9000000000001</v>
      </c>
      <c r="G5" s="5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3"/>
    </row>
    <row r="6" spans="1:26" ht="18" customHeight="1" x14ac:dyDescent="0.4">
      <c r="A6" s="54" t="s">
        <v>424</v>
      </c>
      <c r="B6" s="78">
        <v>203.2</v>
      </c>
      <c r="C6" s="78">
        <v>221.2</v>
      </c>
      <c r="D6" s="64">
        <v>305.3</v>
      </c>
      <c r="E6" s="64">
        <v>432.8</v>
      </c>
      <c r="F6" s="64">
        <v>601.79999999999995</v>
      </c>
      <c r="G6" s="5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3"/>
    </row>
    <row r="7" spans="1:26" ht="18" customHeight="1" x14ac:dyDescent="0.4">
      <c r="A7" s="54" t="s">
        <v>425</v>
      </c>
      <c r="B7" s="78">
        <v>76.599999999999994</v>
      </c>
      <c r="C7" s="78">
        <v>38.200000000000003</v>
      </c>
      <c r="D7" s="64">
        <v>23.5</v>
      </c>
      <c r="E7" s="64">
        <v>74.8</v>
      </c>
      <c r="F7" s="64">
        <v>208.2</v>
      </c>
      <c r="G7" s="5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</row>
    <row r="8" spans="1:26" ht="18" customHeight="1" x14ac:dyDescent="0.4">
      <c r="A8" s="54" t="s">
        <v>426</v>
      </c>
      <c r="B8" s="78">
        <v>123.2</v>
      </c>
      <c r="C8" s="78">
        <v>128.4</v>
      </c>
      <c r="D8" s="64">
        <v>197.7</v>
      </c>
      <c r="E8" s="64">
        <v>251.1</v>
      </c>
      <c r="F8" s="64">
        <v>276.10000000000002</v>
      </c>
      <c r="G8" s="5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3"/>
    </row>
    <row r="9" spans="1:26" ht="18" customHeight="1" x14ac:dyDescent="0.4">
      <c r="A9" s="54" t="s">
        <v>427</v>
      </c>
      <c r="B9" s="78">
        <v>90.6</v>
      </c>
      <c r="C9" s="78">
        <v>100.5</v>
      </c>
      <c r="D9" s="64">
        <v>140.4</v>
      </c>
      <c r="E9" s="64">
        <v>178.4</v>
      </c>
      <c r="F9" s="64">
        <v>196.1</v>
      </c>
      <c r="G9" s="5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3"/>
    </row>
    <row r="10" spans="1:26" ht="18" customHeight="1" x14ac:dyDescent="0.4">
      <c r="A10" s="54" t="s">
        <v>428</v>
      </c>
      <c r="B10" s="78">
        <v>16.100000000000001</v>
      </c>
      <c r="C10" s="78">
        <v>15.8</v>
      </c>
      <c r="D10" s="64">
        <v>24.3</v>
      </c>
      <c r="E10" s="64">
        <v>30.9</v>
      </c>
      <c r="F10" s="64">
        <v>33.9</v>
      </c>
      <c r="G10" s="5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3"/>
    </row>
    <row r="11" spans="1:26" ht="18" customHeight="1" x14ac:dyDescent="0.4">
      <c r="A11" s="54" t="s">
        <v>429</v>
      </c>
      <c r="B11" s="78">
        <v>694.5</v>
      </c>
      <c r="C11" s="78">
        <v>622.9</v>
      </c>
      <c r="D11" s="64">
        <v>582.9</v>
      </c>
      <c r="E11" s="64">
        <v>567.70000000000005</v>
      </c>
      <c r="F11" s="64">
        <v>546.29999999999995</v>
      </c>
      <c r="G11" s="5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3"/>
    </row>
    <row r="12" spans="1:26" ht="18" customHeight="1" x14ac:dyDescent="0.4">
      <c r="A12" s="54" t="s">
        <v>430</v>
      </c>
      <c r="B12" s="78">
        <v>7</v>
      </c>
      <c r="C12" s="78">
        <v>7.3</v>
      </c>
      <c r="D12" s="64">
        <v>6.8</v>
      </c>
      <c r="E12" s="64">
        <v>6.9</v>
      </c>
      <c r="F12" s="64">
        <v>6.9</v>
      </c>
      <c r="G12" s="5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3"/>
    </row>
    <row r="13" spans="1:26" ht="18" customHeight="1" x14ac:dyDescent="0.4">
      <c r="A13" s="54" t="s">
        <v>431</v>
      </c>
      <c r="B13" s="78">
        <v>7</v>
      </c>
      <c r="C13" s="78">
        <v>7.3</v>
      </c>
      <c r="D13" s="64">
        <v>6.8</v>
      </c>
      <c r="E13" s="64">
        <v>6.9</v>
      </c>
      <c r="F13" s="64">
        <v>6.9</v>
      </c>
      <c r="G13" s="5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3"/>
    </row>
    <row r="14" spans="1:26" ht="18" customHeight="1" x14ac:dyDescent="0.4">
      <c r="A14" s="54" t="s">
        <v>432</v>
      </c>
      <c r="B14" s="78">
        <v>629.20000000000005</v>
      </c>
      <c r="C14" s="78">
        <v>567.70000000000005</v>
      </c>
      <c r="D14" s="64">
        <v>531.70000000000005</v>
      </c>
      <c r="E14" s="64">
        <v>516.29999999999995</v>
      </c>
      <c r="F14" s="64">
        <v>494.7</v>
      </c>
      <c r="G14" s="5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3"/>
    </row>
    <row r="15" spans="1:26" ht="18" customHeight="1" x14ac:dyDescent="0.4">
      <c r="A15" s="54" t="s">
        <v>433</v>
      </c>
      <c r="B15" s="78">
        <v>12.8</v>
      </c>
      <c r="C15" s="78">
        <v>11</v>
      </c>
      <c r="D15" s="64">
        <v>10.5</v>
      </c>
      <c r="E15" s="64">
        <v>10.6</v>
      </c>
      <c r="F15" s="64">
        <v>10.8</v>
      </c>
      <c r="G15" s="5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3"/>
    </row>
    <row r="16" spans="1:26" ht="18" customHeight="1" x14ac:dyDescent="0.4">
      <c r="A16" s="54" t="s">
        <v>434</v>
      </c>
      <c r="B16" s="78">
        <v>45.5</v>
      </c>
      <c r="C16" s="78">
        <v>36.9</v>
      </c>
      <c r="D16" s="64">
        <v>33.9</v>
      </c>
      <c r="E16" s="64">
        <v>33.9</v>
      </c>
      <c r="F16" s="64">
        <v>33.9</v>
      </c>
      <c r="G16" s="5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3"/>
    </row>
    <row r="17" spans="1:26" ht="18" customHeight="1" x14ac:dyDescent="0.4">
      <c r="A17" s="54" t="s">
        <v>435</v>
      </c>
      <c r="B17" s="78">
        <v>1127.5</v>
      </c>
      <c r="C17" s="78">
        <v>1088.7</v>
      </c>
      <c r="D17" s="64">
        <v>1250.5999999999999</v>
      </c>
      <c r="E17" s="64">
        <v>1460.9</v>
      </c>
      <c r="F17" s="64">
        <v>1654.2</v>
      </c>
      <c r="G17" s="5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3"/>
    </row>
    <row r="18" spans="1:26" ht="18" customHeight="1" x14ac:dyDescent="0.4">
      <c r="A18" s="54" t="s">
        <v>436</v>
      </c>
      <c r="B18" s="78">
        <v>176.7</v>
      </c>
      <c r="C18" s="78">
        <v>159.69999999999999</v>
      </c>
      <c r="D18" s="64">
        <v>275</v>
      </c>
      <c r="E18" s="64">
        <v>336.5</v>
      </c>
      <c r="F18" s="64">
        <v>358.5</v>
      </c>
      <c r="G18" s="5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3"/>
    </row>
    <row r="19" spans="1:26" ht="18" customHeight="1" x14ac:dyDescent="0.4">
      <c r="A19" s="54" t="s">
        <v>437</v>
      </c>
      <c r="B19" s="78">
        <v>7.1</v>
      </c>
      <c r="C19" s="78">
        <v>9.3000000000000007</v>
      </c>
      <c r="D19" s="64">
        <v>41.2</v>
      </c>
      <c r="E19" s="64">
        <v>41.3</v>
      </c>
      <c r="F19" s="64">
        <v>34.5</v>
      </c>
      <c r="G19" s="5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3"/>
    </row>
    <row r="20" spans="1:26" ht="18" customHeight="1" x14ac:dyDescent="0.4">
      <c r="A20" s="54" t="s">
        <v>438</v>
      </c>
      <c r="B20" s="78">
        <v>46.2</v>
      </c>
      <c r="C20" s="78">
        <v>42.4</v>
      </c>
      <c r="D20" s="64">
        <v>65.3</v>
      </c>
      <c r="E20" s="64">
        <v>83</v>
      </c>
      <c r="F20" s="64">
        <v>91.2</v>
      </c>
      <c r="G20" s="5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3"/>
    </row>
    <row r="21" spans="1:26" ht="18" customHeight="1" x14ac:dyDescent="0.4">
      <c r="A21" s="54" t="s">
        <v>439</v>
      </c>
      <c r="B21" s="78">
        <v>123.4</v>
      </c>
      <c r="C21" s="78">
        <v>108</v>
      </c>
      <c r="D21" s="64">
        <v>168.5</v>
      </c>
      <c r="E21" s="64">
        <v>212.2</v>
      </c>
      <c r="F21" s="64">
        <v>232.8</v>
      </c>
      <c r="G21" s="5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3"/>
    </row>
    <row r="22" spans="1:26" ht="18" customHeight="1" x14ac:dyDescent="0.4">
      <c r="A22" s="54" t="s">
        <v>440</v>
      </c>
      <c r="B22" s="78">
        <v>82.5</v>
      </c>
      <c r="C22" s="78">
        <v>53.5</v>
      </c>
      <c r="D22" s="64">
        <v>73.900000000000006</v>
      </c>
      <c r="E22" s="64">
        <v>93.4</v>
      </c>
      <c r="F22" s="64">
        <v>102.5</v>
      </c>
      <c r="G22" s="5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3"/>
    </row>
    <row r="23" spans="1:26" ht="19.95" customHeight="1" x14ac:dyDescent="0.4">
      <c r="A23" s="73" t="s">
        <v>437</v>
      </c>
      <c r="B23" s="130">
        <v>13</v>
      </c>
      <c r="C23" s="130">
        <v>6.6</v>
      </c>
      <c r="D23" s="64">
        <v>1.7</v>
      </c>
      <c r="E23" s="64">
        <v>1.7</v>
      </c>
      <c r="F23" s="64">
        <v>1.7</v>
      </c>
      <c r="G23" s="7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3"/>
    </row>
    <row r="24" spans="1:26" ht="18" customHeight="1" x14ac:dyDescent="0.4">
      <c r="A24" s="54" t="s">
        <v>441</v>
      </c>
      <c r="B24" s="78">
        <v>69.5</v>
      </c>
      <c r="C24" s="78">
        <v>46.9</v>
      </c>
      <c r="D24" s="64">
        <v>72.2</v>
      </c>
      <c r="E24" s="64">
        <v>91.7</v>
      </c>
      <c r="F24" s="64">
        <v>100.8</v>
      </c>
      <c r="G24" s="5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3"/>
    </row>
    <row r="25" spans="1:26" ht="18" customHeight="1" x14ac:dyDescent="0.4">
      <c r="A25" s="54" t="s">
        <v>442</v>
      </c>
      <c r="B25" s="78">
        <v>259.2</v>
      </c>
      <c r="C25" s="78">
        <v>213.2</v>
      </c>
      <c r="D25" s="64">
        <v>348.8</v>
      </c>
      <c r="E25" s="64">
        <v>429.9</v>
      </c>
      <c r="F25" s="64">
        <v>461</v>
      </c>
      <c r="G25" s="5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3"/>
    </row>
    <row r="26" spans="1:26" ht="18" customHeight="1" x14ac:dyDescent="0.4">
      <c r="A26" s="54" t="s">
        <v>443</v>
      </c>
      <c r="B26" s="78">
        <v>868.3</v>
      </c>
      <c r="C26" s="78">
        <v>875.5</v>
      </c>
      <c r="D26" s="64">
        <v>901.7</v>
      </c>
      <c r="E26" s="64">
        <v>1031</v>
      </c>
      <c r="F26" s="64">
        <v>1193.2</v>
      </c>
      <c r="G26" s="5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3"/>
    </row>
    <row r="27" spans="1:26" ht="18" customHeight="1" x14ac:dyDescent="0.4">
      <c r="A27" s="54" t="s">
        <v>444</v>
      </c>
      <c r="B27" s="78">
        <v>25.8</v>
      </c>
      <c r="C27" s="78">
        <v>25.8</v>
      </c>
      <c r="D27" s="64">
        <v>25.8</v>
      </c>
      <c r="E27" s="64">
        <v>25.8</v>
      </c>
      <c r="F27" s="64">
        <v>25.8</v>
      </c>
      <c r="G27" s="5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3"/>
    </row>
    <row r="28" spans="1:26" ht="18" customHeight="1" x14ac:dyDescent="0.4">
      <c r="A28" s="54" t="s">
        <v>445</v>
      </c>
      <c r="B28" s="78">
        <v>545.1</v>
      </c>
      <c r="C28" s="78">
        <v>545.1</v>
      </c>
      <c r="D28" s="64">
        <v>545.1</v>
      </c>
      <c r="E28" s="64">
        <v>545.1</v>
      </c>
      <c r="F28" s="64">
        <v>545.1</v>
      </c>
      <c r="G28" s="5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3"/>
    </row>
    <row r="29" spans="1:26" ht="18" customHeight="1" x14ac:dyDescent="0.4">
      <c r="A29" s="54" t="s">
        <v>446</v>
      </c>
      <c r="B29" s="78">
        <v>0</v>
      </c>
      <c r="C29" s="78">
        <v>0</v>
      </c>
      <c r="D29" s="64">
        <v>0</v>
      </c>
      <c r="E29" s="64">
        <v>0</v>
      </c>
      <c r="F29" s="64">
        <v>0</v>
      </c>
      <c r="G29" s="5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3"/>
    </row>
    <row r="30" spans="1:26" ht="18" customHeight="1" x14ac:dyDescent="0.4">
      <c r="A30" s="54" t="s">
        <v>447</v>
      </c>
      <c r="B30" s="78">
        <v>0.8</v>
      </c>
      <c r="C30" s="78">
        <v>3.1</v>
      </c>
      <c r="D30" s="64">
        <v>0.7</v>
      </c>
      <c r="E30" s="64">
        <v>0.7</v>
      </c>
      <c r="F30" s="64">
        <v>0.7</v>
      </c>
      <c r="G30" s="5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3"/>
    </row>
    <row r="31" spans="1:26" ht="19.95" customHeight="1" x14ac:dyDescent="0.4">
      <c r="A31" s="73" t="s">
        <v>448</v>
      </c>
      <c r="B31" s="130">
        <v>296.7</v>
      </c>
      <c r="C31" s="130">
        <v>301.60000000000002</v>
      </c>
      <c r="D31" s="64">
        <v>330.2</v>
      </c>
      <c r="E31" s="64">
        <v>459.5</v>
      </c>
      <c r="F31" s="64">
        <v>621.70000000000005</v>
      </c>
      <c r="G31" s="7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3"/>
    </row>
    <row r="32" spans="1:26" ht="18" customHeight="1" x14ac:dyDescent="0.4">
      <c r="A32" s="54" t="s">
        <v>449</v>
      </c>
      <c r="B32" s="78">
        <v>0</v>
      </c>
      <c r="C32" s="78">
        <v>0</v>
      </c>
      <c r="D32" s="64">
        <v>0</v>
      </c>
      <c r="E32" s="64">
        <v>0</v>
      </c>
      <c r="F32" s="64">
        <v>0</v>
      </c>
      <c r="G32" s="5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3"/>
    </row>
    <row r="33" spans="1:26" ht="18" customHeight="1" x14ac:dyDescent="0.4">
      <c r="A33" s="54" t="s">
        <v>450</v>
      </c>
      <c r="B33" s="78">
        <v>868.3</v>
      </c>
      <c r="C33" s="78">
        <v>875.5</v>
      </c>
      <c r="D33" s="64">
        <v>901.7</v>
      </c>
      <c r="E33" s="64">
        <v>1031</v>
      </c>
      <c r="F33" s="64">
        <v>1193.2</v>
      </c>
      <c r="G33" s="5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3"/>
    </row>
    <row r="34" spans="1:26" ht="18" customHeight="1" x14ac:dyDescent="0.4">
      <c r="A34" s="54" t="s">
        <v>451</v>
      </c>
      <c r="B34" s="78">
        <v>-183</v>
      </c>
      <c r="C34" s="78">
        <v>-205.2</v>
      </c>
      <c r="D34" s="64">
        <v>-262.39999999999998</v>
      </c>
      <c r="E34" s="64">
        <v>-389.8</v>
      </c>
      <c r="F34" s="64">
        <v>-565.5</v>
      </c>
      <c r="G34" s="5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3"/>
    </row>
    <row r="35" spans="1:26" ht="18" customHeight="1" x14ac:dyDescent="0.4">
      <c r="A35" s="12"/>
      <c r="B35" s="16"/>
      <c r="C35" s="16"/>
      <c r="D35" s="16"/>
      <c r="E35" s="16"/>
      <c r="F35" s="16"/>
      <c r="G35" s="1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3"/>
    </row>
    <row r="36" spans="1:26" ht="18" customHeight="1" x14ac:dyDescent="0.4">
      <c r="A36" s="153" t="s">
        <v>307</v>
      </c>
      <c r="B36" s="148"/>
      <c r="C36" s="148"/>
      <c r="D36" s="148"/>
      <c r="E36" s="148"/>
      <c r="F36" s="148"/>
      <c r="G36" s="15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3"/>
    </row>
    <row r="37" spans="1:26" ht="18" customHeight="1" x14ac:dyDescent="0.4">
      <c r="A37" s="12"/>
      <c r="B37" s="16"/>
      <c r="C37" s="16"/>
      <c r="D37" s="16"/>
      <c r="E37" s="16"/>
      <c r="F37" s="16"/>
      <c r="G37" s="1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3"/>
    </row>
    <row r="38" spans="1:26" ht="18" customHeight="1" x14ac:dyDescent="0.4">
      <c r="A38" s="116" t="s">
        <v>302</v>
      </c>
      <c r="B38" s="16"/>
      <c r="C38" s="16"/>
      <c r="D38" s="16"/>
      <c r="E38" s="16"/>
      <c r="F38" s="16"/>
      <c r="G38" s="1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3"/>
    </row>
    <row r="39" spans="1:26" ht="19.95" customHeight="1" x14ac:dyDescent="0.4">
      <c r="A39" s="73" t="s">
        <v>50</v>
      </c>
      <c r="B39" s="130" t="s">
        <v>40</v>
      </c>
      <c r="C39" s="130" t="s">
        <v>41</v>
      </c>
      <c r="D39" s="130" t="s">
        <v>42</v>
      </c>
      <c r="E39" s="130" t="s">
        <v>21</v>
      </c>
      <c r="F39" s="130" t="s">
        <v>22</v>
      </c>
      <c r="G39" s="73" t="s">
        <v>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3"/>
    </row>
    <row r="40" spans="1:26" ht="19.95" customHeight="1" x14ac:dyDescent="0.4">
      <c r="A40" s="53" t="s">
        <v>452</v>
      </c>
      <c r="B40" s="77">
        <f>B5+B11</f>
        <v>1127.5999999999999</v>
      </c>
      <c r="C40" s="77">
        <f>C5+C11</f>
        <v>1088.8</v>
      </c>
      <c r="D40" s="77">
        <f>D5+D11</f>
        <v>1250.5999999999999</v>
      </c>
      <c r="E40" s="77">
        <f>E5+E11</f>
        <v>1460.9</v>
      </c>
      <c r="F40" s="77">
        <f>F5+F11</f>
        <v>1654.2</v>
      </c>
      <c r="G40" s="114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3"/>
    </row>
    <row r="41" spans="1:26" ht="18" customHeight="1" x14ac:dyDescent="0.4">
      <c r="A41" s="54" t="s">
        <v>453</v>
      </c>
      <c r="B41" s="78">
        <f>B18+B22</f>
        <v>259.2</v>
      </c>
      <c r="C41" s="78">
        <f>C18+C22</f>
        <v>213.2</v>
      </c>
      <c r="D41" s="78">
        <f>D18+D22</f>
        <v>348.9</v>
      </c>
      <c r="E41" s="78">
        <f>E18+E22</f>
        <v>429.9</v>
      </c>
      <c r="F41" s="78">
        <f>F18+F22</f>
        <v>461</v>
      </c>
      <c r="G41" s="5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3"/>
    </row>
    <row r="42" spans="1:26" ht="18" customHeight="1" x14ac:dyDescent="0.4">
      <c r="A42" s="54" t="s">
        <v>454</v>
      </c>
      <c r="B42" s="78">
        <f>B17-B25</f>
        <v>868.3</v>
      </c>
      <c r="C42" s="78">
        <f>C17-C25</f>
        <v>875.5</v>
      </c>
      <c r="D42" s="78">
        <f>D17-D25</f>
        <v>901.8</v>
      </c>
      <c r="E42" s="78">
        <f>E17-E25</f>
        <v>1031</v>
      </c>
      <c r="F42" s="78">
        <f>F17-F25</f>
        <v>1193.2</v>
      </c>
      <c r="G42" s="5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3"/>
    </row>
    <row r="43" spans="1:26" ht="18" customHeight="1" x14ac:dyDescent="0.4">
      <c r="A43" s="54" t="s">
        <v>455</v>
      </c>
      <c r="B43" s="78">
        <f>B25/B33</f>
        <v>0.29851433836231717</v>
      </c>
      <c r="C43" s="78">
        <f>C25/C33</f>
        <v>0.24351798972015989</v>
      </c>
      <c r="D43" s="78">
        <f>D25/D33</f>
        <v>0.38682488632582901</v>
      </c>
      <c r="E43" s="78">
        <f>E25/E33</f>
        <v>0.41697381183317167</v>
      </c>
      <c r="F43" s="78">
        <f>F25/F33</f>
        <v>0.38635601743211528</v>
      </c>
      <c r="G43" s="5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3"/>
    </row>
    <row r="44" spans="1:26" ht="18" customHeight="1" x14ac:dyDescent="0.4">
      <c r="A44" s="12"/>
      <c r="B44" s="16"/>
      <c r="C44" s="16"/>
      <c r="D44" s="16"/>
      <c r="E44" s="16"/>
      <c r="F44" s="16"/>
      <c r="G44" s="1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3"/>
    </row>
    <row r="45" spans="1:26" ht="18" customHeight="1" x14ac:dyDescent="0.4">
      <c r="A45" s="153" t="s">
        <v>420</v>
      </c>
      <c r="B45" s="148"/>
      <c r="C45" s="148"/>
      <c r="D45" s="148"/>
      <c r="E45" s="148"/>
      <c r="F45" s="148"/>
      <c r="G45" s="154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3"/>
    </row>
    <row r="46" spans="1:26" ht="18" customHeight="1" x14ac:dyDescent="0.4">
      <c r="A46" s="9"/>
      <c r="B46" s="17"/>
      <c r="C46" s="17"/>
      <c r="D46" s="17"/>
      <c r="E46" s="17"/>
      <c r="F46" s="17"/>
      <c r="G46" s="1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3"/>
    </row>
    <row r="47" spans="1:26" ht="18" customHeight="1" x14ac:dyDescent="0.4">
      <c r="A47" s="1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3"/>
    </row>
    <row r="48" spans="1:26" ht="18" customHeight="1" x14ac:dyDescent="0.4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3"/>
    </row>
    <row r="49" spans="1:26" ht="18" customHeight="1" x14ac:dyDescent="0.4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3"/>
    </row>
    <row r="50" spans="1:26" ht="18" customHeight="1" x14ac:dyDescent="0.4">
      <c r="A50" s="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3"/>
    </row>
    <row r="51" spans="1:26" ht="18" customHeight="1" x14ac:dyDescent="0.4">
      <c r="A51" s="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3"/>
    </row>
    <row r="52" spans="1:26" ht="18" customHeight="1" x14ac:dyDescent="0.4">
      <c r="A52" s="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3"/>
    </row>
    <row r="53" spans="1:26" ht="18" customHeight="1" x14ac:dyDescent="0.4">
      <c r="A53" s="1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3"/>
    </row>
    <row r="54" spans="1:26" ht="18" customHeight="1" x14ac:dyDescent="0.4">
      <c r="A54" s="1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3"/>
    </row>
    <row r="55" spans="1:26" ht="18" customHeight="1" x14ac:dyDescent="0.4">
      <c r="A55" s="1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3"/>
    </row>
    <row r="56" spans="1:26" ht="18" customHeight="1" x14ac:dyDescent="0.4">
      <c r="A56" s="1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3"/>
    </row>
    <row r="57" spans="1:26" ht="18" customHeight="1" x14ac:dyDescent="0.4">
      <c r="A57" s="1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3"/>
    </row>
    <row r="58" spans="1:26" ht="18" customHeight="1" x14ac:dyDescent="0.4">
      <c r="A58" s="1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3"/>
    </row>
    <row r="59" spans="1:26" ht="18" customHeight="1" x14ac:dyDescent="0.4">
      <c r="A59" s="1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3"/>
    </row>
    <row r="60" spans="1:26" ht="18" customHeight="1" x14ac:dyDescent="0.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spans="1:26" ht="18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</sheetData>
  <mergeCells count="3">
    <mergeCell ref="A36:G36"/>
    <mergeCell ref="A2:G2"/>
    <mergeCell ref="A45:G45"/>
  </mergeCells>
  <phoneticPr fontId="2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F6E6A"/>
  </sheetPr>
  <dimension ref="A1:Z90"/>
  <sheetViews>
    <sheetView showGridLines="0" workbookViewId="0"/>
  </sheetViews>
  <sheetFormatPr defaultColWidth="8.69921875" defaultRowHeight="17.399999999999999" x14ac:dyDescent="0.4"/>
  <cols>
    <col min="1" max="1" width="24" customWidth="1"/>
    <col min="2" max="6" width="12" customWidth="1"/>
    <col min="7" max="7" width="28" customWidth="1"/>
    <col min="8" max="26" width="10" customWidth="1"/>
  </cols>
  <sheetData>
    <row r="1" spans="1:26" ht="22.05" customHeight="1" x14ac:dyDescent="0.4">
      <c r="A1" s="111" t="s">
        <v>456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6"/>
    </row>
    <row r="2" spans="1:26" ht="18" customHeight="1" x14ac:dyDescent="0.4">
      <c r="A2" s="165" t="s">
        <v>457</v>
      </c>
      <c r="B2" s="148"/>
      <c r="C2" s="148"/>
      <c r="D2" s="148"/>
      <c r="E2" s="148"/>
      <c r="F2" s="148"/>
      <c r="G2" s="148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28"/>
    </row>
    <row r="3" spans="1:26" ht="18" customHeight="1" x14ac:dyDescent="0.4">
      <c r="A3" s="1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3"/>
    </row>
    <row r="4" spans="1:26" ht="19.95" customHeight="1" x14ac:dyDescent="0.4">
      <c r="A4" s="119" t="s">
        <v>458</v>
      </c>
      <c r="B4" s="7"/>
      <c r="C4" s="7"/>
      <c r="D4" s="7"/>
      <c r="E4" s="7"/>
      <c r="F4" s="7"/>
      <c r="G4" s="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3"/>
    </row>
    <row r="5" spans="1:26" ht="18" customHeight="1" x14ac:dyDescent="0.4">
      <c r="A5" s="54" t="s">
        <v>67</v>
      </c>
      <c r="B5" s="78" t="s">
        <v>40</v>
      </c>
      <c r="C5" s="78" t="s">
        <v>41</v>
      </c>
      <c r="D5" s="78" t="s">
        <v>42</v>
      </c>
      <c r="E5" s="78" t="s">
        <v>21</v>
      </c>
      <c r="F5" s="78" t="s">
        <v>22</v>
      </c>
      <c r="G5" s="54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3"/>
    </row>
    <row r="6" spans="1:26" ht="18" customHeight="1" x14ac:dyDescent="0.4">
      <c r="A6" s="54" t="s">
        <v>47</v>
      </c>
      <c r="B6" s="93">
        <v>493</v>
      </c>
      <c r="C6" s="93">
        <v>461</v>
      </c>
      <c r="D6" s="131">
        <v>947</v>
      </c>
      <c r="E6" s="131">
        <v>3033</v>
      </c>
      <c r="F6" s="131">
        <v>3699</v>
      </c>
      <c r="G6" s="5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3"/>
    </row>
    <row r="7" spans="1:26" ht="18" customHeight="1" x14ac:dyDescent="0.4">
      <c r="A7" s="54" t="s">
        <v>300</v>
      </c>
      <c r="B7" s="93">
        <v>16857</v>
      </c>
      <c r="C7" s="93">
        <v>16996</v>
      </c>
      <c r="D7" s="131">
        <v>17505</v>
      </c>
      <c r="E7" s="131">
        <v>20014</v>
      </c>
      <c r="F7" s="131">
        <v>23163</v>
      </c>
      <c r="G7" s="5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</row>
    <row r="8" spans="1:26" ht="18" customHeight="1" x14ac:dyDescent="0.4">
      <c r="A8" s="54" t="s">
        <v>459</v>
      </c>
      <c r="B8" s="93">
        <v>3645</v>
      </c>
      <c r="C8" s="93">
        <v>3157</v>
      </c>
      <c r="D8" s="131">
        <v>3451</v>
      </c>
      <c r="E8" s="131">
        <v>5283</v>
      </c>
      <c r="F8" s="131">
        <v>6193</v>
      </c>
      <c r="G8" s="5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3"/>
    </row>
    <row r="9" spans="1:26" ht="18" customHeight="1" x14ac:dyDescent="0.4">
      <c r="A9" s="54" t="s">
        <v>460</v>
      </c>
      <c r="B9" s="93">
        <v>2694</v>
      </c>
      <c r="C9" s="93">
        <v>2498</v>
      </c>
      <c r="D9" s="131">
        <v>2914</v>
      </c>
      <c r="E9" s="131">
        <v>5324</v>
      </c>
      <c r="F9" s="131">
        <v>5995</v>
      </c>
      <c r="G9" s="5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3"/>
    </row>
    <row r="10" spans="1:26" ht="18" customHeight="1" x14ac:dyDescent="0.4">
      <c r="A10" s="54" t="s">
        <v>461</v>
      </c>
      <c r="B10" s="93">
        <v>17659</v>
      </c>
      <c r="C10" s="93">
        <v>17319</v>
      </c>
      <c r="D10" s="131">
        <v>20681</v>
      </c>
      <c r="E10" s="131">
        <v>28840</v>
      </c>
      <c r="F10" s="131">
        <v>31707</v>
      </c>
      <c r="G10" s="5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3"/>
    </row>
    <row r="11" spans="1:26" ht="18" customHeight="1" x14ac:dyDescent="0.4">
      <c r="A11" s="54" t="s">
        <v>301</v>
      </c>
      <c r="B11" s="93">
        <v>300</v>
      </c>
      <c r="C11" s="93">
        <v>400</v>
      </c>
      <c r="D11" s="93">
        <v>400</v>
      </c>
      <c r="E11" s="93">
        <v>400</v>
      </c>
      <c r="F11" s="93">
        <v>400</v>
      </c>
      <c r="G11" s="5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3"/>
    </row>
    <row r="12" spans="1:26" ht="18" customHeight="1" x14ac:dyDescent="0.4">
      <c r="A12" s="54" t="s">
        <v>462</v>
      </c>
      <c r="B12" s="72"/>
      <c r="C12" s="72"/>
      <c r="D12" s="72"/>
      <c r="E12" s="72"/>
      <c r="F12" s="72"/>
      <c r="G12" s="5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3"/>
    </row>
    <row r="13" spans="1:26" ht="18" customHeight="1" x14ac:dyDescent="0.4">
      <c r="A13" s="54" t="s">
        <v>67</v>
      </c>
      <c r="B13" s="78" t="s">
        <v>40</v>
      </c>
      <c r="C13" s="78" t="s">
        <v>41</v>
      </c>
      <c r="D13" s="78" t="s">
        <v>42</v>
      </c>
      <c r="E13" s="78" t="s">
        <v>21</v>
      </c>
      <c r="F13" s="78" t="s">
        <v>22</v>
      </c>
      <c r="G13" s="54" t="s">
        <v>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3"/>
    </row>
    <row r="14" spans="1:26" ht="18" customHeight="1" x14ac:dyDescent="0.4">
      <c r="A14" s="54" t="s">
        <v>296</v>
      </c>
      <c r="B14" s="89">
        <v>54.87</v>
      </c>
      <c r="C14" s="89">
        <v>33.619999999999997</v>
      </c>
      <c r="D14" s="132">
        <v>49.74</v>
      </c>
      <c r="E14" s="132">
        <v>17.309999999999999</v>
      </c>
      <c r="F14" s="132">
        <v>14.19</v>
      </c>
      <c r="G14" s="5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3"/>
    </row>
    <row r="15" spans="1:26" ht="18" customHeight="1" x14ac:dyDescent="0.4">
      <c r="A15" s="54" t="s">
        <v>297</v>
      </c>
      <c r="B15" s="89">
        <v>1.6</v>
      </c>
      <c r="C15" s="89">
        <v>0.91</v>
      </c>
      <c r="D15" s="132">
        <v>2.69</v>
      </c>
      <c r="E15" s="132">
        <v>2.62</v>
      </c>
      <c r="F15" s="132">
        <v>2.27</v>
      </c>
      <c r="G15" s="5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3"/>
    </row>
    <row r="16" spans="1:26" ht="18" customHeight="1" x14ac:dyDescent="0.4">
      <c r="A16" s="54" t="s">
        <v>463</v>
      </c>
      <c r="B16" s="89">
        <v>7.42</v>
      </c>
      <c r="C16" s="89">
        <v>4.91</v>
      </c>
      <c r="D16" s="132">
        <v>13.65</v>
      </c>
      <c r="E16" s="132">
        <v>9.94</v>
      </c>
      <c r="F16" s="132">
        <v>8.48</v>
      </c>
      <c r="G16" s="5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3"/>
    </row>
    <row r="17" spans="1:26" ht="18" customHeight="1" x14ac:dyDescent="0.4">
      <c r="A17" s="54" t="s">
        <v>298</v>
      </c>
      <c r="B17" s="89">
        <v>8.4700000000000006</v>
      </c>
      <c r="C17" s="89">
        <v>4.49</v>
      </c>
      <c r="D17" s="132">
        <v>13.96</v>
      </c>
      <c r="E17" s="132">
        <v>8.16</v>
      </c>
      <c r="F17" s="132">
        <v>6.68</v>
      </c>
      <c r="G17" s="5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3"/>
    </row>
    <row r="18" spans="1:26" ht="18" customHeight="1" x14ac:dyDescent="0.4">
      <c r="A18" s="54" t="s">
        <v>464</v>
      </c>
      <c r="B18" s="89">
        <v>1.53</v>
      </c>
      <c r="C18" s="89">
        <v>0.89</v>
      </c>
      <c r="D18" s="132">
        <v>2.2799999999999998</v>
      </c>
      <c r="E18" s="132">
        <v>1.82</v>
      </c>
      <c r="F18" s="132">
        <v>1.66</v>
      </c>
      <c r="G18" s="5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3"/>
    </row>
    <row r="19" spans="1:26" ht="18" customHeight="1" x14ac:dyDescent="0.4">
      <c r="A19" s="54" t="s">
        <v>465</v>
      </c>
      <c r="B19" s="72"/>
      <c r="C19" s="72"/>
      <c r="D19" s="72"/>
      <c r="E19" s="72"/>
      <c r="F19" s="72"/>
      <c r="G19" s="5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3"/>
    </row>
    <row r="20" spans="1:26" ht="18" customHeight="1" x14ac:dyDescent="0.4">
      <c r="A20" s="54" t="s">
        <v>67</v>
      </c>
      <c r="B20" s="78" t="s">
        <v>40</v>
      </c>
      <c r="C20" s="78" t="s">
        <v>41</v>
      </c>
      <c r="D20" s="78" t="s">
        <v>42</v>
      </c>
      <c r="E20" s="78" t="s">
        <v>21</v>
      </c>
      <c r="F20" s="78" t="s">
        <v>22</v>
      </c>
      <c r="G20" s="54" t="s">
        <v>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3"/>
    </row>
    <row r="21" spans="1:26" ht="18" customHeight="1" x14ac:dyDescent="0.4">
      <c r="A21" s="54" t="s">
        <v>299</v>
      </c>
      <c r="B21" s="94">
        <v>2.9499999999999998E-2</v>
      </c>
      <c r="C21" s="94">
        <v>2.7300000000000001E-2</v>
      </c>
      <c r="D21" s="133">
        <v>5.4899999999999997E-2</v>
      </c>
      <c r="E21" s="133">
        <v>0.15509999999999999</v>
      </c>
      <c r="F21" s="133">
        <v>0.16439999999999999</v>
      </c>
      <c r="G21" s="5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3"/>
    </row>
    <row r="22" spans="1:26" ht="18" customHeight="1" x14ac:dyDescent="0.4">
      <c r="A22" s="54" t="s">
        <v>466</v>
      </c>
      <c r="B22" s="94">
        <v>2.1899999999999999E-2</v>
      </c>
      <c r="C22" s="94">
        <v>2.1399999999999999E-2</v>
      </c>
      <c r="D22" s="133">
        <v>4.1700000000000001E-2</v>
      </c>
      <c r="E22" s="133">
        <v>0.1105</v>
      </c>
      <c r="F22" s="133">
        <v>0.1174</v>
      </c>
      <c r="G22" s="5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3"/>
    </row>
    <row r="23" spans="1:26" ht="19.95" customHeight="1" x14ac:dyDescent="0.4">
      <c r="A23" s="73" t="s">
        <v>467</v>
      </c>
      <c r="B23" s="134">
        <v>3.2099999999999997E-2</v>
      </c>
      <c r="C23" s="134">
        <v>1.38E-2</v>
      </c>
      <c r="D23" s="133">
        <v>7.5700000000000003E-2</v>
      </c>
      <c r="E23" s="133">
        <v>0.25600000000000001</v>
      </c>
      <c r="F23" s="133">
        <v>0.31940000000000002</v>
      </c>
      <c r="G23" s="7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3"/>
    </row>
    <row r="24" spans="1:26" ht="18" customHeight="1" x14ac:dyDescent="0.4">
      <c r="A24" s="54" t="s">
        <v>468</v>
      </c>
      <c r="B24" s="94">
        <v>0.29849999999999999</v>
      </c>
      <c r="C24" s="94">
        <v>0.24349999999999999</v>
      </c>
      <c r="D24" s="133">
        <v>0.38690000000000002</v>
      </c>
      <c r="E24" s="133">
        <v>0.41699999999999998</v>
      </c>
      <c r="F24" s="133">
        <v>0.38629999999999998</v>
      </c>
      <c r="G24" s="5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3"/>
    </row>
    <row r="25" spans="1:26" ht="18" customHeight="1" x14ac:dyDescent="0.4">
      <c r="A25" s="54" t="s">
        <v>469</v>
      </c>
      <c r="B25" s="94">
        <v>-0.21079999999999999</v>
      </c>
      <c r="C25" s="94">
        <v>-0.2344</v>
      </c>
      <c r="D25" s="133">
        <v>-0.29099999999999998</v>
      </c>
      <c r="E25" s="133">
        <v>-0.37809999999999999</v>
      </c>
      <c r="F25" s="133">
        <v>-0.47399999999999998</v>
      </c>
      <c r="G25" s="5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3"/>
    </row>
    <row r="26" spans="1:26" ht="18" customHeight="1" x14ac:dyDescent="0.4">
      <c r="A26" s="54" t="s">
        <v>470</v>
      </c>
      <c r="B26" s="78">
        <v>25.76</v>
      </c>
      <c r="C26" s="78">
        <v>16.489999999999998</v>
      </c>
      <c r="D26" s="64">
        <v>39.53</v>
      </c>
      <c r="E26" s="64">
        <v>134.63</v>
      </c>
      <c r="F26" s="64">
        <v>0</v>
      </c>
      <c r="G26" s="5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3"/>
    </row>
    <row r="27" spans="1:26" ht="18" customHeight="1" x14ac:dyDescent="0.4">
      <c r="A27" s="12"/>
      <c r="B27" s="16"/>
      <c r="C27" s="16"/>
      <c r="D27" s="16"/>
      <c r="E27" s="16"/>
      <c r="F27" s="16"/>
      <c r="G27" s="1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3"/>
    </row>
    <row r="28" spans="1:26" ht="18" customHeight="1" x14ac:dyDescent="0.4">
      <c r="A28" s="153" t="s">
        <v>307</v>
      </c>
      <c r="B28" s="148"/>
      <c r="C28" s="148"/>
      <c r="D28" s="148"/>
      <c r="E28" s="148"/>
      <c r="F28" s="148"/>
      <c r="G28" s="15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3"/>
    </row>
    <row r="29" spans="1:26" ht="18" customHeight="1" x14ac:dyDescent="0.4">
      <c r="A29" s="12"/>
      <c r="B29" s="16"/>
      <c r="C29" s="16"/>
      <c r="D29" s="16"/>
      <c r="E29" s="16"/>
      <c r="F29" s="16"/>
      <c r="G29" s="1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3"/>
    </row>
    <row r="30" spans="1:26" ht="18" customHeight="1" x14ac:dyDescent="0.4">
      <c r="A30" s="116" t="s">
        <v>302</v>
      </c>
      <c r="B30" s="16"/>
      <c r="C30" s="16"/>
      <c r="D30" s="16"/>
      <c r="E30" s="16"/>
      <c r="F30" s="16"/>
      <c r="G30" s="1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3"/>
    </row>
    <row r="31" spans="1:26" ht="19.95" customHeight="1" x14ac:dyDescent="0.4">
      <c r="A31" s="73" t="s">
        <v>50</v>
      </c>
      <c r="B31" s="130" t="s">
        <v>40</v>
      </c>
      <c r="C31" s="130" t="s">
        <v>41</v>
      </c>
      <c r="D31" s="130" t="s">
        <v>42</v>
      </c>
      <c r="E31" s="130" t="s">
        <v>21</v>
      </c>
      <c r="F31" s="130" t="s">
        <v>22</v>
      </c>
      <c r="G31" s="73" t="s">
        <v>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3"/>
    </row>
    <row r="32" spans="1:26" ht="18" customHeight="1" x14ac:dyDescent="0.4">
      <c r="A32" s="54" t="s">
        <v>471</v>
      </c>
      <c r="B32" s="72"/>
      <c r="C32" s="72"/>
      <c r="D32" s="72"/>
      <c r="E32" s="71">
        <f>'05_도표1_Valuation'!$C$8/E6</f>
        <v>17.309594460929773</v>
      </c>
      <c r="F32" s="78" t="s">
        <v>472</v>
      </c>
      <c r="G32" s="5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3"/>
    </row>
    <row r="33" spans="1:26" ht="18" customHeight="1" x14ac:dyDescent="0.4">
      <c r="A33" s="54" t="s">
        <v>473</v>
      </c>
      <c r="B33" s="72"/>
      <c r="C33" s="72"/>
      <c r="D33" s="72"/>
      <c r="E33" s="71">
        <f>'05_도표1_Valuation'!$C$8/E7</f>
        <v>2.623163785350255</v>
      </c>
      <c r="F33" s="72"/>
      <c r="G33" s="5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3"/>
    </row>
    <row r="34" spans="1:26" ht="18" customHeight="1" x14ac:dyDescent="0.4">
      <c r="A34" s="54" t="s">
        <v>474</v>
      </c>
      <c r="B34" s="72"/>
      <c r="C34" s="78">
        <f>C6/B7</f>
        <v>2.7347689387198195E-2</v>
      </c>
      <c r="D34" s="78">
        <f>D6/C7</f>
        <v>5.5718992704165686E-2</v>
      </c>
      <c r="E34" s="78">
        <f>E6/D7</f>
        <v>0.17326478149100258</v>
      </c>
      <c r="F34" s="78">
        <f>F6/E7</f>
        <v>0.18482062556210652</v>
      </c>
      <c r="G34" s="5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3"/>
    </row>
    <row r="35" spans="1:26" ht="18" customHeight="1" x14ac:dyDescent="0.4">
      <c r="A35" s="12"/>
      <c r="B35" s="16"/>
      <c r="C35" s="16"/>
      <c r="D35" s="16"/>
      <c r="E35" s="16"/>
      <c r="F35" s="16"/>
      <c r="G35" s="1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3"/>
    </row>
    <row r="36" spans="1:26" ht="18" customHeight="1" x14ac:dyDescent="0.4">
      <c r="A36" s="153" t="s">
        <v>475</v>
      </c>
      <c r="B36" s="148"/>
      <c r="C36" s="148"/>
      <c r="D36" s="148"/>
      <c r="E36" s="148"/>
      <c r="F36" s="148"/>
      <c r="G36" s="15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3"/>
    </row>
    <row r="37" spans="1:26" ht="18" customHeight="1" x14ac:dyDescent="0.4">
      <c r="A37" s="12"/>
      <c r="B37" s="16"/>
      <c r="C37" s="16"/>
      <c r="D37" s="16"/>
      <c r="E37" s="16"/>
      <c r="F37" s="16"/>
      <c r="G37" s="1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3"/>
    </row>
    <row r="38" spans="1:26" ht="18" customHeight="1" x14ac:dyDescent="0.4">
      <c r="A38" s="12"/>
      <c r="B38" s="16"/>
      <c r="C38" s="16"/>
      <c r="D38" s="16"/>
      <c r="E38" s="16"/>
      <c r="F38" s="16"/>
      <c r="G38" s="1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3"/>
    </row>
    <row r="39" spans="1:26" ht="19.95" customHeight="1" x14ac:dyDescent="0.4">
      <c r="A39" s="20"/>
      <c r="B39" s="30"/>
      <c r="C39" s="30"/>
      <c r="D39" s="30"/>
      <c r="E39" s="30"/>
      <c r="F39" s="30"/>
      <c r="G39" s="2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3"/>
    </row>
    <row r="40" spans="1:26" ht="19.95" customHeight="1" x14ac:dyDescent="0.4">
      <c r="A40" s="6"/>
      <c r="B40" s="18"/>
      <c r="C40" s="18"/>
      <c r="D40" s="18"/>
      <c r="E40" s="18"/>
      <c r="F40" s="18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3"/>
    </row>
    <row r="41" spans="1:26" ht="18" customHeight="1" x14ac:dyDescent="0.4">
      <c r="A41" s="12"/>
      <c r="B41" s="16"/>
      <c r="C41" s="16"/>
      <c r="D41" s="16"/>
      <c r="E41" s="16"/>
      <c r="F41" s="16"/>
      <c r="G41" s="1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3"/>
    </row>
    <row r="42" spans="1:26" ht="18" customHeight="1" x14ac:dyDescent="0.4">
      <c r="A42" s="12"/>
      <c r="B42" s="16"/>
      <c r="C42" s="16"/>
      <c r="D42" s="16"/>
      <c r="E42" s="16"/>
      <c r="F42" s="16"/>
      <c r="G42" s="1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3"/>
    </row>
    <row r="43" spans="1:26" ht="18" customHeight="1" x14ac:dyDescent="0.4">
      <c r="A43" s="12"/>
      <c r="B43" s="16"/>
      <c r="C43" s="16"/>
      <c r="D43" s="16"/>
      <c r="E43" s="16"/>
      <c r="F43" s="16"/>
      <c r="G43" s="1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3"/>
    </row>
    <row r="44" spans="1:26" ht="18" customHeight="1" x14ac:dyDescent="0.4">
      <c r="A44" s="12"/>
      <c r="B44" s="16"/>
      <c r="C44" s="16"/>
      <c r="D44" s="16"/>
      <c r="E44" s="16"/>
      <c r="F44" s="16"/>
      <c r="G44" s="1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3"/>
    </row>
    <row r="45" spans="1:26" ht="18" customHeight="1" x14ac:dyDescent="0.4">
      <c r="A45" s="12"/>
      <c r="B45" s="16"/>
      <c r="C45" s="16"/>
      <c r="D45" s="16"/>
      <c r="E45" s="16"/>
      <c r="F45" s="16"/>
      <c r="G45" s="1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3"/>
    </row>
    <row r="46" spans="1:26" ht="18" customHeight="1" x14ac:dyDescent="0.4">
      <c r="A46" s="9"/>
      <c r="B46" s="17"/>
      <c r="C46" s="17"/>
      <c r="D46" s="17"/>
      <c r="E46" s="17"/>
      <c r="F46" s="17"/>
      <c r="G46" s="1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3"/>
    </row>
    <row r="47" spans="1:26" ht="18" customHeight="1" x14ac:dyDescent="0.4">
      <c r="A47" s="1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3"/>
    </row>
    <row r="48" spans="1:26" ht="18" customHeight="1" x14ac:dyDescent="0.4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3"/>
    </row>
    <row r="49" spans="1:26" ht="18" customHeight="1" x14ac:dyDescent="0.4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3"/>
    </row>
    <row r="50" spans="1:26" ht="18" customHeight="1" x14ac:dyDescent="0.4">
      <c r="A50" s="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3"/>
    </row>
    <row r="51" spans="1:26" ht="18" customHeight="1" x14ac:dyDescent="0.4">
      <c r="A51" s="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3"/>
    </row>
    <row r="52" spans="1:26" ht="18" customHeight="1" x14ac:dyDescent="0.4">
      <c r="A52" s="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3"/>
    </row>
    <row r="53" spans="1:26" ht="18" customHeight="1" x14ac:dyDescent="0.4">
      <c r="A53" s="1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3"/>
    </row>
    <row r="54" spans="1:26" ht="18" customHeight="1" x14ac:dyDescent="0.4">
      <c r="A54" s="1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3"/>
    </row>
    <row r="55" spans="1:26" ht="18" customHeight="1" x14ac:dyDescent="0.4">
      <c r="A55" s="1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3"/>
    </row>
    <row r="56" spans="1:26" ht="18" customHeight="1" x14ac:dyDescent="0.4">
      <c r="A56" s="1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3"/>
    </row>
    <row r="57" spans="1:26" ht="18" customHeight="1" x14ac:dyDescent="0.4">
      <c r="A57" s="1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3"/>
    </row>
    <row r="58" spans="1:26" ht="18" customHeight="1" x14ac:dyDescent="0.4">
      <c r="A58" s="1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3"/>
    </row>
    <row r="59" spans="1:26" ht="18" customHeight="1" x14ac:dyDescent="0.4">
      <c r="A59" s="1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3"/>
    </row>
    <row r="60" spans="1:26" ht="18" customHeight="1" x14ac:dyDescent="0.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spans="1:26" ht="18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</sheetData>
  <mergeCells count="3">
    <mergeCell ref="A36:G36"/>
    <mergeCell ref="A2:G2"/>
    <mergeCell ref="A28:G28"/>
  </mergeCells>
  <phoneticPr fontId="2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F6E6A"/>
  </sheetPr>
  <dimension ref="A1:Z90"/>
  <sheetViews>
    <sheetView showGridLines="0" workbookViewId="0"/>
  </sheetViews>
  <sheetFormatPr defaultColWidth="8.69921875" defaultRowHeight="17.399999999999999" x14ac:dyDescent="0.4"/>
  <cols>
    <col min="1" max="1" width="24" customWidth="1"/>
    <col min="2" max="6" width="12" customWidth="1"/>
    <col min="7" max="7" width="28" customWidth="1"/>
    <col min="8" max="26" width="10" customWidth="1"/>
  </cols>
  <sheetData>
    <row r="1" spans="1:26" ht="22.05" customHeight="1" x14ac:dyDescent="0.4">
      <c r="A1" s="111" t="s">
        <v>476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6"/>
    </row>
    <row r="2" spans="1:26" ht="18" customHeight="1" x14ac:dyDescent="0.4">
      <c r="A2" s="165" t="s">
        <v>422</v>
      </c>
      <c r="B2" s="148"/>
      <c r="C2" s="148"/>
      <c r="D2" s="148"/>
      <c r="E2" s="148"/>
      <c r="F2" s="148"/>
      <c r="G2" s="148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28"/>
    </row>
    <row r="3" spans="1:26" ht="18" customHeight="1" x14ac:dyDescent="0.4">
      <c r="A3" s="1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3"/>
    </row>
    <row r="4" spans="1:26" ht="19.95" customHeight="1" x14ac:dyDescent="0.4">
      <c r="A4" s="53" t="s">
        <v>67</v>
      </c>
      <c r="B4" s="53" t="s">
        <v>40</v>
      </c>
      <c r="C4" s="53" t="s">
        <v>41</v>
      </c>
      <c r="D4" s="53" t="s">
        <v>42</v>
      </c>
      <c r="E4" s="53" t="s">
        <v>21</v>
      </c>
      <c r="F4" s="53" t="s">
        <v>22</v>
      </c>
      <c r="G4" s="53" t="s">
        <v>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3"/>
    </row>
    <row r="5" spans="1:26" ht="18" customHeight="1" x14ac:dyDescent="0.4">
      <c r="A5" s="54" t="s">
        <v>477</v>
      </c>
      <c r="B5" s="78">
        <v>180.7</v>
      </c>
      <c r="C5" s="78">
        <v>97.8</v>
      </c>
      <c r="D5" s="64">
        <v>182.9</v>
      </c>
      <c r="E5" s="64">
        <v>262.89999999999998</v>
      </c>
      <c r="F5" s="64">
        <v>282.10000000000002</v>
      </c>
      <c r="G5" s="5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3"/>
    </row>
    <row r="6" spans="1:26" ht="18" customHeight="1" x14ac:dyDescent="0.4">
      <c r="A6" s="54" t="s">
        <v>478</v>
      </c>
      <c r="B6" s="78">
        <v>25.4</v>
      </c>
      <c r="C6" s="78">
        <v>23.8</v>
      </c>
      <c r="D6" s="64">
        <v>48.8</v>
      </c>
      <c r="E6" s="64">
        <v>149.9</v>
      </c>
      <c r="F6" s="64">
        <v>182.8</v>
      </c>
      <c r="G6" s="5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3"/>
    </row>
    <row r="7" spans="1:26" ht="18" customHeight="1" x14ac:dyDescent="0.4">
      <c r="A7" s="54" t="s">
        <v>479</v>
      </c>
      <c r="B7" s="78">
        <v>114.8</v>
      </c>
      <c r="C7" s="78">
        <v>138.30000000000001</v>
      </c>
      <c r="D7" s="64">
        <v>131.1</v>
      </c>
      <c r="E7" s="64">
        <v>94.2</v>
      </c>
      <c r="F7" s="64">
        <v>90.5</v>
      </c>
      <c r="G7" s="5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</row>
    <row r="8" spans="1:26" ht="18" customHeight="1" x14ac:dyDescent="0.4">
      <c r="A8" s="54" t="s">
        <v>480</v>
      </c>
      <c r="B8" s="78">
        <v>115</v>
      </c>
      <c r="C8" s="78">
        <v>117.4</v>
      </c>
      <c r="D8" s="64">
        <v>101</v>
      </c>
      <c r="E8" s="64">
        <v>94.2</v>
      </c>
      <c r="F8" s="64">
        <v>90.5</v>
      </c>
      <c r="G8" s="5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3"/>
    </row>
    <row r="9" spans="1:26" ht="18" customHeight="1" x14ac:dyDescent="0.4">
      <c r="A9" s="54" t="s">
        <v>481</v>
      </c>
      <c r="B9" s="78">
        <v>1.7</v>
      </c>
      <c r="C9" s="78">
        <v>-3.8</v>
      </c>
      <c r="D9" s="64">
        <v>-1</v>
      </c>
      <c r="E9" s="64">
        <v>0</v>
      </c>
      <c r="F9" s="64">
        <v>0</v>
      </c>
      <c r="G9" s="5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3"/>
    </row>
    <row r="10" spans="1:26" ht="18" customHeight="1" x14ac:dyDescent="0.4">
      <c r="A10" s="54" t="s">
        <v>482</v>
      </c>
      <c r="B10" s="78">
        <v>0</v>
      </c>
      <c r="C10" s="78">
        <v>0</v>
      </c>
      <c r="D10" s="64">
        <v>0</v>
      </c>
      <c r="E10" s="64">
        <v>0</v>
      </c>
      <c r="F10" s="64">
        <v>0</v>
      </c>
      <c r="G10" s="5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3"/>
    </row>
    <row r="11" spans="1:26" ht="18" customHeight="1" x14ac:dyDescent="0.4">
      <c r="A11" s="54" t="s">
        <v>483</v>
      </c>
      <c r="B11" s="78">
        <v>-1.9</v>
      </c>
      <c r="C11" s="78">
        <v>24.7</v>
      </c>
      <c r="D11" s="64">
        <v>31.1</v>
      </c>
      <c r="E11" s="64">
        <v>0</v>
      </c>
      <c r="F11" s="64">
        <v>0</v>
      </c>
      <c r="G11" s="5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3"/>
    </row>
    <row r="12" spans="1:26" ht="18" customHeight="1" x14ac:dyDescent="0.4">
      <c r="A12" s="54" t="s">
        <v>484</v>
      </c>
      <c r="B12" s="78">
        <v>40.5</v>
      </c>
      <c r="C12" s="78">
        <v>-64.3</v>
      </c>
      <c r="D12" s="64">
        <v>3</v>
      </c>
      <c r="E12" s="64">
        <v>18.8</v>
      </c>
      <c r="F12" s="64">
        <v>8.8000000000000007</v>
      </c>
      <c r="G12" s="5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3"/>
    </row>
    <row r="13" spans="1:26" ht="18" customHeight="1" x14ac:dyDescent="0.4">
      <c r="A13" s="54" t="s">
        <v>485</v>
      </c>
      <c r="B13" s="78">
        <v>-197.5</v>
      </c>
      <c r="C13" s="78">
        <v>-116.1</v>
      </c>
      <c r="D13" s="64">
        <v>-161.9</v>
      </c>
      <c r="E13" s="64">
        <v>-155.30000000000001</v>
      </c>
      <c r="F13" s="64">
        <v>-104.6</v>
      </c>
      <c r="G13" s="5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3"/>
    </row>
    <row r="14" spans="1:26" ht="18" customHeight="1" x14ac:dyDescent="0.4">
      <c r="A14" s="54" t="s">
        <v>486</v>
      </c>
      <c r="B14" s="78">
        <v>-1</v>
      </c>
      <c r="C14" s="78">
        <v>-0.2</v>
      </c>
      <c r="D14" s="64">
        <v>0.5</v>
      </c>
      <c r="E14" s="64">
        <v>-0.1</v>
      </c>
      <c r="F14" s="64">
        <v>0</v>
      </c>
      <c r="G14" s="5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3"/>
    </row>
    <row r="15" spans="1:26" ht="18" customHeight="1" x14ac:dyDescent="0.4">
      <c r="A15" s="54" t="s">
        <v>487</v>
      </c>
      <c r="B15" s="78">
        <v>-117</v>
      </c>
      <c r="C15" s="78">
        <v>-59.6</v>
      </c>
      <c r="D15" s="64">
        <v>-58.5</v>
      </c>
      <c r="E15" s="64">
        <v>-75</v>
      </c>
      <c r="F15" s="64">
        <v>-65</v>
      </c>
      <c r="G15" s="5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3"/>
    </row>
    <row r="16" spans="1:26" ht="18" customHeight="1" x14ac:dyDescent="0.4">
      <c r="A16" s="54" t="s">
        <v>488</v>
      </c>
      <c r="B16" s="78">
        <v>-79.5</v>
      </c>
      <c r="C16" s="78">
        <v>-56.3</v>
      </c>
      <c r="D16" s="64">
        <v>-103.9</v>
      </c>
      <c r="E16" s="64">
        <v>-80.2</v>
      </c>
      <c r="F16" s="64">
        <v>-39.6</v>
      </c>
      <c r="G16" s="5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3"/>
    </row>
    <row r="17" spans="1:26" ht="18" customHeight="1" x14ac:dyDescent="0.4">
      <c r="A17" s="54" t="s">
        <v>489</v>
      </c>
      <c r="B17" s="78">
        <v>-27.8</v>
      </c>
      <c r="C17" s="78">
        <v>-19.600000000000001</v>
      </c>
      <c r="D17" s="64">
        <v>6.1</v>
      </c>
      <c r="E17" s="64">
        <v>-20.5</v>
      </c>
      <c r="F17" s="64">
        <v>-27.4</v>
      </c>
      <c r="G17" s="5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3"/>
    </row>
    <row r="18" spans="1:26" ht="18" customHeight="1" x14ac:dyDescent="0.4">
      <c r="A18" s="54" t="s">
        <v>490</v>
      </c>
      <c r="B18" s="78">
        <v>-7.2</v>
      </c>
      <c r="C18" s="78">
        <v>-4.2</v>
      </c>
      <c r="D18" s="64">
        <v>27</v>
      </c>
      <c r="E18" s="64">
        <v>0.1</v>
      </c>
      <c r="F18" s="64">
        <v>-6.8</v>
      </c>
      <c r="G18" s="5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3"/>
    </row>
    <row r="19" spans="1:26" ht="18" customHeight="1" x14ac:dyDescent="0.4">
      <c r="A19" s="54" t="s">
        <v>487</v>
      </c>
      <c r="B19" s="78">
        <v>0</v>
      </c>
      <c r="C19" s="78">
        <v>0</v>
      </c>
      <c r="D19" s="64">
        <v>0</v>
      </c>
      <c r="E19" s="64">
        <v>0</v>
      </c>
      <c r="F19" s="64">
        <v>0</v>
      </c>
      <c r="G19" s="5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3"/>
    </row>
    <row r="20" spans="1:26" ht="18" customHeight="1" x14ac:dyDescent="0.4">
      <c r="A20" s="54" t="s">
        <v>491</v>
      </c>
      <c r="B20" s="78">
        <v>0</v>
      </c>
      <c r="C20" s="78">
        <v>0.1</v>
      </c>
      <c r="D20" s="64">
        <v>-0.3</v>
      </c>
      <c r="E20" s="64">
        <v>0</v>
      </c>
      <c r="F20" s="64">
        <v>0</v>
      </c>
      <c r="G20" s="5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3"/>
    </row>
    <row r="21" spans="1:26" ht="18" customHeight="1" x14ac:dyDescent="0.4">
      <c r="A21" s="54" t="s">
        <v>492</v>
      </c>
      <c r="B21" s="78">
        <v>-20.6</v>
      </c>
      <c r="C21" s="78">
        <v>-15.5</v>
      </c>
      <c r="D21" s="64">
        <v>-20.6</v>
      </c>
      <c r="E21" s="64">
        <v>-20.6</v>
      </c>
      <c r="F21" s="64">
        <v>-20.6</v>
      </c>
      <c r="G21" s="5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3"/>
    </row>
    <row r="22" spans="1:26" ht="18" customHeight="1" x14ac:dyDescent="0.4">
      <c r="A22" s="54" t="s">
        <v>493</v>
      </c>
      <c r="B22" s="78">
        <v>-44.5</v>
      </c>
      <c r="C22" s="78">
        <v>-37.9</v>
      </c>
      <c r="D22" s="64">
        <v>14.2</v>
      </c>
      <c r="E22" s="64">
        <v>51.3</v>
      </c>
      <c r="F22" s="64">
        <v>133.30000000000001</v>
      </c>
      <c r="G22" s="5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3"/>
    </row>
    <row r="23" spans="1:26" ht="19.95" customHeight="1" x14ac:dyDescent="0.4">
      <c r="A23" s="73" t="s">
        <v>494</v>
      </c>
      <c r="B23" s="130">
        <v>187.8</v>
      </c>
      <c r="C23" s="130">
        <v>162.6</v>
      </c>
      <c r="D23" s="64">
        <v>177.8</v>
      </c>
      <c r="E23" s="64">
        <v>272.10000000000002</v>
      </c>
      <c r="F23" s="64">
        <v>319</v>
      </c>
      <c r="G23" s="7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3"/>
    </row>
    <row r="24" spans="1:26" ht="18" customHeight="1" x14ac:dyDescent="0.4">
      <c r="A24" s="54" t="s">
        <v>495</v>
      </c>
      <c r="B24" s="78">
        <v>63.7</v>
      </c>
      <c r="C24" s="78">
        <v>38.200000000000003</v>
      </c>
      <c r="D24" s="64">
        <v>124</v>
      </c>
      <c r="E24" s="64">
        <v>187.9</v>
      </c>
      <c r="F24" s="64">
        <v>217.1</v>
      </c>
      <c r="G24" s="5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3"/>
    </row>
    <row r="25" spans="1:26" ht="18" customHeight="1" x14ac:dyDescent="0.4">
      <c r="A25" s="12"/>
      <c r="B25" s="16"/>
      <c r="C25" s="16"/>
      <c r="D25" s="16"/>
      <c r="E25" s="16"/>
      <c r="F25" s="16"/>
      <c r="G25" s="1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3"/>
    </row>
    <row r="26" spans="1:26" ht="18" customHeight="1" x14ac:dyDescent="0.4">
      <c r="A26" s="153" t="s">
        <v>307</v>
      </c>
      <c r="B26" s="148"/>
      <c r="C26" s="148"/>
      <c r="D26" s="148"/>
      <c r="E26" s="148"/>
      <c r="F26" s="148"/>
      <c r="G26" s="154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3"/>
    </row>
    <row r="27" spans="1:26" ht="18" customHeight="1" x14ac:dyDescent="0.4">
      <c r="A27" s="12"/>
      <c r="B27" s="16"/>
      <c r="C27" s="16"/>
      <c r="D27" s="16"/>
      <c r="E27" s="16"/>
      <c r="F27" s="16"/>
      <c r="G27" s="1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3"/>
    </row>
    <row r="28" spans="1:26" ht="18" customHeight="1" x14ac:dyDescent="0.4">
      <c r="A28" s="116" t="s">
        <v>302</v>
      </c>
      <c r="B28" s="16"/>
      <c r="C28" s="16"/>
      <c r="D28" s="16"/>
      <c r="E28" s="16"/>
      <c r="F28" s="16"/>
      <c r="G28" s="1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3"/>
    </row>
    <row r="29" spans="1:26" ht="18" customHeight="1" x14ac:dyDescent="0.4">
      <c r="A29" s="54" t="s">
        <v>50</v>
      </c>
      <c r="B29" s="78" t="s">
        <v>40</v>
      </c>
      <c r="C29" s="78" t="s">
        <v>41</v>
      </c>
      <c r="D29" s="78" t="s">
        <v>42</v>
      </c>
      <c r="E29" s="78" t="s">
        <v>21</v>
      </c>
      <c r="F29" s="78" t="s">
        <v>22</v>
      </c>
      <c r="G29" s="54" t="s">
        <v>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3"/>
    </row>
    <row r="30" spans="1:26" ht="18" customHeight="1" x14ac:dyDescent="0.4">
      <c r="A30" s="54" t="s">
        <v>496</v>
      </c>
      <c r="B30" s="78">
        <f>B5+B13+B17-B22</f>
        <v>-0.10000000000000853</v>
      </c>
      <c r="C30" s="78">
        <f>C5+C13+C17-C22</f>
        <v>0</v>
      </c>
      <c r="D30" s="78">
        <f>D5+D13+D17-D22</f>
        <v>12.900000000000002</v>
      </c>
      <c r="E30" s="78">
        <f>E5+E13+E17-E22</f>
        <v>35.799999999999969</v>
      </c>
      <c r="F30" s="78">
        <f>F5+F13+F17-F22</f>
        <v>16.800000000000011</v>
      </c>
      <c r="G30" s="54" t="s">
        <v>497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3"/>
    </row>
    <row r="31" spans="1:26" ht="19.95" customHeight="1" x14ac:dyDescent="0.4">
      <c r="A31" s="20"/>
      <c r="B31" s="30"/>
      <c r="C31" s="30"/>
      <c r="D31" s="30"/>
      <c r="E31" s="30"/>
      <c r="F31" s="30"/>
      <c r="G31" s="2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3"/>
    </row>
    <row r="32" spans="1:26" ht="18" customHeight="1" x14ac:dyDescent="0.4">
      <c r="A32" s="153" t="s">
        <v>498</v>
      </c>
      <c r="B32" s="148"/>
      <c r="C32" s="148"/>
      <c r="D32" s="148"/>
      <c r="E32" s="148"/>
      <c r="F32" s="148"/>
      <c r="G32" s="15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3"/>
    </row>
    <row r="33" spans="1:26" ht="18" customHeight="1" x14ac:dyDescent="0.4">
      <c r="A33" s="12"/>
      <c r="B33" s="16"/>
      <c r="C33" s="16"/>
      <c r="D33" s="16"/>
      <c r="E33" s="16"/>
      <c r="F33" s="16"/>
      <c r="G33" s="1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3"/>
    </row>
    <row r="34" spans="1:26" ht="18" customHeight="1" x14ac:dyDescent="0.4">
      <c r="A34" s="12"/>
      <c r="B34" s="16"/>
      <c r="C34" s="16"/>
      <c r="D34" s="16"/>
      <c r="E34" s="16"/>
      <c r="F34" s="16"/>
      <c r="G34" s="1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3"/>
    </row>
    <row r="35" spans="1:26" ht="18" customHeight="1" x14ac:dyDescent="0.4">
      <c r="A35" s="12"/>
      <c r="B35" s="16"/>
      <c r="C35" s="16"/>
      <c r="D35" s="16"/>
      <c r="E35" s="16"/>
      <c r="F35" s="16"/>
      <c r="G35" s="1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3"/>
    </row>
    <row r="36" spans="1:26" ht="18" customHeight="1" x14ac:dyDescent="0.4">
      <c r="A36" s="12"/>
      <c r="B36" s="16"/>
      <c r="C36" s="16"/>
      <c r="D36" s="16"/>
      <c r="E36" s="16"/>
      <c r="F36" s="16"/>
      <c r="G36" s="1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3"/>
    </row>
    <row r="37" spans="1:26" ht="18" customHeight="1" x14ac:dyDescent="0.4">
      <c r="A37" s="12"/>
      <c r="B37" s="16"/>
      <c r="C37" s="16"/>
      <c r="D37" s="16"/>
      <c r="E37" s="16"/>
      <c r="F37" s="16"/>
      <c r="G37" s="1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3"/>
    </row>
    <row r="38" spans="1:26" ht="18" customHeight="1" x14ac:dyDescent="0.4">
      <c r="A38" s="12"/>
      <c r="B38" s="16"/>
      <c r="C38" s="16"/>
      <c r="D38" s="16"/>
      <c r="E38" s="16"/>
      <c r="F38" s="16"/>
      <c r="G38" s="1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3"/>
    </row>
    <row r="39" spans="1:26" ht="19.95" customHeight="1" x14ac:dyDescent="0.4">
      <c r="A39" s="20"/>
      <c r="B39" s="30"/>
      <c r="C39" s="30"/>
      <c r="D39" s="30"/>
      <c r="E39" s="30"/>
      <c r="F39" s="30"/>
      <c r="G39" s="2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3"/>
    </row>
    <row r="40" spans="1:26" ht="19.95" customHeight="1" x14ac:dyDescent="0.4">
      <c r="A40" s="6"/>
      <c r="B40" s="18"/>
      <c r="C40" s="18"/>
      <c r="D40" s="18"/>
      <c r="E40" s="18"/>
      <c r="F40" s="18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3"/>
    </row>
    <row r="41" spans="1:26" ht="18" customHeight="1" x14ac:dyDescent="0.4">
      <c r="A41" s="12"/>
      <c r="B41" s="16"/>
      <c r="C41" s="16"/>
      <c r="D41" s="16"/>
      <c r="E41" s="16"/>
      <c r="F41" s="16"/>
      <c r="G41" s="1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3"/>
    </row>
    <row r="42" spans="1:26" ht="18" customHeight="1" x14ac:dyDescent="0.4">
      <c r="A42" s="12"/>
      <c r="B42" s="16"/>
      <c r="C42" s="16"/>
      <c r="D42" s="16"/>
      <c r="E42" s="16"/>
      <c r="F42" s="16"/>
      <c r="G42" s="1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3"/>
    </row>
    <row r="43" spans="1:26" ht="18" customHeight="1" x14ac:dyDescent="0.4">
      <c r="A43" s="12"/>
      <c r="B43" s="16"/>
      <c r="C43" s="16"/>
      <c r="D43" s="16"/>
      <c r="E43" s="16"/>
      <c r="F43" s="16"/>
      <c r="G43" s="1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3"/>
    </row>
    <row r="44" spans="1:26" ht="18" customHeight="1" x14ac:dyDescent="0.4">
      <c r="A44" s="12"/>
      <c r="B44" s="16"/>
      <c r="C44" s="16"/>
      <c r="D44" s="16"/>
      <c r="E44" s="16"/>
      <c r="F44" s="16"/>
      <c r="G44" s="1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3"/>
    </row>
    <row r="45" spans="1:26" ht="18" customHeight="1" x14ac:dyDescent="0.4">
      <c r="A45" s="12"/>
      <c r="B45" s="16"/>
      <c r="C45" s="16"/>
      <c r="D45" s="16"/>
      <c r="E45" s="16"/>
      <c r="F45" s="16"/>
      <c r="G45" s="1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3"/>
    </row>
    <row r="46" spans="1:26" ht="18" customHeight="1" x14ac:dyDescent="0.4">
      <c r="A46" s="9"/>
      <c r="B46" s="17"/>
      <c r="C46" s="17"/>
      <c r="D46" s="17"/>
      <c r="E46" s="17"/>
      <c r="F46" s="17"/>
      <c r="G46" s="1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3"/>
    </row>
    <row r="47" spans="1:26" ht="18" customHeight="1" x14ac:dyDescent="0.4">
      <c r="A47" s="1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3"/>
    </row>
    <row r="48" spans="1:26" ht="18" customHeight="1" x14ac:dyDescent="0.4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3"/>
    </row>
    <row r="49" spans="1:26" ht="18" customHeight="1" x14ac:dyDescent="0.4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3"/>
    </row>
    <row r="50" spans="1:26" ht="18" customHeight="1" x14ac:dyDescent="0.4">
      <c r="A50" s="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3"/>
    </row>
    <row r="51" spans="1:26" ht="18" customHeight="1" x14ac:dyDescent="0.4">
      <c r="A51" s="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3"/>
    </row>
    <row r="52" spans="1:26" ht="18" customHeight="1" x14ac:dyDescent="0.4">
      <c r="A52" s="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3"/>
    </row>
    <row r="53" spans="1:26" ht="18" customHeight="1" x14ac:dyDescent="0.4">
      <c r="A53" s="1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3"/>
    </row>
    <row r="54" spans="1:26" ht="18" customHeight="1" x14ac:dyDescent="0.4">
      <c r="A54" s="1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3"/>
    </row>
    <row r="55" spans="1:26" ht="18" customHeight="1" x14ac:dyDescent="0.4">
      <c r="A55" s="1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3"/>
    </row>
    <row r="56" spans="1:26" ht="18" customHeight="1" x14ac:dyDescent="0.4">
      <c r="A56" s="1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3"/>
    </row>
    <row r="57" spans="1:26" ht="18" customHeight="1" x14ac:dyDescent="0.4">
      <c r="A57" s="1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3"/>
    </row>
    <row r="58" spans="1:26" ht="18" customHeight="1" x14ac:dyDescent="0.4">
      <c r="A58" s="1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3"/>
    </row>
    <row r="59" spans="1:26" ht="18" customHeight="1" x14ac:dyDescent="0.4">
      <c r="A59" s="1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3"/>
    </row>
    <row r="60" spans="1:26" ht="18" customHeight="1" x14ac:dyDescent="0.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spans="1:26" ht="18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</sheetData>
  <mergeCells count="3">
    <mergeCell ref="A32:G32"/>
    <mergeCell ref="A26:G26"/>
    <mergeCell ref="A2:G2"/>
  </mergeCells>
  <phoneticPr fontId="2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F6E6A"/>
  </sheetPr>
  <dimension ref="A1:Z90"/>
  <sheetViews>
    <sheetView showGridLines="0" workbookViewId="0"/>
  </sheetViews>
  <sheetFormatPr defaultColWidth="8.69921875" defaultRowHeight="17.399999999999999" x14ac:dyDescent="0.4"/>
  <cols>
    <col min="1" max="1" width="24" customWidth="1"/>
    <col min="2" max="4" width="12" customWidth="1"/>
    <col min="5" max="5" width="35" customWidth="1"/>
    <col min="6" max="6" width="12" customWidth="1"/>
    <col min="7" max="26" width="10" customWidth="1"/>
  </cols>
  <sheetData>
    <row r="1" spans="1:26" ht="22.05" customHeight="1" x14ac:dyDescent="0.4">
      <c r="A1" s="111" t="s">
        <v>150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6"/>
    </row>
    <row r="2" spans="1:26" ht="18" customHeight="1" x14ac:dyDescent="0.4">
      <c r="A2" s="165" t="s">
        <v>499</v>
      </c>
      <c r="B2" s="148"/>
      <c r="C2" s="148"/>
      <c r="D2" s="148"/>
      <c r="E2" s="148"/>
      <c r="F2" s="148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28"/>
    </row>
    <row r="3" spans="1:26" ht="18" customHeight="1" x14ac:dyDescent="0.4">
      <c r="A3" s="1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3"/>
    </row>
    <row r="4" spans="1:26" ht="18" customHeight="1" x14ac:dyDescent="0.4">
      <c r="A4" s="54" t="s">
        <v>500</v>
      </c>
      <c r="B4" s="54" t="s">
        <v>246</v>
      </c>
      <c r="C4" s="54" t="s">
        <v>501</v>
      </c>
      <c r="D4" s="54" t="s">
        <v>502</v>
      </c>
      <c r="E4" s="54" t="s">
        <v>503</v>
      </c>
      <c r="F4" s="54" t="s">
        <v>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3"/>
    </row>
    <row r="5" spans="1:26" ht="18" customHeight="1" x14ac:dyDescent="0.4">
      <c r="A5" s="115" t="s">
        <v>504</v>
      </c>
      <c r="B5" s="115" t="s">
        <v>505</v>
      </c>
      <c r="C5" s="115">
        <v>81000</v>
      </c>
      <c r="D5" s="115"/>
      <c r="E5" s="115"/>
      <c r="F5" s="5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3"/>
    </row>
    <row r="6" spans="1:26" ht="18" customHeight="1" x14ac:dyDescent="0.4">
      <c r="A6" s="115" t="s">
        <v>506</v>
      </c>
      <c r="B6" s="115" t="s">
        <v>505</v>
      </c>
      <c r="C6" s="115">
        <v>59000</v>
      </c>
      <c r="D6" s="115">
        <v>-0.18529999999999999</v>
      </c>
      <c r="E6" s="115">
        <v>-7.6300000000000007E-2</v>
      </c>
      <c r="F6" s="5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3"/>
    </row>
    <row r="7" spans="1:26" ht="18" customHeight="1" x14ac:dyDescent="0.4">
      <c r="A7" s="115" t="s">
        <v>507</v>
      </c>
      <c r="B7" s="115" t="s">
        <v>505</v>
      </c>
      <c r="C7" s="115">
        <v>35000</v>
      </c>
      <c r="D7" s="115">
        <v>-3.0200000000000001E-2</v>
      </c>
      <c r="E7" s="115">
        <v>0.1386</v>
      </c>
      <c r="F7" s="5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</row>
    <row r="8" spans="1:26" ht="18" customHeight="1" x14ac:dyDescent="0.4">
      <c r="A8" s="115" t="s">
        <v>508</v>
      </c>
      <c r="B8" s="115" t="s">
        <v>505</v>
      </c>
      <c r="C8" s="115">
        <v>32000</v>
      </c>
      <c r="D8" s="115">
        <v>-0.23599999999999999</v>
      </c>
      <c r="E8" s="115">
        <v>-9.06E-2</v>
      </c>
      <c r="F8" s="5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3"/>
    </row>
    <row r="9" spans="1:26" ht="18" customHeight="1" x14ac:dyDescent="0.4">
      <c r="A9" s="115" t="s">
        <v>509</v>
      </c>
      <c r="B9" s="115" t="s">
        <v>505</v>
      </c>
      <c r="C9" s="115">
        <v>20000</v>
      </c>
      <c r="D9" s="115">
        <v>-0.13900000000000001</v>
      </c>
      <c r="E9" s="115">
        <v>3.7499999999999999E-2</v>
      </c>
      <c r="F9" s="5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3"/>
    </row>
    <row r="10" spans="1:26" ht="18" customHeight="1" x14ac:dyDescent="0.4">
      <c r="A10" s="115" t="s">
        <v>510</v>
      </c>
      <c r="B10" s="115" t="s">
        <v>505</v>
      </c>
      <c r="C10" s="115">
        <v>23000</v>
      </c>
      <c r="D10" s="115">
        <v>-0.34429999999999999</v>
      </c>
      <c r="E10" s="115">
        <v>-0.31519999999999998</v>
      </c>
      <c r="F10" s="5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3"/>
    </row>
    <row r="11" spans="1:26" ht="18" customHeight="1" x14ac:dyDescent="0.4">
      <c r="A11" s="115" t="s">
        <v>510</v>
      </c>
      <c r="B11" s="115" t="s">
        <v>511</v>
      </c>
      <c r="C11" s="115"/>
      <c r="D11" s="115"/>
      <c r="E11" s="115"/>
      <c r="F11" s="5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3"/>
    </row>
    <row r="12" spans="1:26" ht="18" customHeight="1" x14ac:dyDescent="0.4">
      <c r="A12" s="115" t="s">
        <v>512</v>
      </c>
      <c r="B12" s="115" t="s">
        <v>505</v>
      </c>
      <c r="C12" s="115">
        <v>23000</v>
      </c>
      <c r="D12" s="115">
        <v>-0.27389999999999998</v>
      </c>
      <c r="E12" s="115">
        <v>-9.35E-2</v>
      </c>
      <c r="F12" s="5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3"/>
    </row>
    <row r="13" spans="1:26" ht="18" customHeight="1" x14ac:dyDescent="0.4">
      <c r="A13" s="115" t="s">
        <v>513</v>
      </c>
      <c r="B13" s="115" t="s">
        <v>505</v>
      </c>
      <c r="C13" s="115">
        <v>25000</v>
      </c>
      <c r="D13" s="115">
        <v>-0.3599</v>
      </c>
      <c r="E13" s="115">
        <v>-0.2</v>
      </c>
      <c r="F13" s="5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3"/>
    </row>
    <row r="14" spans="1:26" ht="18" customHeight="1" x14ac:dyDescent="0.4">
      <c r="A14" s="115" t="s">
        <v>514</v>
      </c>
      <c r="B14" s="115" t="s">
        <v>505</v>
      </c>
      <c r="C14" s="115">
        <v>30000</v>
      </c>
      <c r="D14" s="115">
        <v>-0.27189999999999998</v>
      </c>
      <c r="E14" s="115">
        <v>-0.1</v>
      </c>
      <c r="F14" s="5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3"/>
    </row>
    <row r="15" spans="1:26" ht="18" customHeight="1" x14ac:dyDescent="0.4">
      <c r="A15" s="1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3"/>
    </row>
    <row r="16" spans="1:26" ht="18" customHeight="1" x14ac:dyDescent="0.4">
      <c r="A16" s="164" t="s">
        <v>307</v>
      </c>
      <c r="B16" s="148"/>
      <c r="C16" s="148"/>
      <c r="D16" s="148"/>
      <c r="E16" s="148"/>
      <c r="F16" s="14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3"/>
    </row>
    <row r="17" spans="1:26" ht="18" customHeight="1" x14ac:dyDescent="0.4">
      <c r="A17" s="164" t="s">
        <v>515</v>
      </c>
      <c r="B17" s="148"/>
      <c r="C17" s="148"/>
      <c r="D17" s="148"/>
      <c r="E17" s="148"/>
      <c r="F17" s="14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3"/>
    </row>
    <row r="18" spans="1:26" ht="18" customHeight="1" x14ac:dyDescent="0.4">
      <c r="A18" s="1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3"/>
    </row>
    <row r="19" spans="1:26" ht="18" customHeight="1" x14ac:dyDescent="0.4">
      <c r="A19" s="1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3"/>
    </row>
    <row r="20" spans="1:26" ht="18" customHeight="1" x14ac:dyDescent="0.4">
      <c r="A20" s="1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3"/>
    </row>
    <row r="21" spans="1:26" ht="18" customHeight="1" x14ac:dyDescent="0.4">
      <c r="A21" s="1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3"/>
    </row>
    <row r="22" spans="1:26" ht="18" customHeight="1" x14ac:dyDescent="0.4">
      <c r="A22" s="1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3"/>
    </row>
    <row r="23" spans="1:26" ht="18" customHeight="1" x14ac:dyDescent="0.4">
      <c r="A23" s="1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3"/>
    </row>
    <row r="24" spans="1:26" ht="18" customHeight="1" x14ac:dyDescent="0.4">
      <c r="A24" s="1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3"/>
    </row>
    <row r="25" spans="1:26" ht="18" customHeight="1" x14ac:dyDescent="0.4">
      <c r="A25" s="1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3"/>
    </row>
    <row r="26" spans="1:26" ht="18" customHeight="1" x14ac:dyDescent="0.4">
      <c r="A26" s="1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3"/>
    </row>
    <row r="27" spans="1:26" ht="18" customHeight="1" x14ac:dyDescent="0.4">
      <c r="A27" s="1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3"/>
    </row>
    <row r="28" spans="1:26" ht="18" customHeight="1" x14ac:dyDescent="0.4">
      <c r="A28" s="1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3"/>
    </row>
    <row r="29" spans="1:26" ht="18" customHeight="1" x14ac:dyDescent="0.4">
      <c r="A29" s="1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3"/>
    </row>
    <row r="30" spans="1:26" ht="18" customHeight="1" x14ac:dyDescent="0.4">
      <c r="A30" s="1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3"/>
    </row>
    <row r="31" spans="1:26" ht="18" customHeight="1" x14ac:dyDescent="0.4">
      <c r="A31" s="1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3"/>
    </row>
    <row r="32" spans="1:26" ht="18" customHeight="1" x14ac:dyDescent="0.4">
      <c r="A32" s="1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3"/>
    </row>
    <row r="33" spans="1:26" ht="18" customHeight="1" x14ac:dyDescent="0.4">
      <c r="A33" s="1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3"/>
    </row>
    <row r="34" spans="1:26" ht="18" customHeight="1" x14ac:dyDescent="0.4">
      <c r="A34" s="1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3"/>
    </row>
    <row r="35" spans="1:26" ht="18" customHeight="1" x14ac:dyDescent="0.4">
      <c r="A35" s="1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3"/>
    </row>
    <row r="36" spans="1:26" ht="18" customHeight="1" x14ac:dyDescent="0.4">
      <c r="A36" s="1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3"/>
    </row>
    <row r="37" spans="1:26" ht="18" customHeight="1" x14ac:dyDescent="0.4">
      <c r="A37" s="1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3"/>
    </row>
    <row r="38" spans="1:26" ht="18" customHeight="1" x14ac:dyDescent="0.4">
      <c r="A38" s="1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3"/>
    </row>
    <row r="39" spans="1:26" ht="18" customHeight="1" x14ac:dyDescent="0.4">
      <c r="A39" s="1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3"/>
    </row>
    <row r="40" spans="1:26" ht="18" customHeight="1" x14ac:dyDescent="0.4">
      <c r="A40" s="1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3"/>
    </row>
    <row r="41" spans="1:26" ht="18" customHeight="1" x14ac:dyDescent="0.4">
      <c r="A41" s="1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3"/>
    </row>
    <row r="42" spans="1:26" ht="18" customHeight="1" x14ac:dyDescent="0.4">
      <c r="A42" s="1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3"/>
    </row>
    <row r="43" spans="1:26" ht="18" customHeight="1" x14ac:dyDescent="0.4">
      <c r="A43" s="1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3"/>
    </row>
    <row r="44" spans="1:26" ht="18" customHeight="1" x14ac:dyDescent="0.4">
      <c r="A44" s="1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3"/>
    </row>
    <row r="45" spans="1:26" ht="18" customHeight="1" x14ac:dyDescent="0.4">
      <c r="A45" s="1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3"/>
    </row>
    <row r="46" spans="1:26" ht="18" customHeight="1" x14ac:dyDescent="0.4">
      <c r="A46" s="1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3"/>
    </row>
    <row r="47" spans="1:26" ht="18" customHeight="1" x14ac:dyDescent="0.4">
      <c r="A47" s="1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3"/>
    </row>
    <row r="48" spans="1:26" ht="18" customHeight="1" x14ac:dyDescent="0.4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3"/>
    </row>
    <row r="49" spans="1:26" ht="18" customHeight="1" x14ac:dyDescent="0.4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3"/>
    </row>
    <row r="50" spans="1:26" ht="18" customHeight="1" x14ac:dyDescent="0.4">
      <c r="A50" s="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3"/>
    </row>
    <row r="51" spans="1:26" ht="18" customHeight="1" x14ac:dyDescent="0.4">
      <c r="A51" s="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3"/>
    </row>
    <row r="52" spans="1:26" ht="18" customHeight="1" x14ac:dyDescent="0.4">
      <c r="A52" s="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3"/>
    </row>
    <row r="53" spans="1:26" ht="18" customHeight="1" x14ac:dyDescent="0.4">
      <c r="A53" s="1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3"/>
    </row>
    <row r="54" spans="1:26" ht="18" customHeight="1" x14ac:dyDescent="0.4">
      <c r="A54" s="1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3"/>
    </row>
    <row r="55" spans="1:26" ht="18" customHeight="1" x14ac:dyDescent="0.4">
      <c r="A55" s="1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3"/>
    </row>
    <row r="56" spans="1:26" ht="18" customHeight="1" x14ac:dyDescent="0.4">
      <c r="A56" s="1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3"/>
    </row>
    <row r="57" spans="1:26" ht="18" customHeight="1" x14ac:dyDescent="0.4">
      <c r="A57" s="1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3"/>
    </row>
    <row r="58" spans="1:26" ht="18" customHeight="1" x14ac:dyDescent="0.4">
      <c r="A58" s="1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3"/>
    </row>
    <row r="59" spans="1:26" ht="18" customHeight="1" x14ac:dyDescent="0.4">
      <c r="A59" s="1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3"/>
    </row>
    <row r="60" spans="1:26" ht="18" customHeight="1" x14ac:dyDescent="0.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spans="1:26" ht="18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</sheetData>
  <mergeCells count="3">
    <mergeCell ref="A2:F2"/>
    <mergeCell ref="A16:F16"/>
    <mergeCell ref="A17:F17"/>
  </mergeCells>
  <phoneticPr fontId="26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F6E6A"/>
  </sheetPr>
  <dimension ref="A1:Z90"/>
  <sheetViews>
    <sheetView showGridLines="0" workbookViewId="0"/>
  </sheetViews>
  <sheetFormatPr defaultColWidth="8.69921875" defaultRowHeight="17.399999999999999" x14ac:dyDescent="0.4"/>
  <cols>
    <col min="1" max="1" width="24" customWidth="1"/>
    <col min="2" max="4" width="12" customWidth="1"/>
    <col min="5" max="5" width="35" customWidth="1"/>
    <col min="6" max="6" width="12" customWidth="1"/>
    <col min="7" max="26" width="10" customWidth="1"/>
  </cols>
  <sheetData>
    <row r="1" spans="1:26" ht="22.05" customHeight="1" x14ac:dyDescent="0.4">
      <c r="A1" s="111" t="s">
        <v>152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6"/>
    </row>
    <row r="2" spans="1:26" ht="18" customHeight="1" x14ac:dyDescent="0.4">
      <c r="A2" s="112" t="s">
        <v>499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28"/>
    </row>
    <row r="3" spans="1:26" ht="18" customHeight="1" x14ac:dyDescent="0.4">
      <c r="A3" s="1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3"/>
    </row>
    <row r="4" spans="1:26" ht="18" customHeight="1" x14ac:dyDescent="0.4">
      <c r="A4" s="116" t="s">
        <v>516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3"/>
    </row>
    <row r="5" spans="1:26" ht="18" customHeight="1" x14ac:dyDescent="0.4">
      <c r="A5" s="115" t="s">
        <v>517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3"/>
    </row>
    <row r="6" spans="1:26" ht="18" customHeight="1" x14ac:dyDescent="0.4">
      <c r="A6" s="11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3"/>
    </row>
    <row r="7" spans="1:26" ht="18" customHeight="1" x14ac:dyDescent="0.4">
      <c r="A7" s="115" t="s">
        <v>518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</row>
    <row r="8" spans="1:26" ht="18" customHeight="1" x14ac:dyDescent="0.4">
      <c r="A8" s="115" t="s">
        <v>519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3"/>
    </row>
    <row r="9" spans="1:26" ht="18" customHeight="1" x14ac:dyDescent="0.4">
      <c r="A9" s="115" t="s">
        <v>520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3"/>
    </row>
    <row r="10" spans="1:26" ht="18" customHeight="1" x14ac:dyDescent="0.4">
      <c r="A10" s="115" t="s">
        <v>521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3"/>
    </row>
    <row r="11" spans="1:26" ht="18" customHeight="1" x14ac:dyDescent="0.4">
      <c r="A11" s="11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3"/>
    </row>
    <row r="12" spans="1:26" ht="18" customHeight="1" x14ac:dyDescent="0.4">
      <c r="A12" s="115" t="s">
        <v>522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3"/>
    </row>
    <row r="13" spans="1:26" ht="18" customHeight="1" x14ac:dyDescent="0.4">
      <c r="A13" s="115" t="s">
        <v>523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3"/>
    </row>
    <row r="14" spans="1:26" ht="18" customHeight="1" x14ac:dyDescent="0.4">
      <c r="A14" s="115" t="s">
        <v>524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3"/>
    </row>
    <row r="15" spans="1:26" ht="18" customHeight="1" x14ac:dyDescent="0.4">
      <c r="A15" s="115" t="s">
        <v>525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3"/>
    </row>
    <row r="16" spans="1:26" ht="18" customHeight="1" x14ac:dyDescent="0.4">
      <c r="A16" s="1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3"/>
    </row>
    <row r="17" spans="1:26" ht="18" customHeight="1" x14ac:dyDescent="0.4">
      <c r="A17" s="116" t="s">
        <v>526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3"/>
    </row>
    <row r="18" spans="1:26" ht="18" customHeight="1" x14ac:dyDescent="0.4">
      <c r="A18" s="54" t="s">
        <v>527</v>
      </c>
      <c r="B18" s="54" t="s">
        <v>528</v>
      </c>
      <c r="C18" s="54" t="s">
        <v>529</v>
      </c>
      <c r="D18" s="54" t="s">
        <v>530</v>
      </c>
      <c r="E18" s="56"/>
      <c r="F18" s="5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3"/>
    </row>
    <row r="19" spans="1:26" ht="18" customHeight="1" x14ac:dyDescent="0.4">
      <c r="A19" s="54" t="s">
        <v>531</v>
      </c>
      <c r="B19" s="115">
        <v>0.95789999999999997</v>
      </c>
      <c r="C19" s="115">
        <v>4.2099999999999999E-2</v>
      </c>
      <c r="D19" s="115">
        <v>0</v>
      </c>
      <c r="E19" s="115" t="s">
        <v>532</v>
      </c>
      <c r="F19" s="54">
        <f>B19+C19+D19</f>
        <v>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3"/>
    </row>
    <row r="20" spans="1:26" ht="18" customHeight="1" x14ac:dyDescent="0.4">
      <c r="A20" s="164" t="s">
        <v>533</v>
      </c>
      <c r="B20" s="148"/>
      <c r="C20" s="148"/>
      <c r="D20" s="14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3"/>
    </row>
    <row r="21" spans="1:26" ht="18" customHeight="1" x14ac:dyDescent="0.4">
      <c r="A21" s="1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3"/>
    </row>
    <row r="22" spans="1:26" ht="18" customHeight="1" x14ac:dyDescent="0.4">
      <c r="A22" s="1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3"/>
    </row>
    <row r="23" spans="1:26" ht="18" customHeight="1" x14ac:dyDescent="0.4">
      <c r="A23" s="1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3"/>
    </row>
    <row r="24" spans="1:26" ht="18" customHeight="1" x14ac:dyDescent="0.4">
      <c r="A24" s="1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3"/>
    </row>
    <row r="25" spans="1:26" ht="18" customHeight="1" x14ac:dyDescent="0.4">
      <c r="A25" s="1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3"/>
    </row>
    <row r="26" spans="1:26" ht="18" customHeight="1" x14ac:dyDescent="0.4">
      <c r="A26" s="1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3"/>
    </row>
    <row r="27" spans="1:26" ht="18" customHeight="1" x14ac:dyDescent="0.4">
      <c r="A27" s="1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3"/>
    </row>
    <row r="28" spans="1:26" ht="18" customHeight="1" x14ac:dyDescent="0.4">
      <c r="A28" s="1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3"/>
    </row>
    <row r="29" spans="1:26" ht="18" customHeight="1" x14ac:dyDescent="0.4">
      <c r="A29" s="1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3"/>
    </row>
    <row r="30" spans="1:26" ht="18" customHeight="1" x14ac:dyDescent="0.4">
      <c r="A30" s="1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3"/>
    </row>
    <row r="31" spans="1:26" ht="18" customHeight="1" x14ac:dyDescent="0.4">
      <c r="A31" s="1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3"/>
    </row>
    <row r="32" spans="1:26" ht="18" customHeight="1" x14ac:dyDescent="0.4">
      <c r="A32" s="1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3"/>
    </row>
    <row r="33" spans="1:26" ht="18" customHeight="1" x14ac:dyDescent="0.4">
      <c r="A33" s="1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3"/>
    </row>
    <row r="34" spans="1:26" ht="18" customHeight="1" x14ac:dyDescent="0.4">
      <c r="A34" s="1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3"/>
    </row>
    <row r="35" spans="1:26" ht="18" customHeight="1" x14ac:dyDescent="0.4">
      <c r="A35" s="1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3"/>
    </row>
    <row r="36" spans="1:26" ht="18" customHeight="1" x14ac:dyDescent="0.4">
      <c r="A36" s="1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3"/>
    </row>
    <row r="37" spans="1:26" ht="18" customHeight="1" x14ac:dyDescent="0.4">
      <c r="A37" s="1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3"/>
    </row>
    <row r="38" spans="1:26" ht="18" customHeight="1" x14ac:dyDescent="0.4">
      <c r="A38" s="1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3"/>
    </row>
    <row r="39" spans="1:26" ht="18" customHeight="1" x14ac:dyDescent="0.4">
      <c r="A39" s="1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3"/>
    </row>
    <row r="40" spans="1:26" ht="18" customHeight="1" x14ac:dyDescent="0.4">
      <c r="A40" s="1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3"/>
    </row>
    <row r="41" spans="1:26" ht="18" customHeight="1" x14ac:dyDescent="0.4">
      <c r="A41" s="1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3"/>
    </row>
    <row r="42" spans="1:26" ht="18" customHeight="1" x14ac:dyDescent="0.4">
      <c r="A42" s="1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3"/>
    </row>
    <row r="43" spans="1:26" ht="18" customHeight="1" x14ac:dyDescent="0.4">
      <c r="A43" s="1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3"/>
    </row>
    <row r="44" spans="1:26" ht="18" customHeight="1" x14ac:dyDescent="0.4">
      <c r="A44" s="1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3"/>
    </row>
    <row r="45" spans="1:26" ht="18" customHeight="1" x14ac:dyDescent="0.4">
      <c r="A45" s="1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3"/>
    </row>
    <row r="46" spans="1:26" ht="18" customHeight="1" x14ac:dyDescent="0.4">
      <c r="A46" s="1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3"/>
    </row>
    <row r="47" spans="1:26" ht="18" customHeight="1" x14ac:dyDescent="0.4">
      <c r="A47" s="1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3"/>
    </row>
    <row r="48" spans="1:26" ht="18" customHeight="1" x14ac:dyDescent="0.4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3"/>
    </row>
    <row r="49" spans="1:26" ht="18" customHeight="1" x14ac:dyDescent="0.4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3"/>
    </row>
    <row r="50" spans="1:26" ht="18" customHeight="1" x14ac:dyDescent="0.4">
      <c r="A50" s="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3"/>
    </row>
    <row r="51" spans="1:26" ht="18" customHeight="1" x14ac:dyDescent="0.4">
      <c r="A51" s="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3"/>
    </row>
    <row r="52" spans="1:26" ht="18" customHeight="1" x14ac:dyDescent="0.4">
      <c r="A52" s="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3"/>
    </row>
    <row r="53" spans="1:26" ht="18" customHeight="1" x14ac:dyDescent="0.4">
      <c r="A53" s="1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3"/>
    </row>
    <row r="54" spans="1:26" ht="18" customHeight="1" x14ac:dyDescent="0.4">
      <c r="A54" s="1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3"/>
    </row>
    <row r="55" spans="1:26" ht="18" customHeight="1" x14ac:dyDescent="0.4">
      <c r="A55" s="1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3"/>
    </row>
    <row r="56" spans="1:26" ht="18" customHeight="1" x14ac:dyDescent="0.4">
      <c r="A56" s="1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3"/>
    </row>
    <row r="57" spans="1:26" ht="18" customHeight="1" x14ac:dyDescent="0.4">
      <c r="A57" s="1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3"/>
    </row>
    <row r="58" spans="1:26" ht="18" customHeight="1" x14ac:dyDescent="0.4">
      <c r="A58" s="1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3"/>
    </row>
    <row r="59" spans="1:26" ht="18" customHeight="1" x14ac:dyDescent="0.4">
      <c r="A59" s="1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3"/>
    </row>
    <row r="60" spans="1:26" ht="18" customHeight="1" x14ac:dyDescent="0.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spans="1:26" ht="18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</sheetData>
  <mergeCells count="1">
    <mergeCell ref="A20:D20"/>
  </mergeCells>
  <phoneticPr fontId="26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7030A0"/>
  </sheetPr>
  <dimension ref="A1:Z90"/>
  <sheetViews>
    <sheetView showGridLines="0" workbookViewId="0"/>
  </sheetViews>
  <sheetFormatPr defaultColWidth="8.69921875" defaultRowHeight="17.399999999999999" x14ac:dyDescent="0.4"/>
  <cols>
    <col min="1" max="1" width="30" customWidth="1"/>
    <col min="2" max="4" width="16" customWidth="1"/>
    <col min="5" max="5" width="56" customWidth="1"/>
    <col min="6" max="6" width="12" customWidth="1"/>
    <col min="7" max="26" width="10" customWidth="1"/>
  </cols>
  <sheetData>
    <row r="1" spans="1:26" ht="22.05" customHeight="1" x14ac:dyDescent="0.4">
      <c r="A1" s="111" t="s">
        <v>534</v>
      </c>
      <c r="B1" s="25"/>
      <c r="C1" s="25"/>
      <c r="D1" s="25"/>
      <c r="E1" s="3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6"/>
    </row>
    <row r="2" spans="1:26" ht="18" customHeight="1" x14ac:dyDescent="0.4">
      <c r="A2" s="112" t="s">
        <v>535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28"/>
    </row>
    <row r="3" spans="1:26" ht="18" customHeight="1" x14ac:dyDescent="0.4">
      <c r="A3" s="1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3"/>
    </row>
    <row r="4" spans="1:26" ht="19.95" customHeight="1" x14ac:dyDescent="0.4">
      <c r="A4" s="80" t="s">
        <v>536</v>
      </c>
      <c r="B4" s="5"/>
      <c r="C4" s="5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3"/>
    </row>
    <row r="5" spans="1:26" ht="19.95" customHeight="1" x14ac:dyDescent="0.4">
      <c r="A5" s="53" t="s">
        <v>4</v>
      </c>
      <c r="B5" s="53" t="s">
        <v>537</v>
      </c>
      <c r="C5" s="53" t="s">
        <v>538</v>
      </c>
      <c r="D5" s="53" t="s">
        <v>539</v>
      </c>
      <c r="E5" s="53" t="s">
        <v>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3"/>
    </row>
    <row r="6" spans="1:26" ht="18" customHeight="1" x14ac:dyDescent="0.4">
      <c r="A6" s="54" t="s">
        <v>274</v>
      </c>
      <c r="B6" s="71">
        <f>'12_p4_손익계산서'!D5</f>
        <v>1065.3</v>
      </c>
      <c r="C6" s="64">
        <v>1065.29</v>
      </c>
      <c r="D6" s="124">
        <f t="shared" ref="D6:D11" si="0">C6/B6-1</f>
        <v>-9.3870271284934859E-6</v>
      </c>
      <c r="E6" s="5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3"/>
    </row>
    <row r="7" spans="1:26" ht="18" customHeight="1" x14ac:dyDescent="0.4">
      <c r="A7" s="54" t="s">
        <v>275</v>
      </c>
      <c r="B7" s="71">
        <f>'12_p4_손익계산서'!D9</f>
        <v>49.099999999999994</v>
      </c>
      <c r="C7" s="64">
        <v>49.06</v>
      </c>
      <c r="D7" s="124">
        <f t="shared" si="0"/>
        <v>-8.1466395111995382E-4</v>
      </c>
      <c r="E7" s="5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</row>
    <row r="8" spans="1:26" ht="18" customHeight="1" x14ac:dyDescent="0.4">
      <c r="A8" s="54" t="s">
        <v>540</v>
      </c>
      <c r="B8" s="71">
        <f>'12_p4_손익계산서'!D19</f>
        <v>48.8</v>
      </c>
      <c r="C8" s="64">
        <v>47.61</v>
      </c>
      <c r="D8" s="124">
        <f t="shared" si="0"/>
        <v>-2.4385245901639263E-2</v>
      </c>
      <c r="E8" s="5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3"/>
    </row>
    <row r="9" spans="1:26" ht="18" customHeight="1" x14ac:dyDescent="0.4">
      <c r="A9" s="54" t="s">
        <v>541</v>
      </c>
      <c r="B9" s="71">
        <f>'14_p4_투자지표'!D6</f>
        <v>947</v>
      </c>
      <c r="C9" s="64">
        <v>924</v>
      </c>
      <c r="D9" s="124">
        <f t="shared" si="0"/>
        <v>-2.4287222808870079E-2</v>
      </c>
      <c r="E9" s="5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3"/>
    </row>
    <row r="10" spans="1:26" ht="18" customHeight="1" x14ac:dyDescent="0.4">
      <c r="A10" s="54" t="s">
        <v>542</v>
      </c>
      <c r="B10" s="71">
        <f>'13_p4_대차대조표'!D17</f>
        <v>1250.5999999999999</v>
      </c>
      <c r="C10" s="64">
        <v>1178.01</v>
      </c>
      <c r="D10" s="124">
        <f t="shared" si="0"/>
        <v>-5.8044138813369561E-2</v>
      </c>
      <c r="E10" s="5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3"/>
    </row>
    <row r="11" spans="1:26" ht="18" customHeight="1" x14ac:dyDescent="0.4">
      <c r="A11" s="54" t="s">
        <v>543</v>
      </c>
      <c r="B11" s="71">
        <f>'13_p4_대차대조표'!D25</f>
        <v>348.8</v>
      </c>
      <c r="C11" s="64">
        <v>280.7</v>
      </c>
      <c r="D11" s="124">
        <f t="shared" si="0"/>
        <v>-0.19524082568807344</v>
      </c>
      <c r="E11" s="5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3"/>
    </row>
    <row r="12" spans="1:26" ht="18" customHeight="1" x14ac:dyDescent="0.4">
      <c r="A12" s="12"/>
      <c r="B12" s="16"/>
      <c r="C12" s="16"/>
      <c r="D12" s="29"/>
      <c r="E12" s="1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3"/>
    </row>
    <row r="13" spans="1:26" ht="18" customHeight="1" x14ac:dyDescent="0.4">
      <c r="A13" s="153" t="s">
        <v>544</v>
      </c>
      <c r="B13" s="148"/>
      <c r="C13" s="148"/>
      <c r="D13" s="148"/>
      <c r="E13" s="15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3"/>
    </row>
    <row r="14" spans="1:26" ht="18" customHeight="1" x14ac:dyDescent="0.4">
      <c r="A14" s="12"/>
      <c r="B14" s="16"/>
      <c r="C14" s="16"/>
      <c r="D14" s="29"/>
      <c r="E14" s="1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3"/>
    </row>
    <row r="15" spans="1:26" ht="19.95" customHeight="1" x14ac:dyDescent="0.4">
      <c r="A15" s="80" t="s">
        <v>545</v>
      </c>
      <c r="B15" s="30"/>
      <c r="C15" s="30"/>
      <c r="D15" s="34"/>
      <c r="E15" s="2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3"/>
    </row>
    <row r="16" spans="1:26" ht="19.95" customHeight="1" x14ac:dyDescent="0.4">
      <c r="A16" s="53" t="s">
        <v>4</v>
      </c>
      <c r="B16" s="75" t="s">
        <v>546</v>
      </c>
      <c r="C16" s="75" t="s">
        <v>538</v>
      </c>
      <c r="D16" s="135" t="s">
        <v>539</v>
      </c>
      <c r="E16" s="53" t="s">
        <v>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3"/>
    </row>
    <row r="17" spans="1:26" ht="18" customHeight="1" x14ac:dyDescent="0.4">
      <c r="A17" s="54" t="s">
        <v>274</v>
      </c>
      <c r="B17" s="71">
        <f>'10_도표6_분기실적전망_수정후'!F5</f>
        <v>330</v>
      </c>
      <c r="C17" s="64">
        <v>346.31</v>
      </c>
      <c r="D17" s="124">
        <f>C17/B17-1</f>
        <v>4.9424242424242371E-2</v>
      </c>
      <c r="E17" s="54" t="s">
        <v>547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3"/>
    </row>
    <row r="18" spans="1:26" ht="18" customHeight="1" x14ac:dyDescent="0.4">
      <c r="A18" s="54" t="s">
        <v>275</v>
      </c>
      <c r="B18" s="71">
        <f>'10_도표6_분기실적전망_수정후'!F19</f>
        <v>40.200000000000003</v>
      </c>
      <c r="C18" s="64">
        <v>51.3</v>
      </c>
      <c r="D18" s="124">
        <f>C18/B18-1</f>
        <v>0.27611940298507442</v>
      </c>
      <c r="E18" s="54" t="s">
        <v>547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3"/>
    </row>
    <row r="19" spans="1:26" ht="30" customHeight="1" x14ac:dyDescent="0.4">
      <c r="A19" s="54" t="s">
        <v>540</v>
      </c>
      <c r="B19" s="71">
        <f>M1_실적추정_모델!F26</f>
        <v>33.5</v>
      </c>
      <c r="C19" s="64">
        <v>45.5</v>
      </c>
      <c r="D19" s="124">
        <f>C19/B19-1</f>
        <v>0.35820895522388052</v>
      </c>
      <c r="E19" s="54" t="s">
        <v>548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3"/>
    </row>
    <row r="20" spans="1:26" ht="18" customHeight="1" x14ac:dyDescent="0.4">
      <c r="A20" s="1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3"/>
    </row>
    <row r="21" spans="1:26" ht="18" customHeight="1" x14ac:dyDescent="0.4">
      <c r="A21" s="164" t="s">
        <v>549</v>
      </c>
      <c r="B21" s="148"/>
      <c r="C21" s="148"/>
      <c r="D21" s="148"/>
      <c r="E21" s="14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3"/>
    </row>
    <row r="22" spans="1:26" ht="18" customHeight="1" x14ac:dyDescent="0.4">
      <c r="A22" s="1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3"/>
    </row>
    <row r="23" spans="1:26" ht="18" customHeight="1" x14ac:dyDescent="0.4">
      <c r="A23" s="164" t="s">
        <v>550</v>
      </c>
      <c r="B23" s="148"/>
      <c r="C23" s="148"/>
      <c r="D23" s="148"/>
      <c r="E23" s="148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3"/>
    </row>
    <row r="24" spans="1:26" ht="18" customHeight="1" x14ac:dyDescent="0.4">
      <c r="A24" s="1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3"/>
    </row>
    <row r="25" spans="1:26" ht="18" customHeight="1" x14ac:dyDescent="0.4">
      <c r="A25" s="1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3"/>
    </row>
    <row r="26" spans="1:26" ht="18" customHeight="1" x14ac:dyDescent="0.4">
      <c r="A26" s="1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3"/>
    </row>
    <row r="27" spans="1:26" ht="18" customHeight="1" x14ac:dyDescent="0.4">
      <c r="A27" s="1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3"/>
    </row>
    <row r="28" spans="1:26" ht="18" customHeight="1" x14ac:dyDescent="0.4">
      <c r="A28" s="1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3"/>
    </row>
    <row r="29" spans="1:26" ht="18" customHeight="1" x14ac:dyDescent="0.4">
      <c r="A29" s="1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3"/>
    </row>
    <row r="30" spans="1:26" ht="18" customHeight="1" x14ac:dyDescent="0.4">
      <c r="A30" s="1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3"/>
    </row>
    <row r="31" spans="1:26" ht="18" customHeight="1" x14ac:dyDescent="0.4">
      <c r="A31" s="1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3"/>
    </row>
    <row r="32" spans="1:26" ht="18" customHeight="1" x14ac:dyDescent="0.4">
      <c r="A32" s="1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3"/>
    </row>
    <row r="33" spans="1:26" ht="18" customHeight="1" x14ac:dyDescent="0.4">
      <c r="A33" s="1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3"/>
    </row>
    <row r="34" spans="1:26" ht="18" customHeight="1" x14ac:dyDescent="0.4">
      <c r="A34" s="1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3"/>
    </row>
    <row r="35" spans="1:26" ht="18" customHeight="1" x14ac:dyDescent="0.4">
      <c r="A35" s="1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3"/>
    </row>
    <row r="36" spans="1:26" ht="18" customHeight="1" x14ac:dyDescent="0.4">
      <c r="A36" s="1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3"/>
    </row>
    <row r="37" spans="1:26" ht="18" customHeight="1" x14ac:dyDescent="0.4">
      <c r="A37" s="1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3"/>
    </row>
    <row r="38" spans="1:26" ht="18" customHeight="1" x14ac:dyDescent="0.4">
      <c r="A38" s="1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3"/>
    </row>
    <row r="39" spans="1:26" ht="18" customHeight="1" x14ac:dyDescent="0.4">
      <c r="A39" s="1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3"/>
    </row>
    <row r="40" spans="1:26" ht="18" customHeight="1" x14ac:dyDescent="0.4">
      <c r="A40" s="1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3"/>
    </row>
    <row r="41" spans="1:26" ht="18" customHeight="1" x14ac:dyDescent="0.4">
      <c r="A41" s="1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3"/>
    </row>
    <row r="42" spans="1:26" ht="18" customHeight="1" x14ac:dyDescent="0.4">
      <c r="A42" s="1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3"/>
    </row>
    <row r="43" spans="1:26" ht="18" customHeight="1" x14ac:dyDescent="0.4">
      <c r="A43" s="1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3"/>
    </row>
    <row r="44" spans="1:26" ht="18" customHeight="1" x14ac:dyDescent="0.4">
      <c r="A44" s="1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3"/>
    </row>
    <row r="45" spans="1:26" ht="18" customHeight="1" x14ac:dyDescent="0.4">
      <c r="A45" s="1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3"/>
    </row>
    <row r="46" spans="1:26" ht="18" customHeight="1" x14ac:dyDescent="0.4">
      <c r="A46" s="1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3"/>
    </row>
    <row r="47" spans="1:26" ht="18" customHeight="1" x14ac:dyDescent="0.4">
      <c r="A47" s="1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3"/>
    </row>
    <row r="48" spans="1:26" ht="18" customHeight="1" x14ac:dyDescent="0.4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3"/>
    </row>
    <row r="49" spans="1:26" ht="18" customHeight="1" x14ac:dyDescent="0.4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3"/>
    </row>
    <row r="50" spans="1:26" ht="18" customHeight="1" x14ac:dyDescent="0.4">
      <c r="A50" s="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3"/>
    </row>
    <row r="51" spans="1:26" ht="18" customHeight="1" x14ac:dyDescent="0.4">
      <c r="A51" s="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3"/>
    </row>
    <row r="52" spans="1:26" ht="18" customHeight="1" x14ac:dyDescent="0.4">
      <c r="A52" s="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3"/>
    </row>
    <row r="53" spans="1:26" ht="18" customHeight="1" x14ac:dyDescent="0.4">
      <c r="A53" s="1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3"/>
    </row>
    <row r="54" spans="1:26" ht="18" customHeight="1" x14ac:dyDescent="0.4">
      <c r="A54" s="1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3"/>
    </row>
    <row r="55" spans="1:26" ht="18" customHeight="1" x14ac:dyDescent="0.4">
      <c r="A55" s="1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3"/>
    </row>
    <row r="56" spans="1:26" ht="18" customHeight="1" x14ac:dyDescent="0.4">
      <c r="A56" s="1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3"/>
    </row>
    <row r="57" spans="1:26" ht="18" customHeight="1" x14ac:dyDescent="0.4">
      <c r="A57" s="1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3"/>
    </row>
    <row r="58" spans="1:26" ht="18" customHeight="1" x14ac:dyDescent="0.4">
      <c r="A58" s="1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3"/>
    </row>
    <row r="59" spans="1:26" ht="18" customHeight="1" x14ac:dyDescent="0.4">
      <c r="A59" s="1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3"/>
    </row>
    <row r="60" spans="1:26" ht="18" customHeight="1" x14ac:dyDescent="0.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spans="1:26" ht="18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</sheetData>
  <mergeCells count="3">
    <mergeCell ref="A21:E21"/>
    <mergeCell ref="A23:E23"/>
    <mergeCell ref="A13:E13"/>
  </mergeCells>
  <phoneticPr fontId="26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808080"/>
  </sheetPr>
  <dimension ref="A1:Z90"/>
  <sheetViews>
    <sheetView showGridLines="0" workbookViewId="0"/>
  </sheetViews>
  <sheetFormatPr defaultColWidth="8.69921875" defaultRowHeight="17.399999999999999" x14ac:dyDescent="0.4"/>
  <cols>
    <col min="1" max="1" width="22" customWidth="1"/>
    <col min="2" max="2" width="15" customWidth="1"/>
    <col min="3" max="3" width="72" customWidth="1"/>
    <col min="4" max="4" width="28" customWidth="1"/>
    <col min="5" max="26" width="10" customWidth="1"/>
  </cols>
  <sheetData>
    <row r="1" spans="1:26" ht="22.05" customHeight="1" x14ac:dyDescent="0.4">
      <c r="A1" s="136" t="s">
        <v>551</v>
      </c>
      <c r="B1" s="35"/>
      <c r="C1" s="35"/>
      <c r="D1" s="46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6"/>
    </row>
    <row r="2" spans="1:26" ht="22.05" customHeight="1" x14ac:dyDescent="0.4">
      <c r="A2" s="33"/>
      <c r="B2" s="19"/>
      <c r="C2" s="19"/>
      <c r="D2" s="47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28"/>
    </row>
    <row r="3" spans="1:26" ht="22.05" customHeight="1" x14ac:dyDescent="0.4">
      <c r="A3" s="137" t="s">
        <v>552</v>
      </c>
      <c r="B3" s="38"/>
      <c r="C3" s="38"/>
      <c r="D3" s="3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3"/>
    </row>
    <row r="4" spans="1:26" ht="22.05" customHeight="1" x14ac:dyDescent="0.4">
      <c r="A4" s="138" t="s">
        <v>553</v>
      </c>
      <c r="B4" s="36"/>
      <c r="C4" s="167" t="s">
        <v>554</v>
      </c>
      <c r="D4" s="15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3"/>
    </row>
    <row r="5" spans="1:26" ht="22.05" customHeight="1" x14ac:dyDescent="0.4">
      <c r="A5" s="48"/>
      <c r="B5" s="36"/>
      <c r="C5" s="36"/>
      <c r="D5" s="3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3"/>
    </row>
    <row r="6" spans="1:26" ht="22.05" customHeight="1" x14ac:dyDescent="0.4">
      <c r="A6" s="137" t="s">
        <v>555</v>
      </c>
      <c r="B6" s="38"/>
      <c r="C6" s="38"/>
      <c r="D6" s="39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3"/>
    </row>
    <row r="7" spans="1:26" ht="22.05" customHeight="1" x14ac:dyDescent="0.4">
      <c r="A7" s="139" t="s">
        <v>556</v>
      </c>
      <c r="B7" s="140" t="s">
        <v>557</v>
      </c>
      <c r="C7" s="140" t="s">
        <v>558</v>
      </c>
      <c r="D7" s="141" t="s">
        <v>94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</row>
    <row r="8" spans="1:26" ht="22.05" customHeight="1" x14ac:dyDescent="0.4">
      <c r="A8" s="138" t="s">
        <v>559</v>
      </c>
      <c r="B8" s="83" t="s">
        <v>560</v>
      </c>
      <c r="C8" s="83" t="s">
        <v>561</v>
      </c>
      <c r="D8" s="84" t="s">
        <v>562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3"/>
    </row>
    <row r="9" spans="1:26" ht="22.05" customHeight="1" x14ac:dyDescent="0.4">
      <c r="A9" s="138" t="s">
        <v>563</v>
      </c>
      <c r="B9" s="83" t="s">
        <v>564</v>
      </c>
      <c r="C9" s="83" t="s">
        <v>561</v>
      </c>
      <c r="D9" s="84" t="s">
        <v>565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3"/>
    </row>
    <row r="10" spans="1:26" ht="22.05" customHeight="1" x14ac:dyDescent="0.4">
      <c r="A10" s="48"/>
      <c r="B10" s="36"/>
      <c r="C10" s="36"/>
      <c r="D10" s="3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3"/>
    </row>
    <row r="11" spans="1:26" ht="22.05" customHeight="1" x14ac:dyDescent="0.4">
      <c r="A11" s="137" t="s">
        <v>566</v>
      </c>
      <c r="B11" s="38"/>
      <c r="C11" s="38"/>
      <c r="D11" s="3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3"/>
    </row>
    <row r="12" spans="1:26" ht="22.05" customHeight="1" x14ac:dyDescent="0.4">
      <c r="A12" s="138" t="s">
        <v>567</v>
      </c>
      <c r="B12" s="36"/>
      <c r="C12" s="167" t="s">
        <v>568</v>
      </c>
      <c r="D12" s="15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3"/>
    </row>
    <row r="13" spans="1:26" ht="22.05" customHeight="1" x14ac:dyDescent="0.4">
      <c r="A13" s="138" t="s">
        <v>569</v>
      </c>
      <c r="B13" s="36"/>
      <c r="C13" s="167" t="s">
        <v>570</v>
      </c>
      <c r="D13" s="15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3"/>
    </row>
    <row r="14" spans="1:26" ht="22.05" customHeight="1" x14ac:dyDescent="0.4">
      <c r="A14" s="138" t="s">
        <v>571</v>
      </c>
      <c r="B14" s="36"/>
      <c r="C14" s="167" t="s">
        <v>572</v>
      </c>
      <c r="D14" s="15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3"/>
    </row>
    <row r="15" spans="1:26" ht="22.05" customHeight="1" x14ac:dyDescent="0.4">
      <c r="A15" s="138" t="s">
        <v>573</v>
      </c>
      <c r="B15" s="36"/>
      <c r="C15" s="167" t="s">
        <v>574</v>
      </c>
      <c r="D15" s="15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3"/>
    </row>
    <row r="16" spans="1:26" ht="22.05" customHeight="1" x14ac:dyDescent="0.4">
      <c r="A16" s="48"/>
      <c r="B16" s="36"/>
      <c r="C16" s="36"/>
      <c r="D16" s="3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3"/>
    </row>
    <row r="17" spans="1:26" ht="22.05" customHeight="1" x14ac:dyDescent="0.4">
      <c r="A17" s="48"/>
      <c r="B17" s="36"/>
      <c r="C17" s="36"/>
      <c r="D17" s="3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3"/>
    </row>
    <row r="18" spans="1:26" ht="22.05" customHeight="1" x14ac:dyDescent="0.4">
      <c r="A18" s="168" t="s">
        <v>575</v>
      </c>
      <c r="B18" s="148"/>
      <c r="C18" s="148"/>
      <c r="D18" s="154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3"/>
    </row>
    <row r="19" spans="1:26" ht="22.05" customHeight="1" x14ac:dyDescent="0.4">
      <c r="A19" s="137" t="s">
        <v>576</v>
      </c>
      <c r="B19" s="38"/>
      <c r="C19" s="38"/>
      <c r="D19" s="39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3"/>
    </row>
    <row r="20" spans="1:26" ht="22.05" customHeight="1" x14ac:dyDescent="0.4">
      <c r="A20" s="139" t="s">
        <v>4</v>
      </c>
      <c r="B20" s="140" t="s">
        <v>577</v>
      </c>
      <c r="C20" s="140" t="s">
        <v>578</v>
      </c>
      <c r="D20" s="141" t="s">
        <v>579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3"/>
    </row>
    <row r="21" spans="1:26" ht="22.05" customHeight="1" x14ac:dyDescent="0.4">
      <c r="A21" s="138" t="s">
        <v>580</v>
      </c>
      <c r="B21" s="83" t="s">
        <v>581</v>
      </c>
      <c r="C21" s="83" t="s">
        <v>582</v>
      </c>
      <c r="D21" s="84" t="s">
        <v>583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3"/>
    </row>
    <row r="22" spans="1:26" ht="22.05" customHeight="1" x14ac:dyDescent="0.4">
      <c r="A22" s="138" t="s">
        <v>584</v>
      </c>
      <c r="B22" s="83" t="s">
        <v>585</v>
      </c>
      <c r="C22" s="83" t="s">
        <v>586</v>
      </c>
      <c r="D22" s="84" t="s">
        <v>587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3"/>
    </row>
    <row r="23" spans="1:26" ht="22.05" customHeight="1" x14ac:dyDescent="0.4">
      <c r="A23" s="138" t="s">
        <v>233</v>
      </c>
      <c r="B23" s="83" t="s">
        <v>588</v>
      </c>
      <c r="C23" s="83" t="s">
        <v>589</v>
      </c>
      <c r="D23" s="84" t="s">
        <v>590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3"/>
    </row>
    <row r="24" spans="1:26" ht="22.05" customHeight="1" x14ac:dyDescent="0.4">
      <c r="A24" s="142" t="s">
        <v>591</v>
      </c>
      <c r="B24" s="40"/>
      <c r="C24" s="143" t="s">
        <v>592</v>
      </c>
      <c r="D24" s="4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3"/>
    </row>
    <row r="25" spans="1:26" ht="18" customHeight="1" x14ac:dyDescent="0.4">
      <c r="A25" s="1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3"/>
    </row>
    <row r="26" spans="1:26" ht="18" customHeight="1" x14ac:dyDescent="0.4">
      <c r="A26" s="1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3"/>
    </row>
    <row r="27" spans="1:26" ht="18" customHeight="1" x14ac:dyDescent="0.4">
      <c r="A27" s="1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3"/>
    </row>
    <row r="28" spans="1:26" ht="18" customHeight="1" x14ac:dyDescent="0.4">
      <c r="A28" s="1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3"/>
    </row>
    <row r="29" spans="1:26" ht="18" customHeight="1" x14ac:dyDescent="0.4">
      <c r="A29" s="1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3"/>
    </row>
    <row r="30" spans="1:26" ht="18" customHeight="1" x14ac:dyDescent="0.4">
      <c r="A30" s="1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3"/>
    </row>
    <row r="31" spans="1:26" ht="18" customHeight="1" x14ac:dyDescent="0.4">
      <c r="A31" s="1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3"/>
    </row>
    <row r="32" spans="1:26" ht="18" customHeight="1" x14ac:dyDescent="0.4">
      <c r="A32" s="1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3"/>
    </row>
    <row r="33" spans="1:26" ht="18" customHeight="1" x14ac:dyDescent="0.4">
      <c r="A33" s="1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3"/>
    </row>
    <row r="34" spans="1:26" ht="18" customHeight="1" x14ac:dyDescent="0.4">
      <c r="A34" s="1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3"/>
    </row>
    <row r="35" spans="1:26" ht="18" customHeight="1" x14ac:dyDescent="0.4">
      <c r="A35" s="1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3"/>
    </row>
    <row r="36" spans="1:26" ht="18" customHeight="1" x14ac:dyDescent="0.4">
      <c r="A36" s="1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3"/>
    </row>
    <row r="37" spans="1:26" ht="18" customHeight="1" x14ac:dyDescent="0.4">
      <c r="A37" s="1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3"/>
    </row>
    <row r="38" spans="1:26" ht="18" customHeight="1" x14ac:dyDescent="0.4">
      <c r="A38" s="1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3"/>
    </row>
    <row r="39" spans="1:26" ht="18" customHeight="1" x14ac:dyDescent="0.4">
      <c r="A39" s="1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3"/>
    </row>
    <row r="40" spans="1:26" ht="18" customHeight="1" x14ac:dyDescent="0.4">
      <c r="A40" s="1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3"/>
    </row>
    <row r="41" spans="1:26" ht="18" customHeight="1" x14ac:dyDescent="0.4">
      <c r="A41" s="1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3"/>
    </row>
    <row r="42" spans="1:26" ht="18" customHeight="1" x14ac:dyDescent="0.4">
      <c r="A42" s="1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3"/>
    </row>
    <row r="43" spans="1:26" ht="18" customHeight="1" x14ac:dyDescent="0.4">
      <c r="A43" s="1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3"/>
    </row>
    <row r="44" spans="1:26" ht="18" customHeight="1" x14ac:dyDescent="0.4">
      <c r="A44" s="1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3"/>
    </row>
    <row r="45" spans="1:26" ht="18" customHeight="1" x14ac:dyDescent="0.4">
      <c r="A45" s="1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3"/>
    </row>
    <row r="46" spans="1:26" ht="18" customHeight="1" x14ac:dyDescent="0.4">
      <c r="A46" s="1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3"/>
    </row>
    <row r="47" spans="1:26" ht="18" customHeight="1" x14ac:dyDescent="0.4">
      <c r="A47" s="1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3"/>
    </row>
    <row r="48" spans="1:26" ht="18" customHeight="1" x14ac:dyDescent="0.4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3"/>
    </row>
    <row r="49" spans="1:26" ht="18" customHeight="1" x14ac:dyDescent="0.4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3"/>
    </row>
    <row r="50" spans="1:26" ht="18" customHeight="1" x14ac:dyDescent="0.4">
      <c r="A50" s="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3"/>
    </row>
    <row r="51" spans="1:26" ht="18" customHeight="1" x14ac:dyDescent="0.4">
      <c r="A51" s="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3"/>
    </row>
    <row r="52" spans="1:26" ht="18" customHeight="1" x14ac:dyDescent="0.4">
      <c r="A52" s="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3"/>
    </row>
    <row r="53" spans="1:26" ht="18" customHeight="1" x14ac:dyDescent="0.4">
      <c r="A53" s="1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3"/>
    </row>
    <row r="54" spans="1:26" ht="18" customHeight="1" x14ac:dyDescent="0.4">
      <c r="A54" s="1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3"/>
    </row>
    <row r="55" spans="1:26" ht="18" customHeight="1" x14ac:dyDescent="0.4">
      <c r="A55" s="1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3"/>
    </row>
    <row r="56" spans="1:26" ht="18" customHeight="1" x14ac:dyDescent="0.4">
      <c r="A56" s="1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3"/>
    </row>
    <row r="57" spans="1:26" ht="18" customHeight="1" x14ac:dyDescent="0.4">
      <c r="A57" s="1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3"/>
    </row>
    <row r="58" spans="1:26" ht="18" customHeight="1" x14ac:dyDescent="0.4">
      <c r="A58" s="1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3"/>
    </row>
    <row r="59" spans="1:26" ht="18" customHeight="1" x14ac:dyDescent="0.4">
      <c r="A59" s="1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3"/>
    </row>
    <row r="60" spans="1:26" ht="18" customHeight="1" x14ac:dyDescent="0.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spans="1:26" ht="18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</sheetData>
  <mergeCells count="6">
    <mergeCell ref="C4:D4"/>
    <mergeCell ref="C12:D12"/>
    <mergeCell ref="A18:D18"/>
    <mergeCell ref="C15:D15"/>
    <mergeCell ref="C14:D14"/>
    <mergeCell ref="C13:D13"/>
  </mergeCells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24</vt:i4>
      </vt:variant>
    </vt:vector>
  </HeadingPairs>
  <TitlesOfParts>
    <vt:vector size="24" baseType="lpstr">
      <vt:lpstr>00_사용안내</vt:lpstr>
      <vt:lpstr>M1_실적추정_모델</vt:lpstr>
      <vt:lpstr>M2_목표주가_타겟멀티플</vt:lpstr>
      <vt:lpstr>M3_민감도분석</vt:lpstr>
      <vt:lpstr>01_p1_투자의견</vt:lpstr>
      <vt:lpstr>01A_p1_KeyData</vt:lpstr>
      <vt:lpstr>02_p1_Consensus</vt:lpstr>
      <vt:lpstr>03_p1_주가추이</vt:lpstr>
      <vt:lpstr>04_p1_FinancialData</vt:lpstr>
      <vt:lpstr>05_도표1_Valuation</vt:lpstr>
      <vt:lpstr>06_도표2_PER_Band</vt:lpstr>
      <vt:lpstr>07_도표3_PBR_Band</vt:lpstr>
      <vt:lpstr>08_도표4_분기실적추이</vt:lpstr>
      <vt:lpstr>09_도표5_수주잔고추이</vt:lpstr>
      <vt:lpstr>10_도표6_분기실적전망_수정후</vt:lpstr>
      <vt:lpstr>11_도표7_분기실적전망_수정전</vt:lpstr>
      <vt:lpstr>12_p4_손익계산서</vt:lpstr>
      <vt:lpstr>13_p4_대차대조표</vt:lpstr>
      <vt:lpstr>14_p4_투자지표</vt:lpstr>
      <vt:lpstr>15_p4_현금흐름표</vt:lpstr>
      <vt:lpstr>16_p5_투자의견변동_괴리율</vt:lpstr>
      <vt:lpstr>17_p5_투자등급_비율공시</vt:lpstr>
      <vt:lpstr>D1_DART확정실적_대사</vt:lpstr>
      <vt:lpstr>Z_출처_공시_리서치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예린 김</cp:lastModifiedBy>
  <dcterms:created xsi:type="dcterms:W3CDTF">2026-07-26T04:43:26Z</dcterms:created>
  <dcterms:modified xsi:type="dcterms:W3CDTF">2026-07-26T04:52:59Z</dcterms:modified>
</cp:coreProperties>
</file>