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drawings/drawing8.xml" ContentType="application/vnd.openxmlformats-officedocument.drawing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drawings/drawing9.xml" ContentType="application/vnd.openxmlformats-officedocument.drawing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drawings/drawing10.xml" ContentType="application/vnd.openxmlformats-officedocument.drawing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drawings/drawing11.xml" ContentType="application/vnd.openxmlformats-officedocument.drawing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DA 24\Desktop\엑셀 최종 파일\"/>
    </mc:Choice>
  </mc:AlternateContent>
  <xr:revisionPtr revIDLastSave="0" documentId="13_ncr:1_{AE248A9D-A2E6-4926-83D9-DD412223E5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ward EPS" sheetId="13" r:id="rId1"/>
    <sheet name="Target PER" sheetId="12" r:id="rId2"/>
    <sheet name="00_요약" sheetId="1" r:id="rId3"/>
    <sheet name="01_실적추이" sheetId="2" r:id="rId4"/>
    <sheet name="02_추정변경" sheetId="3" r:id="rId5"/>
    <sheet name="03_목표주가" sheetId="4" r:id="rId6"/>
    <sheet name="04_피어실적" sheetId="5" r:id="rId7"/>
    <sheet name="06_재무요약" sheetId="7" r:id="rId8"/>
    <sheet name="05_피어밸류" sheetId="6" r:id="rId9"/>
    <sheet name="07_출처검증" sheetId="8" r:id="rId10"/>
    <sheet name="08_Forward_EPS" sheetId="9" r:id="rId11"/>
    <sheet name="08-01" sheetId="11" r:id="rId12"/>
    <sheet name="09_Target_PER" sheetId="10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2" l="1"/>
  <c r="F28" i="12"/>
  <c r="F26" i="12"/>
  <c r="F25" i="12"/>
  <c r="F24" i="12"/>
  <c r="F23" i="12"/>
  <c r="F22" i="12"/>
  <c r="B9" i="12"/>
  <c r="B14" i="12" s="1"/>
  <c r="B7" i="12"/>
  <c r="B19" i="11"/>
  <c r="B14" i="11"/>
  <c r="B15" i="11" s="1"/>
  <c r="C10" i="11"/>
  <c r="G26" i="10"/>
  <c r="G25" i="10"/>
  <c r="G24" i="10"/>
  <c r="G23" i="10"/>
  <c r="G22" i="10"/>
  <c r="B12" i="10"/>
  <c r="B11" i="10"/>
  <c r="B9" i="10"/>
  <c r="B14" i="10" s="1"/>
  <c r="B39" i="10" s="1"/>
  <c r="D39" i="10" s="1"/>
  <c r="E39" i="10" s="1"/>
  <c r="B26" i="9"/>
  <c r="B20" i="9"/>
  <c r="B21" i="9" s="1"/>
  <c r="C15" i="9"/>
  <c r="B6" i="9" s="1"/>
  <c r="B23" i="8"/>
  <c r="D23" i="8" s="1"/>
  <c r="F23" i="8" s="1"/>
  <c r="B22" i="8"/>
  <c r="D22" i="8" s="1"/>
  <c r="F22" i="8" s="1"/>
  <c r="B21" i="8"/>
  <c r="D21" i="8" s="1"/>
  <c r="F21" i="8" s="1"/>
  <c r="B18" i="8"/>
  <c r="D18" i="8" s="1"/>
  <c r="F18" i="8" s="1"/>
  <c r="J9" i="6"/>
  <c r="J8" i="6"/>
  <c r="J7" i="6"/>
  <c r="J6" i="6"/>
  <c r="G11" i="6" s="1"/>
  <c r="H9" i="5"/>
  <c r="H8" i="5"/>
  <c r="H7" i="5"/>
  <c r="H6" i="5"/>
  <c r="B10" i="4"/>
  <c r="B11" i="4" s="1"/>
  <c r="B9" i="4"/>
  <c r="B19" i="8" s="1"/>
  <c r="D19" i="8" s="1"/>
  <c r="F19" i="8" s="1"/>
  <c r="K8" i="3"/>
  <c r="G8" i="3"/>
  <c r="F8" i="3"/>
  <c r="K7" i="3"/>
  <c r="G7" i="3"/>
  <c r="F7" i="3"/>
  <c r="K6" i="3"/>
  <c r="G6" i="3"/>
  <c r="F6" i="3"/>
  <c r="B8" i="1"/>
  <c r="B11" i="12" l="1"/>
  <c r="B12" i="12"/>
  <c r="B15" i="12"/>
  <c r="B17" i="12" s="1"/>
  <c r="C20" i="11"/>
  <c r="D10" i="11"/>
  <c r="C16" i="11"/>
  <c r="C12" i="11"/>
  <c r="C14" i="11" s="1"/>
  <c r="B13" i="4"/>
  <c r="B9" i="1" s="1"/>
  <c r="B7" i="1"/>
  <c r="B20" i="8"/>
  <c r="D20" i="8" s="1"/>
  <c r="F20" i="8" s="1"/>
  <c r="C18" i="9"/>
  <c r="C20" i="9" s="1"/>
  <c r="C28" i="9"/>
  <c r="D15" i="9"/>
  <c r="C23" i="9"/>
  <c r="B42" i="9"/>
  <c r="C42" i="9" s="1"/>
  <c r="G12" i="6"/>
  <c r="B10" i="1"/>
  <c r="G13" i="6"/>
  <c r="B24" i="8" s="1"/>
  <c r="D24" i="8" s="1"/>
  <c r="F24" i="8" s="1"/>
  <c r="D12" i="11" l="1"/>
  <c r="D14" i="11" s="1"/>
  <c r="D16" i="11"/>
  <c r="E10" i="11"/>
  <c r="D20" i="11"/>
  <c r="C18" i="11"/>
  <c r="C15" i="11"/>
  <c r="C21" i="9"/>
  <c r="C25" i="9"/>
  <c r="E6" i="9"/>
  <c r="D18" i="9"/>
  <c r="D23" i="9"/>
  <c r="E15" i="9"/>
  <c r="D28" i="9"/>
  <c r="B43" i="9"/>
  <c r="C43" i="9" s="1"/>
  <c r="D20" i="9"/>
  <c r="D18" i="11" l="1"/>
  <c r="D15" i="11"/>
  <c r="C22" i="11"/>
  <c r="C23" i="11" s="1"/>
  <c r="C26" i="11" s="1"/>
  <c r="C19" i="11"/>
  <c r="E12" i="11"/>
  <c r="E16" i="11"/>
  <c r="E20" i="11"/>
  <c r="E14" i="11"/>
  <c r="E18" i="9"/>
  <c r="E20" i="9" s="1"/>
  <c r="E23" i="9"/>
  <c r="E28" i="9"/>
  <c r="D25" i="9"/>
  <c r="D21" i="9"/>
  <c r="C26" i="9"/>
  <c r="B9" i="9" s="1"/>
  <c r="B7" i="9"/>
  <c r="C30" i="9"/>
  <c r="C32" i="9" s="1"/>
  <c r="C36" i="9" s="1"/>
  <c r="D22" i="11" l="1"/>
  <c r="D23" i="11" s="1"/>
  <c r="D26" i="11" s="1"/>
  <c r="D19" i="11"/>
  <c r="E18" i="11"/>
  <c r="E15" i="11"/>
  <c r="C27" i="11"/>
  <c r="C37" i="9"/>
  <c r="B8" i="9"/>
  <c r="B44" i="9"/>
  <c r="C44" i="9" s="1"/>
  <c r="D26" i="9"/>
  <c r="E9" i="9" s="1"/>
  <c r="E7" i="9"/>
  <c r="D30" i="9"/>
  <c r="D32" i="9" s="1"/>
  <c r="D36" i="9" s="1"/>
  <c r="E21" i="9"/>
  <c r="E25" i="9"/>
  <c r="D27" i="11" l="1"/>
  <c r="E22" i="11"/>
  <c r="E23" i="11" s="1"/>
  <c r="E26" i="11" s="1"/>
  <c r="E27" i="11" s="1"/>
  <c r="E19" i="11"/>
  <c r="E26" i="9"/>
  <c r="E30" i="9"/>
  <c r="E32" i="9" s="1"/>
  <c r="E36" i="9" s="1"/>
  <c r="E37" i="9" s="1"/>
  <c r="B7" i="10"/>
  <c r="B45" i="9"/>
  <c r="C45" i="9" s="1"/>
  <c r="E8" i="9"/>
  <c r="D37" i="9"/>
  <c r="B15" i="10" l="1"/>
  <c r="B38" i="10"/>
  <c r="D38" i="10" s="1"/>
  <c r="E38" i="10" s="1"/>
  <c r="B40" i="10" l="1"/>
  <c r="D40" i="10" s="1"/>
  <c r="E40" i="10" s="1"/>
  <c r="B1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tc={A6D07263-D103-4C47-A6C2-5440E65C3B58}</author>
  </authors>
  <commentList>
    <comment ref="A5" authorId="0" shapeId="0" xr:uid="{A6D07263-D103-4C47-A6C2-5440E65C3B5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2026-04-28_Samsung_Securities.pdf, p.2, 요약 손익계산서 및 애플리케이션별 매출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tc={46E00D49-ED28-4BF4-AFE1-CD7D50307F70}</author>
    <author>tc={81E87A09-DC21-4889-90C3-A038A7DD367B}</author>
  </authors>
  <commentList>
    <comment ref="B10" authorId="0" shapeId="0" xr:uid="{46E00D49-ED28-4BF4-AFE1-CD7D50307F7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2026-04-28_Samsung_Securities.pdf, p.1, Target P/E에 WinWay 대비 40% 할인율 적용</t>
      </text>
    </comment>
    <comment ref="C22" authorId="1" shapeId="0" xr:uid="{81E87A09-DC21-4889-90C3-A038A7DD367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2026-04-28_Samsung_Securities.pdf, p.1, WinWay 대비 40% 할인 및 목표주가 300,000원에서 역산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tc={EA747BB4-0EBD-DC94-C284-57F62BD77BF9}</author>
  </authors>
  <commentList>
    <comment ref="A14" authorId="0" shapeId="0" xr:uid="{00000000-0006-0000-0000-00000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2026-04-28_Samsung_Securities.pdf, p.1, 1Q26 review 및 전망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tc={CA8E8AEB-B668-A05A-AB8E-F222DC9B700F}</author>
  </authors>
  <commentList>
    <comment ref="A5" authorId="0" shapeId="0" xr:uid="{00000000-0006-0000-0100-00000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2026-04-28_Samsung_Securities.pdf, p.2, 요약 손익계산서 및 애플리케이션별 매출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tc={81F43F12-A5AD-4FE3-86C2-AFCB2BCEFD89}</author>
  </authors>
  <commentList>
    <comment ref="A5" authorId="0" shapeId="0" xr:uid="{00000000-0006-0000-0200-00000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2026-04-28_Samsung_Securities.pdf, p.1, 주요 전망치 변화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tc={7C0ED242-2B47-C039-2BA4-F92CF5B14771}</author>
  </authors>
  <commentList>
    <comment ref="A5" authorId="0" shapeId="0" xr:uid="{00000000-0006-0000-0300-00000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2026-04-28_Samsung_Securities.pdf, p.1, 목표주가 300,000원 및 WinWay 대비 40% 할인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tc={7F714949-A273-C1B7-D9DC-A237538A03D3}</author>
  </authors>
  <commentList>
    <comment ref="A5" authorId="0" shapeId="0" xr:uid="{00000000-0006-0000-0400-00000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ISC_095340_Peer_PER_Valuation.xlsx, p.1, 11_Comps_Web 국내 피어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tc={26A21099-781C-933A-12A8-64FE2427BECD}</author>
    <author>tc={5A1921B0-C628-8672-9129-E8165F27DFAA}</author>
  </authors>
  <commentList>
    <comment ref="A5" authorId="0" shapeId="0" xr:uid="{00000000-0006-0000-0600-00000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2026-04-28_Samsung_Securities.pdf, p.3, 포괄손익계산서·현금흐름표</t>
      </text>
    </comment>
    <comment ref="H5" authorId="1" shapeId="0" xr:uid="{00000000-0006-0000-0600-00000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2026-04-28_Samsung_Securities.pdf, p.3, 재무상태표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tc={906076B6-4365-F9F6-B94C-D76C6F8B0B70}</author>
  </authors>
  <commentList>
    <comment ref="A5" authorId="0" shapeId="0" xr:uid="{00000000-0006-0000-0500-00000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ISC_095340_Peer_PER_Valuation.xlsx, p.1, 11_Comps_Web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tc={8450E381-3A45-7963-8F6B-4591B82B4987}</author>
  </authors>
  <commentList>
    <comment ref="A6" authorId="0" shapeId="0" xr:uid="{00000000-0006-0000-0700-00000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ISC_095340_Peer_PER_Valuation.xlsx, p.1, 패키지 전체 출처 목록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tc={FCAAC1F8-9675-B5DD-9F63-FFCE438E6BBD}</author>
    <author>tc={2B41A3A0-61D1-2439-029C-CC5E7C19CD42}</author>
    <author>tc={53278169-BCC0-53AE-6CF4-909D1C8077BE}</author>
    <author>tc={A1591D9B-0E7C-8228-2DA0-2B05AF8B7ACD}</author>
    <author>tc={7CA6A5D0-FFE1-17F3-E6CF-9058C5492D25}</author>
  </authors>
  <commentList>
    <comment ref="C16" authorId="0" shapeId="0" xr:uid="{00000000-0006-0000-0800-00000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2026-04-28_Samsung_Securities.pdf, p.2, 2026E·2027E 매출 전망 기반 성장률</t>
      </text>
    </comment>
    <comment ref="C19" authorId="1" shapeId="0" xr:uid="{00000000-0006-0000-0800-00000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2026-04-28_Samsung_Securities.pdf, p.2, 요약 손익계산서 기반 원가율</t>
      </text>
    </comment>
    <comment ref="C24" authorId="2" shapeId="0" xr:uid="{00000000-0006-0000-0800-00000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2026-04-28_Samsung_Securities.pdf, p.2, 요약 손익계산서 기반 판관비율</t>
      </text>
    </comment>
    <comment ref="C33" authorId="3" shapeId="0" xr:uid="{00000000-0006-0000-0800-00000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2026-04-28_Samsung_Securities.pdf, p.2, 지배주주순이익 기준 실효 누수율</t>
      </text>
    </comment>
    <comment ref="C35" authorId="4" shapeId="0" xr:uid="{00000000-0006-0000-0800-00000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2026-04-28_Samsung_Securities.pdf, p.2, EPS와 지배주주순이익으로 역산한 희석주식수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tc={A9C5E0AA-C32D-42C9-8935-BC8F9924D6D4}</author>
    <author>tc={A1804305-1084-4CE3-AE05-6F6F569EB945}</author>
    <author>tc={2FB62665-133E-4ED8-816C-23D996CD7704}</author>
    <author>tc={63F17028-D15F-4FAA-9E42-B912F0117D61}</author>
    <author>tc={1BCA3165-BAAC-4E79-B86E-52C8FE4AF91E}</author>
  </authors>
  <commentList>
    <comment ref="C11" authorId="0" shapeId="0" xr:uid="{A9C5E0AA-C32D-42C9-8935-BC8F9924D6D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2026-04-28_Samsung_Securities.pdf, p.2, 2026E·2027E 매출 전망 기반 성장률</t>
      </text>
    </comment>
    <comment ref="C13" authorId="1" shapeId="0" xr:uid="{A1804305-1084-4CE3-AE05-6F6F569EB94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2026-04-28_Samsung_Securities.pdf, p.2, 요약 손익계산서 기반 원가율</t>
      </text>
    </comment>
    <comment ref="C17" authorId="2" shapeId="0" xr:uid="{2FB62665-133E-4ED8-816C-23D996CD770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2026-04-28_Samsung_Securities.pdf, p.2, 요약 손익계산서 기반 판관비율</t>
      </text>
    </comment>
    <comment ref="C24" authorId="3" shapeId="0" xr:uid="{63F17028-D15F-4FAA-9E42-B912F0117D6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2026-04-28_Samsung_Securities.pdf, p.2, 지배주주순이익 기준 실효 누수율</t>
      </text>
    </comment>
    <comment ref="C25" authorId="4" shapeId="0" xr:uid="{1BCA3165-BAAC-4E79-B86E-52C8FE4AF91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2026-04-28_Samsung_Securities.pdf, p.2, EPS와 지배주주순이익으로 역산한 희석주식수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tc={0FBCA02B-3C46-E89E-39EB-E9E10838699A}</author>
    <author>tc={4265B4BA-60BF-D242-D232-3B336E96D20E}</author>
  </authors>
  <commentList>
    <comment ref="B10" authorId="0" shapeId="0" xr:uid="{00000000-0006-0000-0900-00000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2026-04-28_Samsung_Securities.pdf, p.1, Target P/E에 WinWay 대비 40% 할인율 적용</t>
      </text>
    </comment>
    <comment ref="D22" authorId="1" shapeId="0" xr:uid="{00000000-0006-0000-0900-00000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Source: 2026-04-28_Samsung_Securities.pdf, p.1, WinWay 대비 40% 할인 및 목표주가 300,000원에서 역산</t>
      </text>
    </comment>
  </commentList>
</comments>
</file>

<file path=xl/sharedStrings.xml><?xml version="1.0" encoding="utf-8"?>
<sst xmlns="http://schemas.openxmlformats.org/spreadsheetml/2006/main" count="1036" uniqueCount="371">
  <si>
    <t>ISC 1Q26 Review &amp; WinWay Peer PER Valuation 모델</t>
  </si>
  <si>
    <t>ISC (095340) | 리서치 기준일 2026-04-28 | 단위는 각 표에 표시 | 삼성증권 1Q26 Review 및 사용자 제공 ZIP 기반</t>
  </si>
  <si>
    <t>입력/추정 가정: 연노랑 배경 + 파란 글씨  |  계산식: 검은 글씨  |  다른 시트 연결: 초록 글씨</t>
  </si>
  <si>
    <t>핵심 투자지표</t>
  </si>
  <si>
    <t>투자의견</t>
  </si>
  <si>
    <t>BUY</t>
  </si>
  <si>
    <t>FY26E 매출액 (십억원)</t>
  </si>
  <si>
    <t>목표주가 (원)</t>
  </si>
  <si>
    <t>FY26E 영업이익 (십억원)</t>
  </si>
  <si>
    <t>현재주가 (원)</t>
  </si>
  <si>
    <t>FY27E 매출액 (십억원)</t>
  </si>
  <si>
    <t>상승여력</t>
  </si>
  <si>
    <t>FY27E 영업이익 (십억원)</t>
  </si>
  <si>
    <t>목표 P/E</t>
  </si>
  <si>
    <t>FY27E EPS (원)</t>
  </si>
  <si>
    <t>목표 EPS 기준</t>
  </si>
  <si>
    <t>FY27E</t>
  </si>
  <si>
    <t>피어 수</t>
  </si>
  <si>
    <t>핵심 내용</t>
  </si>
  <si>
    <t>• 1Q26 매출 683억원(YoY +115.5%), 영업이익 236억원(OPM 34.6%)으로 고수익 AI 매출 기여가 확대.</t>
  </si>
  <si>
    <t>• System Level Test(SLT) 비중 확대와 HBM·AI CPU 관련 매출 본격화가 수익성 개선의 핵심.</t>
  </si>
  <si>
    <t>• 패키지 모델은 2Q26 매출 727억원, 영업이익 228억원과 FY26 매출 3,142억원·영업이익 1,005억원을 반영.</t>
  </si>
  <si>
    <t>• FY27E 지배주주순이익 1,151억원과 희석주식수 20.46백만주로 EPS 5,626원을 산출.</t>
  </si>
  <si>
    <t>• 삼성증권 방식대로 WinWay 기준 P/E에서 40% 할인한 Target P/E 53.35배를 적용해 목표주가 300,000원을 산정.</t>
  </si>
  <si>
    <t>워크북 사용 안내</t>
  </si>
  <si>
    <t>파란 글씨: 리서치·ZIP 원문 기반 입력 | 검은 글씨: 수식 | 초록 글씨: 다른 시트 참조</t>
  </si>
  <si>
    <t>솔브레인 파일과 동일한 8개 시트 순서는 유지하되 삼성증권 ISC 보고서의 표 순서와 구성을 우선 반영했습니다.</t>
  </si>
  <si>
    <t>목표주가는 WinWay P/E 40% 할인 방식을 사용하며 국내 KOSPI/KOSDAQ 피어 표는 보조 비교자료로 유지합니다.</t>
  </si>
  <si>
    <t>보고서에 WinWay의 정확한 기준 P/E가 표시되지 않아 88.92배는 보고서 목표주가·FY27E EPS·40% 할인율로 역산한 값입니다.</t>
  </si>
  <si>
    <t>표 1. ISC 실적 추이 및 전망</t>
  </si>
  <si>
    <t>항목</t>
  </si>
  <si>
    <t>1Q25</t>
  </si>
  <si>
    <t>2Q25</t>
  </si>
  <si>
    <t>3Q25</t>
  </si>
  <si>
    <t>4Q25</t>
  </si>
  <si>
    <t>1Q26P</t>
  </si>
  <si>
    <t>2Q26E</t>
  </si>
  <si>
    <t>3Q26E</t>
  </si>
  <si>
    <t>4Q26E</t>
  </si>
  <si>
    <t>2025</t>
  </si>
  <si>
    <t>2026E</t>
  </si>
  <si>
    <t>2027E</t>
  </si>
  <si>
    <t>매출액</t>
  </si>
  <si>
    <t>데이터센터</t>
  </si>
  <si>
    <t>스마트폰</t>
  </si>
  <si>
    <t>PC/노트북</t>
  </si>
  <si>
    <t>자동차</t>
  </si>
  <si>
    <t>웨어러블</t>
  </si>
  <si>
    <t>LSI</t>
  </si>
  <si>
    <t>Non-Socket</t>
  </si>
  <si>
    <t>매출액 YoY</t>
  </si>
  <si>
    <t>매출액 QoQ</t>
  </si>
  <si>
    <t>매출원가</t>
  </si>
  <si>
    <t>매출총이익</t>
  </si>
  <si>
    <t>매출총이익률</t>
  </si>
  <si>
    <t>판매 및 일반관리비</t>
  </si>
  <si>
    <t>영업이익</t>
  </si>
  <si>
    <t>영업이익률</t>
  </si>
  <si>
    <t>세전이익</t>
  </si>
  <si>
    <t>지배주주순이익</t>
  </si>
  <si>
    <t>지배주주순이익률</t>
  </si>
  <si>
    <t>EPS (원)</t>
  </si>
  <si>
    <t>EPS YoY</t>
  </si>
  <si>
    <t>EPS QoQ</t>
  </si>
  <si>
    <t>자료: ISC, 삼성증권 2026-04-28 p.2 | 금액 단위: 십억원, 비율 단위: %</t>
  </si>
  <si>
    <t>표 2. 수익추정 및 목표주가 변경</t>
  </si>
  <si>
    <t>현재 모델 FY26E</t>
  </si>
  <si>
    <t>현재 모델 FY27E</t>
  </si>
  <si>
    <t>이전 보고서 FY26E</t>
  </si>
  <si>
    <t>이전 보고서 FY27E</t>
  </si>
  <si>
    <t>변경률 FY26E</t>
  </si>
  <si>
    <t>변경률 FY27E</t>
  </si>
  <si>
    <t>삼성증권 항목</t>
  </si>
  <si>
    <t>신규</t>
  </si>
  <si>
    <t>기존</t>
  </si>
  <si>
    <t>증감</t>
  </si>
  <si>
    <t>매출액 (십억원)</t>
  </si>
  <si>
    <t>목표주가</t>
  </si>
  <si>
    <t>영업이익 (십억원)</t>
  </si>
  <si>
    <t>2026E EPS</t>
  </si>
  <si>
    <t>2027E EPS</t>
  </si>
  <si>
    <t>이전 보고서 수치는 삼성증권 2026-04-28 p.1의 EPS 변경표에서 가져왔습니다. 매출액·영업이익의 이전 수치는 해당 표에 없어 빈칸으로 보존했습니다. 우측 삼성증권 증감은 신규 ÷ 기존 - 1 수식입니다.</t>
  </si>
  <si>
    <t>표 3. 목표주가 산정</t>
  </si>
  <si>
    <t>값</t>
  </si>
  <si>
    <t>비고</t>
  </si>
  <si>
    <t>FY27E EPS</t>
  </si>
  <si>
    <t>삼성증권 2026-04-28</t>
  </si>
  <si>
    <t>WinWay 기준 P/E</t>
  </si>
  <si>
    <t>보고서 수치로 역산</t>
  </si>
  <si>
    <t>할인율</t>
  </si>
  <si>
    <t>삼성증권: WinWay 대비 40% 할인</t>
  </si>
  <si>
    <t>적용 Target P/E</t>
  </si>
  <si>
    <t>WinWay P/E × (1-할인율)</t>
  </si>
  <si>
    <t>산출 목표주가</t>
  </si>
  <si>
    <t>EPS × Target P/E</t>
  </si>
  <si>
    <t>제시 목표주가</t>
  </si>
  <si>
    <t>1,000원 단위 반올림</t>
  </si>
  <si>
    <t>현재주가</t>
  </si>
  <si>
    <t>2026-04-27, 보고서 기준</t>
  </si>
  <si>
    <t>제시 목표주가 ÷ 현재주가 - 1</t>
  </si>
  <si>
    <t>WinWay 적용 근거 및 해석</t>
  </si>
  <si>
    <t>본 모델: FY27E EPS 5,623원 × [WinWay P/E 88.92배 × (1-40%)] = 목표주가 300,000원</t>
  </si>
  <si>
    <t>삼성증권 보고서는 'WinWay 대비 40% 할인'만 명시하고 기준 P/E 수치는 제시하지 않아, 88.92배는 목표주가에서 역산했습니다.</t>
  </si>
  <si>
    <t>국내 상장 피어 4개사의 Forward P/E 중앙값 25.385배는 05_피어밸류에서 보조 비교지표로 유지하며 목표주가에는 사용하지 않습니다.</t>
  </si>
  <si>
    <t>WinWay 시장 P/E 또는 적용 EPS를 갱신할 때에는 B6:B8 입력과 목표주가·상승여력·검증 체크를 함께 확인하십시오.</t>
  </si>
  <si>
    <t>표 4. 국내 반도체 테스트 인터페이스 피어 실적·사업 비교</t>
  </si>
  <si>
    <t>종목코드</t>
  </si>
  <si>
    <t>기업명</t>
  </si>
  <si>
    <t>시장</t>
  </si>
  <si>
    <t>사업 연관성</t>
  </si>
  <si>
    <t>주가 (원)</t>
  </si>
  <si>
    <t>주가 기준일</t>
  </si>
  <si>
    <t>Forward P/E</t>
  </si>
  <si>
    <t>Implied Forward EPS</t>
  </si>
  <si>
    <t>Include</t>
  </si>
  <si>
    <t>058470</t>
  </si>
  <si>
    <t>리노공업</t>
  </si>
  <si>
    <t>KOSDAQ</t>
  </si>
  <si>
    <t>포고핀 테스트소켓</t>
  </si>
  <si>
    <t>Y</t>
  </si>
  <si>
    <t>131290</t>
  </si>
  <si>
    <t>티에스이</t>
  </si>
  <si>
    <t>프로브카드·인터페이스보드</t>
  </si>
  <si>
    <t>089030</t>
  </si>
  <si>
    <t>테크윙</t>
  </si>
  <si>
    <t>반도체 검사장비</t>
  </si>
  <si>
    <t>131970</t>
  </si>
  <si>
    <t>두산테스나</t>
  </si>
  <si>
    <t>웨이퍼·패키지 테스트</t>
  </si>
  <si>
    <t>ZIP 패키지의 피어 원자료에는 기업별 매출·영업이익 전망치가 없으므로 확인되지 않은 실적 수치를 임의 추가하지 않았습니다. 대신 주가와 Forward P/E로 암시 Forward EPS를 수식 계산해 실적 기대를 비교합니다.</t>
  </si>
  <si>
    <t>표 5. 국내 피어 밸류에이션 비교</t>
  </si>
  <si>
    <t>주가</t>
  </si>
  <si>
    <t>기준일</t>
  </si>
  <si>
    <t>출처</t>
  </si>
  <si>
    <t>적용 P/E</t>
  </si>
  <si>
    <t>ZIP 11_Comps_Web</t>
  </si>
  <si>
    <t>Peer median Forward P/E</t>
  </si>
  <si>
    <t>Peer average Forward P/E</t>
  </si>
  <si>
    <t>Peer count</t>
  </si>
  <si>
    <t>선정 원칙: KOSPI/KOSDAQ 상장사 중 테스트소켓·프로브카드·검사장비·반도체 테스트 노출도가 높은 기업. Include=Y 중앙값은 국내 비교용이며, 목표주가는 삼성증권의 WinWay P/E 40% 할인 방식을 별도로 적용합니다.</t>
  </si>
  <si>
    <t>예상 재무제표 및 주당가치 요약</t>
  </si>
  <si>
    <t>포괄손익계산서 (십억원)</t>
  </si>
  <si>
    <t>재무상태표 (십억원)</t>
  </si>
  <si>
    <t>2023</t>
  </si>
  <si>
    <t>2024</t>
  </si>
  <si>
    <t>유동자산</t>
  </si>
  <si>
    <t>현금 및 현금성자산</t>
  </si>
  <si>
    <t>매출채권</t>
  </si>
  <si>
    <t>매출총이익률 (%)</t>
  </si>
  <si>
    <t>재고자산</t>
  </si>
  <si>
    <t>기타유동자산</t>
  </si>
  <si>
    <t>비유동자산</t>
  </si>
  <si>
    <t>영업이익률 (%)</t>
  </si>
  <si>
    <t>투자자산</t>
  </si>
  <si>
    <t>영업외손익</t>
  </si>
  <si>
    <t>유형자산</t>
  </si>
  <si>
    <t>무형자산</t>
  </si>
  <si>
    <t>법인세</t>
  </si>
  <si>
    <t>기타비유동자산</t>
  </si>
  <si>
    <t>당기순이익</t>
  </si>
  <si>
    <t>자산총계</t>
  </si>
  <si>
    <t>유동부채</t>
  </si>
  <si>
    <t>EBITDA</t>
  </si>
  <si>
    <t>매입채무</t>
  </si>
  <si>
    <t>단기차입금</t>
  </si>
  <si>
    <t>기타유동부채</t>
  </si>
  <si>
    <t>비유동부채</t>
  </si>
  <si>
    <t>현금흐름표 (십억원)</t>
  </si>
  <si>
    <t>부채총계</t>
  </si>
  <si>
    <t>지배주주지분</t>
  </si>
  <si>
    <t>영업활동 현금흐름</t>
  </si>
  <si>
    <t>자본금</t>
  </si>
  <si>
    <t>자본잉여금</t>
  </si>
  <si>
    <t>비현금수익비용</t>
  </si>
  <si>
    <t>이익잉여금</t>
  </si>
  <si>
    <t>유형자산 감가상각비</t>
  </si>
  <si>
    <t>기타</t>
  </si>
  <si>
    <t>무형자산 상각비</t>
  </si>
  <si>
    <t>비지배주주지분</t>
  </si>
  <si>
    <t>운전자본 변동</t>
  </si>
  <si>
    <t>자본총계</t>
  </si>
  <si>
    <t>투자활동 현금흐름</t>
  </si>
  <si>
    <t>유형자산 증감</t>
  </si>
  <si>
    <t>장단기금융자산 증감</t>
  </si>
  <si>
    <t>주당가치 및 Valuation</t>
  </si>
  <si>
    <t>기타투자활동</t>
  </si>
  <si>
    <t>재무활동 현금흐름</t>
  </si>
  <si>
    <t>차입금 증감</t>
  </si>
  <si>
    <t>BPS (원)</t>
  </si>
  <si>
    <t>자본금 증감</t>
  </si>
  <si>
    <t>DPS (원)</t>
  </si>
  <si>
    <t>배당금</t>
  </si>
  <si>
    <t>P/E (x)</t>
  </si>
  <si>
    <t>현금의 증가</t>
  </si>
  <si>
    <t>P/B (x)</t>
  </si>
  <si>
    <t>기초현금</t>
  </si>
  <si>
    <t>EV/EBITDA (x)</t>
  </si>
  <si>
    <t>기말현금</t>
  </si>
  <si>
    <t>ROE (%)</t>
  </si>
  <si>
    <t>ROA (%)</t>
  </si>
  <si>
    <t>ROIC (%)</t>
  </si>
  <si>
    <t>배당성향 (%)</t>
  </si>
  <si>
    <t>배당수익률 (%)</t>
  </si>
  <si>
    <t>출처 · 모델 검증 · 재사용 메모</t>
  </si>
  <si>
    <t>ID</t>
  </si>
  <si>
    <t>대상</t>
  </si>
  <si>
    <t>페이지/범위</t>
  </si>
  <si>
    <t>원문 파일 또는 URL</t>
  </si>
  <si>
    <t>기관</t>
  </si>
  <si>
    <t>SRC-01</t>
  </si>
  <si>
    <t>패키지 기존 모델</t>
  </si>
  <si>
    <t>전체</t>
  </si>
  <si>
    <t>C:\Users\KDA 24\Documents\Codex\2026-07-20\referenced-chatgpt-conversation-this-is-untrusted\work\isc_package\04_Model\ISC_095340_Peer_PER_Valuation.xlsx</t>
  </si>
  <si>
    <t>사용자 제공 ZIP</t>
  </si>
  <si>
    <t>국내 피어·기존 산식 참고</t>
  </si>
  <si>
    <t>SRC-02</t>
  </si>
  <si>
    <t>1Q26 Review</t>
  </si>
  <si>
    <t>p.1-3</t>
  </si>
  <si>
    <t>C:\Users\KDA 24\Documents\Codex\2026-07-20\referenced-chatgpt-conversation-this-is-untrusted\work\isc_package\02_Research\2026-04-28_Samsung_Securities.pdf</t>
  </si>
  <si>
    <t>삼성증권</t>
  </si>
  <si>
    <t>분기 전망·재무제표·WinWay 40% 할인</t>
  </si>
  <si>
    <t>SRC-03</t>
  </si>
  <si>
    <t>4Q25 Review</t>
  </si>
  <si>
    <t>p.1-6</t>
  </si>
  <si>
    <t>C:\Users\KDA 24\Documents\Codex\2026-07-20\referenced-chatgpt-conversation-this-is-untrusted\work\isc_package\02_Research\2026_Meritz_Company_Brief.pdf</t>
  </si>
  <si>
    <t>메리츠증권</t>
  </si>
  <si>
    <t>추정 변경·글로벌 피어 방식</t>
  </si>
  <si>
    <t>SRC-04</t>
  </si>
  <si>
    <t>기업 브리프</t>
  </si>
  <si>
    <t>C:\Users\KDA 24\Documents\Codex\2026-07-20\referenced-chatgpt-conversation-this-is-untrusted\work\isc_package\02_Research\2026-02-10_Korea_Investment.pdf</t>
  </si>
  <si>
    <t>한국투자증권</t>
  </si>
  <si>
    <t>사업 전망·목표주가</t>
  </si>
  <si>
    <t>SRC-05</t>
  </si>
  <si>
    <t>IR Book</t>
  </si>
  <si>
    <t>C:\Users\KDA 24\Documents\Codex\2026-07-20\referenced-chatgpt-conversation-this-is-untrusted\work\isc_package\03_IR\2026_IR_Book.pdf</t>
  </si>
  <si>
    <t>ISC</t>
  </si>
  <si>
    <t>애플리케이션·CAPEX</t>
  </si>
  <si>
    <t>SRC-06</t>
  </si>
  <si>
    <t>2025 사업보고서</t>
  </si>
  <si>
    <t>DART</t>
  </si>
  <si>
    <t>https://dart.fss.or.kr/dsaf001/main.do?rcpNo=20260318000018</t>
  </si>
  <si>
    <t>금융감독원 DART</t>
  </si>
  <si>
    <t>2025 확정 실적</t>
  </si>
  <si>
    <t>SRC-07</t>
  </si>
  <si>
    <t>피어 원자료</t>
  </si>
  <si>
    <t>11_Comps_Web</t>
  </si>
  <si>
    <t>KOSPI/KOSDAQ만 포함</t>
  </si>
  <si>
    <t>검증 체크</t>
  </si>
  <si>
    <t>검증항목</t>
  </si>
  <si>
    <t>실제값</t>
  </si>
  <si>
    <t>기대값</t>
  </si>
  <si>
    <t>차이</t>
  </si>
  <si>
    <t>허용오차</t>
  </si>
  <si>
    <t>상태</t>
  </si>
  <si>
    <t>WinWay 적용비율</t>
  </si>
  <si>
    <t>1-40% 할인율</t>
  </si>
  <si>
    <t>WinWay P/E × 60%</t>
  </si>
  <si>
    <t>EPS × Target P/E, 1,000원 반올림</t>
  </si>
  <si>
    <t>FY26 분기 매출 합계</t>
  </si>
  <si>
    <t>1Q26~4Q26</t>
  </si>
  <si>
    <t>FY26 분기 영업이익 합계</t>
  </si>
  <si>
    <t>표 반올림 차이 허용</t>
  </si>
  <si>
    <t>삼성증권 FY27E</t>
  </si>
  <si>
    <t>국내 피어 개수</t>
  </si>
  <si>
    <t>국내 비교용</t>
  </si>
  <si>
    <t>재사용 메모</t>
  </si>
  <si>
    <t>솔브레인 파일과 동일한 시트명·순서를 사용해 기업 간 비교가 가능합니다.</t>
  </si>
  <si>
    <t>ISC 고유 Driver는 데이터센터·스마트폰·기타 애플리케이션 매출과 SLT 비중입니다.</t>
  </si>
  <si>
    <t>피어 실적 수치가 ZIP에 없는 경우 공란을 임의 추정하지 않고, 주가/PER 기반 암시 EPS만 계산했습니다.</t>
  </si>
  <si>
    <t>시장 데이터 갱신 시 04_피어실적·05_피어밸류·03_목표주가를 함께 검토하고 모든 체크가 OK인지 확인합니다.</t>
  </si>
  <si>
    <t>통합 Forward EPS 추정 모델</t>
  </si>
  <si>
    <t>리포트용 핵심 출력</t>
  </si>
  <si>
    <t>FY26E Forward EPS (원)</t>
  </si>
  <si>
    <t>FY27E Forward EPS (원)</t>
  </si>
  <si>
    <t>FY26E 영업이익률</t>
  </si>
  <si>
    <t>FY27E 영업이익률</t>
  </si>
  <si>
    <t>입력 방법: 노란색·파란 글씨 셀의 성장률/비율/주식수를 수정하면 바로 위 계산 행과 Forward EPS가 즉시 갱신됩니다. 2028E는 서비스 시나리오용 사용자 가정입니다.</t>
  </si>
  <si>
    <t>매출액부터 Forward EPS까지 통합 추정</t>
  </si>
  <si>
    <t>손익계산서 / Driver</t>
  </si>
  <si>
    <t>2025A</t>
  </si>
  <si>
    <t>2028E</t>
  </si>
  <si>
    <t>산식 / 입력 기준</t>
  </si>
  <si>
    <t>구분</t>
  </si>
  <si>
    <t>리포트 활용</t>
  </si>
  <si>
    <t>전년도 매출 × (1+성장률)</t>
  </si>
  <si>
    <t>계산</t>
  </si>
  <si>
    <t>실적 추이·전망</t>
  </si>
  <si>
    <t>매출 성장률</t>
  </si>
  <si>
    <t>사용자 입력</t>
  </si>
  <si>
    <t>Driver</t>
  </si>
  <si>
    <t>매출 성장 가정</t>
  </si>
  <si>
    <t>매출원가 (십억원)</t>
  </si>
  <si>
    <t>매출액 × 원가율</t>
  </si>
  <si>
    <t>손익계산서</t>
  </si>
  <si>
    <t>매출원가율</t>
  </si>
  <si>
    <t>제품 믹스·원가 가정</t>
  </si>
  <si>
    <t>매출총이익 (십억원)</t>
  </si>
  <si>
    <t>매출액-매출원가</t>
  </si>
  <si>
    <t>매출총이익÷매출액</t>
  </si>
  <si>
    <t>수익성</t>
  </si>
  <si>
    <t>판매 및 일반관리비 (십억원)</t>
  </si>
  <si>
    <t>매출액 × 판관비율</t>
  </si>
  <si>
    <t>판관비율</t>
  </si>
  <si>
    <t>비용 가정</t>
  </si>
  <si>
    <t>매출총이익-판관비</t>
  </si>
  <si>
    <t>영업이익÷매출액</t>
  </si>
  <si>
    <t>영업외손익 (십억원)</t>
  </si>
  <si>
    <t>매출액 × 영업외손익률</t>
  </si>
  <si>
    <t>영업외손익률</t>
  </si>
  <si>
    <t>금융·기타손익 가정</t>
  </si>
  <si>
    <t>세전이익 (십억원)</t>
  </si>
  <si>
    <t>영업이익+영업외손익</t>
  </si>
  <si>
    <t>지배주주순이익 (십억원)</t>
  </si>
  <si>
    <t>세전이익 × (1-누수율)</t>
  </si>
  <si>
    <t>EPS 분자</t>
  </si>
  <si>
    <t>실효세율·비지배 누수율</t>
  </si>
  <si>
    <t>세금·비지배 가정</t>
  </si>
  <si>
    <t>희석주식수 (백만주)</t>
  </si>
  <si>
    <t>EPS 분모</t>
  </si>
  <si>
    <t>Forward EPS (원)</t>
  </si>
  <si>
    <t>지배순이익×1,000÷주식수</t>
  </si>
  <si>
    <t>목표주가 산정</t>
  </si>
  <si>
    <t>EPS 성장률</t>
  </si>
  <si>
    <t>당해 EPS÷전년 EPS-1</t>
  </si>
  <si>
    <t>이익 성장률</t>
  </si>
  <si>
    <t>모델 체크</t>
  </si>
  <si>
    <t>설명</t>
  </si>
  <si>
    <t>FY26E 매출액 vs 리포트</t>
  </si>
  <si>
    <t>314.2십억원</t>
  </si>
  <si>
    <t>FY27E 매출액 vs 리포트</t>
  </si>
  <si>
    <t>402.5십억원</t>
  </si>
  <si>
    <t>FY26E EPS vs 리포트</t>
  </si>
  <si>
    <t>4,266원</t>
  </si>
  <si>
    <t>FY27E EPS vs 리포트</t>
  </si>
  <si>
    <t>5,623원</t>
  </si>
  <si>
    <t>Target PER 선정 및 목표주가 모델</t>
  </si>
  <si>
    <t>Target PER 선택 로직</t>
  </si>
  <si>
    <t>선정 방식</t>
  </si>
  <si>
    <t>특정 피어 조정</t>
  </si>
  <si>
    <t>현재 선택: WinWay 88.92배에서 40% 할인 → Target P/E 53.35배</t>
  </si>
  <si>
    <t>Forward EPS</t>
  </si>
  <si>
    <t>Forward EPS는 08_Forward_EPS의 FY27E EPS와 직접 연결됩니다.</t>
  </si>
  <si>
    <t>선택 피어</t>
  </si>
  <si>
    <t>WinWay</t>
  </si>
  <si>
    <t>선정 방식을 바꾸면 국내 피어 평균·중앙값 또는 직접 입력값이 즉시 반영됩니다.</t>
  </si>
  <si>
    <t>선택 피어 P/E</t>
  </si>
  <si>
    <t>특정 피어의 시장 P/E가 갱신되면 B9와 할인/프리미엄 B10을 함께 검토하십시오.</t>
  </si>
  <si>
    <t>할인/프리미엄</t>
  </si>
  <si>
    <t>피어 평균 P/E</t>
  </si>
  <si>
    <t>피어 중앙값 P/E</t>
  </si>
  <si>
    <t>직접 입력 P/E</t>
  </si>
  <si>
    <t>도출 Target P/E</t>
  </si>
  <si>
    <t>피어 정보 및 참고 멀티플</t>
  </si>
  <si>
    <t>기준 P/E</t>
  </si>
  <si>
    <t>조정률</t>
  </si>
  <si>
    <t>TWSE</t>
  </si>
  <si>
    <t>고성능 테스트소켓</t>
  </si>
  <si>
    <t>N</t>
  </si>
  <si>
    <t>삼성증권 1Q26 Review</t>
  </si>
  <si>
    <t>목표주가에서 역산</t>
  </si>
  <si>
    <t>국내 비교</t>
  </si>
  <si>
    <t>선정 방식 가이드</t>
  </si>
  <si>
    <t>특정 피어 조정: 리포트가 WinWay 등 특정 경쟁사의 멀티플에 할인/프리미엄을 적용할 때 사용</t>
  </si>
  <si>
    <t>피어 평균: Include=Y 기업의 조정 후 P/E 평균을 사용</t>
  </si>
  <si>
    <t>피어 중앙값: 이상치 영향을 낮추기 위해 Include=Y 기업의 조정 후 P/E 중앙값을 사용</t>
  </si>
  <si>
    <t>직접 입력: 과거 밴드·산업 사이클·정성 판단을 반영한 애널리스트 승인 P/E를 사용</t>
  </si>
  <si>
    <t>Valuation 체크</t>
  </si>
  <si>
    <t>FY27E EPS 연결</t>
  </si>
  <si>
    <t>08_Forward_EPS 연결</t>
  </si>
  <si>
    <t>Target P/E</t>
  </si>
  <si>
    <t>WinWay 40% 할인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</si>
</sst>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[Red]\(#,##0\);\-"/>
    <numFmt numFmtId="177" formatCode="0.0%;[Red]\(0.0%\);\-"/>
    <numFmt numFmtId="178" formatCode="0.0\x;[Red]\(0.0\x\);\-"/>
    <numFmt numFmtId="179" formatCode="#,##0.0;[Red]\(#,##0.0\);\-"/>
    <numFmt numFmtId="180" formatCode="yyyy\-mm\-dd"/>
    <numFmt numFmtId="181" formatCode="0.0;[Red]\(0.0\);\-"/>
  </numFmts>
  <fonts count="15">
    <font>
      <sz val="11"/>
      <name val="Carlito"/>
    </font>
    <font>
      <b/>
      <sz val="10"/>
      <color rgb="FFFFFFFF"/>
      <name val="Aptos"/>
      <family val="2"/>
    </font>
    <font>
      <i/>
      <sz val="10"/>
      <color rgb="FF666666"/>
      <name val="Aptos"/>
      <family val="2"/>
    </font>
    <font>
      <i/>
      <sz val="10"/>
      <color rgb="FF0000FF"/>
      <name val="Aptos"/>
      <family val="2"/>
    </font>
    <font>
      <b/>
      <sz val="10"/>
      <color rgb="FF000000"/>
      <name val="Aptos"/>
      <family val="2"/>
    </font>
    <font>
      <sz val="10"/>
      <name val="Aptos"/>
      <family val="2"/>
    </font>
    <font>
      <sz val="10"/>
      <color rgb="FF008000"/>
      <name val="Aptos"/>
      <family val="2"/>
    </font>
    <font>
      <b/>
      <sz val="16"/>
      <color rgb="FFFFFFFF"/>
      <name val="Aptos Display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color rgb="FF0000FF"/>
      <name val="Aptos"/>
      <family val="2"/>
    </font>
    <font>
      <i/>
      <sz val="10"/>
      <color rgb="FF7F6000"/>
      <name val="Aptos"/>
      <family val="2"/>
    </font>
    <font>
      <sz val="10"/>
      <color rgb="FF000000"/>
      <name val="Aptos"/>
      <family val="2"/>
    </font>
    <font>
      <sz val="11"/>
      <name val="Carlito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6FA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/>
      <right/>
      <top style="hair">
        <color rgb="FFD9D9D9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A6A6A6"/>
      </left>
      <right/>
      <top/>
      <bottom/>
      <diagonal/>
    </border>
    <border>
      <left style="thin">
        <color rgb="FF17365D"/>
      </left>
      <right/>
      <top style="thin">
        <color rgb="FF17365D"/>
      </top>
      <bottom/>
      <diagonal/>
    </border>
    <border>
      <left/>
      <right/>
      <top style="thin">
        <color rgb="FF17365D"/>
      </top>
      <bottom/>
      <diagonal/>
    </border>
    <border>
      <left style="medium">
        <color indexed="64"/>
      </left>
      <right style="thin">
        <color rgb="FFA6A6A6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rgb="FFD9D9D9"/>
      </bottom>
      <diagonal/>
    </border>
    <border>
      <left style="medium">
        <color indexed="64"/>
      </left>
      <right style="thin">
        <color rgb="FFA6A6A6"/>
      </right>
      <top/>
      <bottom/>
      <diagonal/>
    </border>
    <border>
      <left/>
      <right style="medium">
        <color indexed="64"/>
      </right>
      <top style="hair">
        <color rgb="FFD9D9D9"/>
      </top>
      <bottom style="hair">
        <color rgb="FFD9D9D9"/>
      </bottom>
      <diagonal/>
    </border>
    <border>
      <left style="medium">
        <color indexed="64"/>
      </left>
      <right style="thin">
        <color rgb="FFA6A6A6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rgb="FFD9D9D9"/>
      </top>
      <bottom style="medium">
        <color indexed="64"/>
      </bottom>
      <diagonal/>
    </border>
  </borders>
  <cellStyleXfs count="2">
    <xf numFmtId="0" fontId="0" fillId="0" borderId="0"/>
    <xf numFmtId="0" fontId="13" fillId="0" borderId="0"/>
  </cellStyleXfs>
  <cellXfs count="141">
    <xf numFmtId="0" fontId="0" fillId="0" borderId="0" xfId="0"/>
    <xf numFmtId="0" fontId="4" fillId="5" borderId="4" xfId="1" applyFont="1" applyFill="1" applyBorder="1" applyAlignment="1">
      <alignment horizontal="center" vertical="center" wrapText="1"/>
    </xf>
    <xf numFmtId="0" fontId="5" fillId="0" borderId="7" xfId="1" applyFont="1" applyBorder="1" applyAlignment="1">
      <alignment vertical="center"/>
    </xf>
    <xf numFmtId="179" fontId="5" fillId="0" borderId="7" xfId="1" applyNumberFormat="1" applyFont="1" applyBorder="1" applyAlignment="1">
      <alignment vertical="center"/>
    </xf>
    <xf numFmtId="0" fontId="4" fillId="5" borderId="5" xfId="1" applyFont="1" applyFill="1" applyBorder="1" applyAlignment="1">
      <alignment horizontal="center" vertical="center" wrapText="1"/>
    </xf>
    <xf numFmtId="176" fontId="6" fillId="0" borderId="8" xfId="1" applyNumberFormat="1" applyFont="1" applyBorder="1" applyAlignment="1">
      <alignment vertical="center"/>
    </xf>
    <xf numFmtId="179" fontId="5" fillId="0" borderId="8" xfId="1" applyNumberFormat="1" applyFont="1" applyBorder="1" applyAlignment="1">
      <alignment vertical="center"/>
    </xf>
    <xf numFmtId="177" fontId="6" fillId="0" borderId="8" xfId="1" applyNumberFormat="1" applyFont="1" applyBorder="1" applyAlignment="1">
      <alignment vertical="center"/>
    </xf>
    <xf numFmtId="178" fontId="6" fillId="0" borderId="8" xfId="1" applyNumberFormat="1" applyFont="1" applyBorder="1" applyAlignment="1">
      <alignment vertical="center"/>
    </xf>
    <xf numFmtId="0" fontId="4" fillId="5" borderId="6" xfId="1" applyFont="1" applyFill="1" applyBorder="1" applyAlignment="1">
      <alignment horizontal="center" vertical="center" wrapText="1"/>
    </xf>
    <xf numFmtId="0" fontId="5" fillId="0" borderId="9" xfId="1" applyFont="1" applyBorder="1" applyAlignment="1">
      <alignment vertical="center"/>
    </xf>
    <xf numFmtId="176" fontId="5" fillId="0" borderId="9" xfId="1" applyNumberFormat="1" applyFont="1" applyBorder="1" applyAlignment="1">
      <alignment vertical="center"/>
    </xf>
    <xf numFmtId="0" fontId="5" fillId="0" borderId="0" xfId="1" applyFont="1" applyAlignment="1">
      <alignment vertical="center"/>
    </xf>
    <xf numFmtId="0" fontId="4" fillId="5" borderId="10" xfId="1" applyFont="1" applyFill="1" applyBorder="1" applyAlignment="1">
      <alignment horizontal="center" vertical="center" wrapText="1"/>
    </xf>
    <xf numFmtId="0" fontId="4" fillId="5" borderId="11" xfId="1" applyFont="1" applyFill="1" applyBorder="1" applyAlignment="1">
      <alignment horizontal="center" vertical="center" wrapText="1"/>
    </xf>
    <xf numFmtId="0" fontId="4" fillId="5" borderId="12" xfId="1" applyFont="1" applyFill="1" applyBorder="1" applyAlignment="1">
      <alignment horizontal="center" vertical="center" wrapText="1"/>
    </xf>
    <xf numFmtId="0" fontId="8" fillId="5" borderId="13" xfId="1" applyFont="1" applyFill="1" applyBorder="1" applyAlignment="1">
      <alignment vertical="center"/>
    </xf>
    <xf numFmtId="179" fontId="9" fillId="5" borderId="13" xfId="1" applyNumberFormat="1" applyFont="1" applyFill="1" applyBorder="1" applyAlignment="1">
      <alignment vertical="center"/>
    </xf>
    <xf numFmtId="0" fontId="5" fillId="0" borderId="8" xfId="1" applyFont="1" applyBorder="1" applyAlignment="1">
      <alignment vertical="center"/>
    </xf>
    <xf numFmtId="179" fontId="10" fillId="0" borderId="8" xfId="1" applyNumberFormat="1" applyFont="1" applyBorder="1" applyAlignment="1">
      <alignment vertical="center"/>
    </xf>
    <xf numFmtId="179" fontId="10" fillId="0" borderId="9" xfId="1" applyNumberFormat="1" applyFont="1" applyBorder="1" applyAlignment="1">
      <alignment vertical="center"/>
    </xf>
    <xf numFmtId="177" fontId="5" fillId="0" borderId="7" xfId="1" applyNumberFormat="1" applyFont="1" applyBorder="1" applyAlignment="1">
      <alignment vertical="center"/>
    </xf>
    <xf numFmtId="176" fontId="10" fillId="0" borderId="7" xfId="1" applyNumberFormat="1" applyFont="1" applyBorder="1" applyAlignment="1">
      <alignment vertical="center"/>
    </xf>
    <xf numFmtId="177" fontId="5" fillId="0" borderId="8" xfId="1" applyNumberFormat="1" applyFont="1" applyBorder="1" applyAlignment="1">
      <alignment vertical="center"/>
    </xf>
    <xf numFmtId="176" fontId="10" fillId="0" borderId="8" xfId="1" applyNumberFormat="1" applyFont="1" applyBorder="1" applyAlignment="1">
      <alignment vertical="center"/>
    </xf>
    <xf numFmtId="177" fontId="5" fillId="0" borderId="9" xfId="1" applyNumberFormat="1" applyFont="1" applyBorder="1" applyAlignment="1">
      <alignment vertical="center"/>
    </xf>
    <xf numFmtId="176" fontId="10" fillId="0" borderId="9" xfId="1" applyNumberFormat="1" applyFont="1" applyBorder="1" applyAlignment="1">
      <alignment vertical="center"/>
    </xf>
    <xf numFmtId="178" fontId="10" fillId="0" borderId="8" xfId="1" applyNumberFormat="1" applyFont="1" applyBorder="1" applyAlignment="1">
      <alignment vertical="center"/>
    </xf>
    <xf numFmtId="178" fontId="5" fillId="0" borderId="8" xfId="1" applyNumberFormat="1" applyFont="1" applyBorder="1" applyAlignment="1">
      <alignment vertical="center"/>
    </xf>
    <xf numFmtId="176" fontId="5" fillId="0" borderId="8" xfId="1" applyNumberFormat="1" applyFont="1" applyBorder="1" applyAlignment="1">
      <alignment vertical="center"/>
    </xf>
    <xf numFmtId="180" fontId="5" fillId="0" borderId="7" xfId="1" applyNumberFormat="1" applyFont="1" applyBorder="1" applyAlignment="1">
      <alignment vertical="center"/>
    </xf>
    <xf numFmtId="176" fontId="5" fillId="0" borderId="7" xfId="1" applyNumberFormat="1" applyFont="1" applyBorder="1" applyAlignment="1">
      <alignment vertical="center"/>
    </xf>
    <xf numFmtId="180" fontId="5" fillId="0" borderId="8" xfId="1" applyNumberFormat="1" applyFont="1" applyBorder="1" applyAlignment="1">
      <alignment vertical="center"/>
    </xf>
    <xf numFmtId="180" fontId="5" fillId="0" borderId="9" xfId="1" applyNumberFormat="1" applyFont="1" applyBorder="1" applyAlignment="1">
      <alignment vertical="center"/>
    </xf>
    <xf numFmtId="178" fontId="5" fillId="0" borderId="7" xfId="1" applyNumberFormat="1" applyFont="1" applyBorder="1" applyAlignment="1">
      <alignment vertical="center"/>
    </xf>
    <xf numFmtId="178" fontId="5" fillId="0" borderId="9" xfId="1" applyNumberFormat="1" applyFont="1" applyBorder="1" applyAlignment="1">
      <alignment vertical="center"/>
    </xf>
    <xf numFmtId="0" fontId="8" fillId="5" borderId="0" xfId="1" applyFont="1" applyFill="1" applyAlignment="1">
      <alignment vertical="center"/>
    </xf>
    <xf numFmtId="178" fontId="8" fillId="5" borderId="0" xfId="1" applyNumberFormat="1" applyFont="1" applyFill="1" applyAlignment="1">
      <alignment vertical="center"/>
    </xf>
    <xf numFmtId="0" fontId="8" fillId="5" borderId="14" xfId="1" applyFont="1" applyFill="1" applyBorder="1" applyAlignment="1">
      <alignment vertical="center"/>
    </xf>
    <xf numFmtId="176" fontId="8" fillId="5" borderId="14" xfId="1" applyNumberFormat="1" applyFont="1" applyFill="1" applyBorder="1" applyAlignment="1">
      <alignment vertical="center"/>
    </xf>
    <xf numFmtId="0" fontId="8" fillId="0" borderId="7" xfId="1" applyFont="1" applyBorder="1" applyAlignment="1">
      <alignment vertical="center"/>
    </xf>
    <xf numFmtId="176" fontId="9" fillId="0" borderId="7" xfId="1" applyNumberFormat="1" applyFont="1" applyBorder="1" applyAlignment="1">
      <alignment vertical="center"/>
    </xf>
    <xf numFmtId="181" fontId="10" fillId="0" borderId="8" xfId="1" applyNumberFormat="1" applyFont="1" applyBorder="1" applyAlignment="1">
      <alignment vertical="center"/>
    </xf>
    <xf numFmtId="0" fontId="8" fillId="0" borderId="8" xfId="1" applyFont="1" applyBorder="1" applyAlignment="1">
      <alignment vertical="center"/>
    </xf>
    <xf numFmtId="176" fontId="9" fillId="0" borderId="8" xfId="1" applyNumberFormat="1" applyFont="1" applyBorder="1" applyAlignment="1">
      <alignment vertical="center"/>
    </xf>
    <xf numFmtId="181" fontId="9" fillId="0" borderId="8" xfId="1" applyNumberFormat="1" applyFont="1" applyBorder="1" applyAlignment="1">
      <alignment vertical="center"/>
    </xf>
    <xf numFmtId="0" fontId="8" fillId="0" borderId="9" xfId="1" applyFont="1" applyBorder="1" applyAlignment="1">
      <alignment vertical="center"/>
    </xf>
    <xf numFmtId="176" fontId="9" fillId="0" borderId="9" xfId="1" applyNumberFormat="1" applyFont="1" applyBorder="1" applyAlignment="1">
      <alignment vertical="center"/>
    </xf>
    <xf numFmtId="181" fontId="10" fillId="0" borderId="9" xfId="1" applyNumberFormat="1" applyFont="1" applyBorder="1" applyAlignment="1">
      <alignment vertical="center"/>
    </xf>
    <xf numFmtId="176" fontId="10" fillId="0" borderId="0" xfId="1" applyNumberFormat="1" applyFont="1" applyAlignment="1">
      <alignment vertical="center"/>
    </xf>
    <xf numFmtId="0" fontId="5" fillId="0" borderId="7" xfId="1" applyFont="1" applyBorder="1" applyAlignment="1">
      <alignment vertical="center" wrapText="1"/>
    </xf>
    <xf numFmtId="0" fontId="5" fillId="0" borderId="8" xfId="1" applyFont="1" applyBorder="1" applyAlignment="1">
      <alignment vertical="center" wrapText="1"/>
    </xf>
    <xf numFmtId="0" fontId="5" fillId="0" borderId="9" xfId="1" applyFont="1" applyBorder="1" applyAlignment="1">
      <alignment vertical="center" wrapText="1"/>
    </xf>
    <xf numFmtId="179" fontId="6" fillId="0" borderId="7" xfId="1" applyNumberFormat="1" applyFont="1" applyBorder="1" applyAlignment="1">
      <alignment vertical="center"/>
    </xf>
    <xf numFmtId="179" fontId="6" fillId="0" borderId="8" xfId="1" applyNumberFormat="1" applyFont="1" applyBorder="1" applyAlignment="1">
      <alignment vertical="center"/>
    </xf>
    <xf numFmtId="179" fontId="6" fillId="0" borderId="9" xfId="1" applyNumberFormat="1" applyFont="1" applyBorder="1" applyAlignment="1">
      <alignment vertical="center"/>
    </xf>
    <xf numFmtId="179" fontId="5" fillId="0" borderId="9" xfId="1" applyNumberFormat="1" applyFont="1" applyBorder="1" applyAlignment="1">
      <alignment vertical="center"/>
    </xf>
    <xf numFmtId="0" fontId="8" fillId="0" borderId="13" xfId="1" applyFont="1" applyBorder="1" applyAlignment="1">
      <alignment vertical="center"/>
    </xf>
    <xf numFmtId="179" fontId="4" fillId="0" borderId="13" xfId="1" applyNumberFormat="1" applyFont="1" applyBorder="1" applyAlignment="1">
      <alignment vertical="center"/>
    </xf>
    <xf numFmtId="179" fontId="8" fillId="0" borderId="13" xfId="1" applyNumberFormat="1" applyFont="1" applyBorder="1" applyAlignment="1">
      <alignment vertical="center"/>
    </xf>
    <xf numFmtId="177" fontId="12" fillId="0" borderId="8" xfId="1" applyNumberFormat="1" applyFont="1" applyBorder="1" applyAlignment="1">
      <alignment vertical="center"/>
    </xf>
    <xf numFmtId="177" fontId="10" fillId="4" borderId="8" xfId="1" applyNumberFormat="1" applyFont="1" applyFill="1" applyBorder="1" applyAlignment="1">
      <alignment vertical="center"/>
    </xf>
    <xf numFmtId="179" fontId="12" fillId="0" borderId="8" xfId="1" applyNumberFormat="1" applyFont="1" applyBorder="1" applyAlignment="1">
      <alignment vertical="center"/>
    </xf>
    <xf numFmtId="179" fontId="10" fillId="4" borderId="8" xfId="1" applyNumberFormat="1" applyFont="1" applyFill="1" applyBorder="1" applyAlignment="1">
      <alignment vertical="center"/>
    </xf>
    <xf numFmtId="177" fontId="12" fillId="0" borderId="9" xfId="1" applyNumberFormat="1" applyFont="1" applyBorder="1" applyAlignment="1">
      <alignment vertical="center"/>
    </xf>
    <xf numFmtId="0" fontId="9" fillId="4" borderId="7" xfId="1" applyFont="1" applyFill="1" applyBorder="1" applyAlignment="1">
      <alignment vertical="center"/>
    </xf>
    <xf numFmtId="0" fontId="10" fillId="4" borderId="8" xfId="1" applyFont="1" applyFill="1" applyBorder="1" applyAlignment="1">
      <alignment vertical="center"/>
    </xf>
    <xf numFmtId="178" fontId="10" fillId="4" borderId="8" xfId="1" applyNumberFormat="1" applyFont="1" applyFill="1" applyBorder="1" applyAlignment="1">
      <alignment vertical="center"/>
    </xf>
    <xf numFmtId="178" fontId="8" fillId="0" borderId="8" xfId="1" applyNumberFormat="1" applyFont="1" applyBorder="1" applyAlignment="1">
      <alignment vertical="center"/>
    </xf>
    <xf numFmtId="176" fontId="8" fillId="0" borderId="8" xfId="1" applyNumberFormat="1" applyFont="1" applyBorder="1" applyAlignment="1">
      <alignment vertical="center"/>
    </xf>
    <xf numFmtId="176" fontId="9" fillId="4" borderId="8" xfId="1" applyNumberFormat="1" applyFont="1" applyFill="1" applyBorder="1" applyAlignment="1">
      <alignment vertical="center"/>
    </xf>
    <xf numFmtId="177" fontId="8" fillId="0" borderId="9" xfId="1" applyNumberFormat="1" applyFont="1" applyBorder="1" applyAlignment="1">
      <alignment vertical="center"/>
    </xf>
    <xf numFmtId="176" fontId="4" fillId="5" borderId="11" xfId="1" applyNumberFormat="1" applyFont="1" applyFill="1" applyBorder="1" applyAlignment="1">
      <alignment horizontal="center" vertical="center" wrapText="1"/>
    </xf>
    <xf numFmtId="176" fontId="4" fillId="5" borderId="12" xfId="1" applyNumberFormat="1" applyFont="1" applyFill="1" applyBorder="1" applyAlignment="1">
      <alignment horizontal="center" vertical="center" wrapText="1"/>
    </xf>
    <xf numFmtId="179" fontId="9" fillId="4" borderId="13" xfId="1" applyNumberFormat="1" applyFont="1" applyFill="1" applyBorder="1" applyAlignment="1">
      <alignment vertical="center"/>
    </xf>
    <xf numFmtId="179" fontId="10" fillId="4" borderId="9" xfId="1" applyNumberFormat="1" applyFont="1" applyFill="1" applyBorder="1" applyAlignment="1">
      <alignment vertical="center"/>
    </xf>
    <xf numFmtId="179" fontId="10" fillId="4" borderId="7" xfId="1" applyNumberFormat="1" applyFont="1" applyFill="1" applyBorder="1" applyAlignment="1">
      <alignment vertical="center"/>
    </xf>
    <xf numFmtId="179" fontId="12" fillId="0" borderId="7" xfId="1" applyNumberFormat="1" applyFont="1" applyBorder="1" applyAlignment="1">
      <alignment vertical="center"/>
    </xf>
    <xf numFmtId="179" fontId="12" fillId="0" borderId="9" xfId="1" applyNumberFormat="1" applyFont="1" applyBorder="1" applyAlignment="1">
      <alignment vertical="center"/>
    </xf>
    <xf numFmtId="176" fontId="12" fillId="0" borderId="7" xfId="1" applyNumberFormat="1" applyFont="1" applyBorder="1" applyAlignment="1">
      <alignment vertical="center"/>
    </xf>
    <xf numFmtId="176" fontId="12" fillId="0" borderId="8" xfId="1" applyNumberFormat="1" applyFont="1" applyBorder="1" applyAlignment="1">
      <alignment vertical="center"/>
    </xf>
    <xf numFmtId="176" fontId="12" fillId="0" borderId="9" xfId="1" applyNumberFormat="1" applyFont="1" applyBorder="1" applyAlignment="1">
      <alignment vertical="center"/>
    </xf>
    <xf numFmtId="176" fontId="10" fillId="4" borderId="7" xfId="1" applyNumberFormat="1" applyFont="1" applyFill="1" applyBorder="1" applyAlignment="1">
      <alignment vertical="center"/>
    </xf>
    <xf numFmtId="176" fontId="10" fillId="4" borderId="8" xfId="1" applyNumberFormat="1" applyFont="1" applyFill="1" applyBorder="1" applyAlignment="1">
      <alignment vertical="center"/>
    </xf>
    <xf numFmtId="178" fontId="10" fillId="4" borderId="7" xfId="1" applyNumberFormat="1" applyFont="1" applyFill="1" applyBorder="1" applyAlignment="1">
      <alignment vertical="center"/>
    </xf>
    <xf numFmtId="176" fontId="10" fillId="4" borderId="9" xfId="1" applyNumberFormat="1" applyFont="1" applyFill="1" applyBorder="1" applyAlignment="1">
      <alignment vertical="center"/>
    </xf>
    <xf numFmtId="178" fontId="10" fillId="4" borderId="9" xfId="1" applyNumberFormat="1" applyFont="1" applyFill="1" applyBorder="1" applyAlignment="1">
      <alignment vertical="center"/>
    </xf>
    <xf numFmtId="180" fontId="10" fillId="4" borderId="7" xfId="1" applyNumberFormat="1" applyFont="1" applyFill="1" applyBorder="1" applyAlignment="1">
      <alignment vertical="center"/>
    </xf>
    <xf numFmtId="180" fontId="10" fillId="4" borderId="8" xfId="1" applyNumberFormat="1" applyFont="1" applyFill="1" applyBorder="1" applyAlignment="1">
      <alignment vertical="center"/>
    </xf>
    <xf numFmtId="180" fontId="10" fillId="4" borderId="9" xfId="1" applyNumberFormat="1" applyFont="1" applyFill="1" applyBorder="1" applyAlignment="1">
      <alignment vertical="center"/>
    </xf>
    <xf numFmtId="0" fontId="10" fillId="4" borderId="7" xfId="1" applyFont="1" applyFill="1" applyBorder="1" applyAlignment="1">
      <alignment vertical="center"/>
    </xf>
    <xf numFmtId="0" fontId="10" fillId="4" borderId="9" xfId="1" applyFont="1" applyFill="1" applyBorder="1" applyAlignment="1">
      <alignment vertical="center"/>
    </xf>
    <xf numFmtId="176" fontId="9" fillId="4" borderId="7" xfId="1" applyNumberFormat="1" applyFont="1" applyFill="1" applyBorder="1" applyAlignment="1">
      <alignment vertical="center"/>
    </xf>
    <xf numFmtId="181" fontId="10" fillId="4" borderId="8" xfId="1" applyNumberFormat="1" applyFont="1" applyFill="1" applyBorder="1" applyAlignment="1">
      <alignment vertical="center"/>
    </xf>
    <xf numFmtId="181" fontId="9" fillId="4" borderId="8" xfId="1" applyNumberFormat="1" applyFont="1" applyFill="1" applyBorder="1" applyAlignment="1">
      <alignment vertical="center"/>
    </xf>
    <xf numFmtId="176" fontId="9" fillId="4" borderId="9" xfId="1" applyNumberFormat="1" applyFont="1" applyFill="1" applyBorder="1" applyAlignment="1">
      <alignment vertical="center"/>
    </xf>
    <xf numFmtId="181" fontId="10" fillId="4" borderId="9" xfId="1" applyNumberFormat="1" applyFont="1" applyFill="1" applyBorder="1" applyAlignment="1">
      <alignment vertical="center"/>
    </xf>
    <xf numFmtId="177" fontId="10" fillId="4" borderId="7" xfId="1" applyNumberFormat="1" applyFont="1" applyFill="1" applyBorder="1" applyAlignment="1">
      <alignment vertical="center"/>
    </xf>
    <xf numFmtId="177" fontId="10" fillId="4" borderId="9" xfId="1" applyNumberFormat="1" applyFont="1" applyFill="1" applyBorder="1" applyAlignment="1">
      <alignment vertical="center"/>
    </xf>
    <xf numFmtId="178" fontId="12" fillId="0" borderId="8" xfId="1" applyNumberFormat="1" applyFont="1" applyBorder="1" applyAlignment="1">
      <alignment vertical="center"/>
    </xf>
    <xf numFmtId="0" fontId="8" fillId="6" borderId="13" xfId="1" applyFont="1" applyFill="1" applyBorder="1" applyAlignment="1">
      <alignment vertical="center"/>
    </xf>
    <xf numFmtId="179" fontId="4" fillId="6" borderId="13" xfId="1" applyNumberFormat="1" applyFont="1" applyFill="1" applyBorder="1" applyAlignment="1">
      <alignment vertical="center"/>
    </xf>
    <xf numFmtId="179" fontId="8" fillId="6" borderId="13" xfId="1" applyNumberFormat="1" applyFont="1" applyFill="1" applyBorder="1" applyAlignment="1">
      <alignment vertical="center"/>
    </xf>
    <xf numFmtId="0" fontId="5" fillId="6" borderId="9" xfId="1" applyFont="1" applyFill="1" applyBorder="1" applyAlignment="1">
      <alignment vertical="center"/>
    </xf>
    <xf numFmtId="177" fontId="12" fillId="6" borderId="9" xfId="1" applyNumberFormat="1" applyFont="1" applyFill="1" applyBorder="1" applyAlignment="1">
      <alignment vertical="center"/>
    </xf>
    <xf numFmtId="177" fontId="5" fillId="6" borderId="9" xfId="1" applyNumberFormat="1" applyFont="1" applyFill="1" applyBorder="1" applyAlignment="1">
      <alignment vertical="center"/>
    </xf>
    <xf numFmtId="178" fontId="9" fillId="4" borderId="7" xfId="1" applyNumberFormat="1" applyFont="1" applyFill="1" applyBorder="1" applyAlignment="1">
      <alignment vertical="center"/>
    </xf>
    <xf numFmtId="177" fontId="9" fillId="4" borderId="7" xfId="1" applyNumberFormat="1" applyFont="1" applyFill="1" applyBorder="1" applyAlignment="1">
      <alignment vertical="center"/>
    </xf>
    <xf numFmtId="0" fontId="4" fillId="5" borderId="18" xfId="1" applyFont="1" applyFill="1" applyBorder="1" applyAlignment="1">
      <alignment horizontal="center" vertical="center" wrapText="1"/>
    </xf>
    <xf numFmtId="0" fontId="4" fillId="5" borderId="20" xfId="1" applyFont="1" applyFill="1" applyBorder="1" applyAlignment="1">
      <alignment horizontal="center" vertical="center" wrapText="1"/>
    </xf>
    <xf numFmtId="0" fontId="4" fillId="5" borderId="22" xfId="1" applyFont="1" applyFill="1" applyBorder="1" applyAlignment="1">
      <alignment horizontal="center" vertical="center" wrapText="1"/>
    </xf>
    <xf numFmtId="0" fontId="9" fillId="4" borderId="19" xfId="1" applyFont="1" applyFill="1" applyBorder="1" applyAlignment="1">
      <alignment horizontal="right" vertical="center"/>
    </xf>
    <xf numFmtId="176" fontId="6" fillId="0" borderId="21" xfId="1" applyNumberFormat="1" applyFont="1" applyBorder="1" applyAlignment="1">
      <alignment horizontal="right" vertical="center"/>
    </xf>
    <xf numFmtId="0" fontId="10" fillId="4" borderId="21" xfId="1" applyFont="1" applyFill="1" applyBorder="1" applyAlignment="1">
      <alignment horizontal="right" vertical="center"/>
    </xf>
    <xf numFmtId="178" fontId="12" fillId="0" borderId="21" xfId="1" applyNumberFormat="1" applyFont="1" applyBorder="1" applyAlignment="1">
      <alignment horizontal="right" vertical="center"/>
    </xf>
    <xf numFmtId="177" fontId="10" fillId="4" borderId="23" xfId="1" applyNumberFormat="1" applyFont="1" applyFill="1" applyBorder="1" applyAlignment="1">
      <alignment horizontal="right" vertical="center"/>
    </xf>
    <xf numFmtId="178" fontId="5" fillId="0" borderId="7" xfId="1" applyNumberFormat="1" applyFont="1" applyBorder="1" applyAlignment="1">
      <alignment horizontal="right" vertical="center"/>
    </xf>
    <xf numFmtId="178" fontId="5" fillId="0" borderId="8" xfId="1" applyNumberFormat="1" applyFont="1" applyBorder="1" applyAlignment="1">
      <alignment horizontal="right" vertical="center"/>
    </xf>
    <xf numFmtId="178" fontId="10" fillId="4" borderId="8" xfId="1" applyNumberFormat="1" applyFont="1" applyFill="1" applyBorder="1" applyAlignment="1">
      <alignment horizontal="right" vertical="center"/>
    </xf>
    <xf numFmtId="178" fontId="8" fillId="0" borderId="8" xfId="1" applyNumberFormat="1" applyFont="1" applyBorder="1" applyAlignment="1">
      <alignment horizontal="right" vertical="center"/>
    </xf>
    <xf numFmtId="176" fontId="8" fillId="0" borderId="8" xfId="1" applyNumberFormat="1" applyFont="1" applyBorder="1" applyAlignment="1">
      <alignment horizontal="right" vertical="center"/>
    </xf>
    <xf numFmtId="176" fontId="9" fillId="4" borderId="8" xfId="1" applyNumberFormat="1" applyFont="1" applyFill="1" applyBorder="1" applyAlignment="1">
      <alignment horizontal="right" vertical="center"/>
    </xf>
    <xf numFmtId="177" fontId="8" fillId="0" borderId="9" xfId="1" applyNumberFormat="1" applyFont="1" applyBorder="1" applyAlignment="1">
      <alignment horizontal="right" vertical="center"/>
    </xf>
    <xf numFmtId="0" fontId="7" fillId="2" borderId="0" xfId="1" applyFont="1" applyFill="1" applyAlignment="1">
      <alignment vertical="center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/>
    </xf>
    <xf numFmtId="0" fontId="3" fillId="4" borderId="0" xfId="1" applyFont="1" applyFill="1" applyAlignment="1">
      <alignment horizontal="left" vertical="center"/>
    </xf>
    <xf numFmtId="0" fontId="2" fillId="0" borderId="0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2" borderId="2" xfId="1" applyFont="1" applyFill="1" applyBorder="1" applyAlignment="1">
      <alignment vertical="center"/>
    </xf>
    <xf numFmtId="0" fontId="1" fillId="2" borderId="3" xfId="1" applyFont="1" applyFill="1" applyBorder="1" applyAlignment="1">
      <alignment vertical="center"/>
    </xf>
    <xf numFmtId="0" fontId="5" fillId="3" borderId="0" xfId="1" applyFont="1" applyFill="1" applyAlignment="1">
      <alignment vertical="center" wrapText="1"/>
    </xf>
    <xf numFmtId="0" fontId="5" fillId="0" borderId="0" xfId="1" applyFont="1" applyAlignment="1">
      <alignment vertical="center" wrapText="1"/>
    </xf>
    <xf numFmtId="0" fontId="5" fillId="4" borderId="0" xfId="1" applyFont="1" applyFill="1" applyAlignment="1">
      <alignment vertical="center" wrapText="1"/>
    </xf>
    <xf numFmtId="176" fontId="9" fillId="2" borderId="2" xfId="1" applyNumberFormat="1" applyFont="1" applyFill="1" applyBorder="1" applyAlignment="1">
      <alignment vertical="center"/>
    </xf>
    <xf numFmtId="176" fontId="9" fillId="2" borderId="3" xfId="1" applyNumberFormat="1" applyFont="1" applyFill="1" applyBorder="1" applyAlignment="1">
      <alignment vertical="center"/>
    </xf>
    <xf numFmtId="0" fontId="11" fillId="4" borderId="0" xfId="1" applyFont="1" applyFill="1" applyAlignment="1">
      <alignment vertical="center" wrapText="1"/>
    </xf>
    <xf numFmtId="0" fontId="1" fillId="2" borderId="16" xfId="1" applyFont="1" applyFill="1" applyBorder="1" applyAlignment="1">
      <alignment vertical="center"/>
    </xf>
    <xf numFmtId="0" fontId="1" fillId="2" borderId="17" xfId="1" applyFont="1" applyFill="1" applyBorder="1" applyAlignment="1">
      <alignment vertical="center"/>
    </xf>
    <xf numFmtId="0" fontId="4" fillId="5" borderId="15" xfId="1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6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381000</xdr:colOff>
      <xdr:row>43</xdr:row>
      <xdr:rowOff>83820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58B56DC0-2DA2-4321-AC37-48786C7E92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304800</xdr:colOff>
      <xdr:row>33</xdr:row>
      <xdr:rowOff>68580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A3E12558-FEB3-453A-102A-EC4C3312F23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304800</xdr:colOff>
      <xdr:row>33</xdr:row>
      <xdr:rowOff>68580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C1D007C2-4023-BBAA-8EE8-84AD6E3523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304800</xdr:colOff>
      <xdr:row>33</xdr:row>
      <xdr:rowOff>68580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F6A2F8EC-1B3E-DE04-B87F-026AEA7C7B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381000</xdr:colOff>
      <xdr:row>43</xdr:row>
      <xdr:rowOff>83820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F266CE7C-10AE-E3EC-B2D8-DDB223489DA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381000</xdr:colOff>
      <xdr:row>43</xdr:row>
      <xdr:rowOff>83820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721A4198-99F5-ADF5-7DCA-D7ECE3D78B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381000</xdr:colOff>
      <xdr:row>43</xdr:row>
      <xdr:rowOff>83820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84B26E2-8D40-CFCD-BF81-C131DB986F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685800</xdr:colOff>
      <xdr:row>43</xdr:row>
      <xdr:rowOff>83820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18FD4D01-91BC-3F7A-F053-1C709AD737B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685800</xdr:colOff>
      <xdr:row>43</xdr:row>
      <xdr:rowOff>83820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CCE882B-FFDB-F1AE-4294-99B37EBE494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685800</xdr:colOff>
      <xdr:row>43</xdr:row>
      <xdr:rowOff>83820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E7F3F56D-760D-72A1-9E58-92B31E9FF3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228600</xdr:colOff>
      <xdr:row>43</xdr:row>
      <xdr:rowOff>83820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DFBDD898-D693-EF27-917F-4D747DB3D36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228600</xdr:colOff>
      <xdr:row>43</xdr:row>
      <xdr:rowOff>83820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C140123E-197B-5709-8A6E-457DA6D0CA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228600</xdr:colOff>
      <xdr:row>43</xdr:row>
      <xdr:rowOff>83820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E5B37F7-729F-90C7-1C8B-8798D32FA7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609600</xdr:colOff>
      <xdr:row>43</xdr:row>
      <xdr:rowOff>83820</xdr:rowOff>
    </xdr:to>
    <xdr:sp macro="" textlink="">
      <xdr:nvSpPr>
        <xdr:cNvPr id="5122" name="Text Box 2" hidden="1">
          <a:extLst>
            <a:ext uri="{FF2B5EF4-FFF2-40B4-BE49-F238E27FC236}">
              <a16:creationId xmlns:a16="http://schemas.microsoft.com/office/drawing/2014/main" id="{D5DAABA6-879F-EFD3-CE59-2A5F1CC8AA8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609600</xdr:colOff>
      <xdr:row>43</xdr:row>
      <xdr:rowOff>83820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9D98B448-C361-3A3F-E31C-70C6BA6456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609600</xdr:colOff>
      <xdr:row>43</xdr:row>
      <xdr:rowOff>83820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7D2398C-0F6A-92C4-4EE5-8B8DB935DB0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228600</xdr:colOff>
      <xdr:row>43</xdr:row>
      <xdr:rowOff>83820</xdr:rowOff>
    </xdr:to>
    <xdr:sp macro="" textlink="">
      <xdr:nvSpPr>
        <xdr:cNvPr id="7171" name="Text Box 3" hidden="1">
          <a:extLst>
            <a:ext uri="{FF2B5EF4-FFF2-40B4-BE49-F238E27FC236}">
              <a16:creationId xmlns:a16="http://schemas.microsoft.com/office/drawing/2014/main" id="{3540BDF3-7CA8-9195-246F-42CA4828FEA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228600</xdr:colOff>
      <xdr:row>43</xdr:row>
      <xdr:rowOff>83820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660BACFB-6240-0CD8-0B73-8B8D30B675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228600</xdr:colOff>
      <xdr:row>43</xdr:row>
      <xdr:rowOff>83820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D1F84E6E-41AF-0CA8-12AA-AD2FF5AE13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762000</xdr:colOff>
      <xdr:row>43</xdr:row>
      <xdr:rowOff>83820</xdr:rowOff>
    </xdr:to>
    <xdr:sp macro="" textlink="">
      <xdr:nvSpPr>
        <xdr:cNvPr id="6146" name="Text Box 2" hidden="1">
          <a:extLst>
            <a:ext uri="{FF2B5EF4-FFF2-40B4-BE49-F238E27FC236}">
              <a16:creationId xmlns:a16="http://schemas.microsoft.com/office/drawing/2014/main" id="{6EB684FE-46F1-39C2-E2DF-6536AB6C81C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762000</xdr:colOff>
      <xdr:row>43</xdr:row>
      <xdr:rowOff>83820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F75D49C8-A927-6C49-FD02-ADC197C214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762000</xdr:colOff>
      <xdr:row>43</xdr:row>
      <xdr:rowOff>83820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A7ED9EB-A806-D3C3-E326-103A7BD432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3200400</xdr:colOff>
      <xdr:row>26</xdr:row>
      <xdr:rowOff>83820</xdr:rowOff>
    </xdr:to>
    <xdr:sp macro="" textlink="">
      <xdr:nvSpPr>
        <xdr:cNvPr id="8194" name="Text Box 2" hidden="1">
          <a:extLst>
            <a:ext uri="{FF2B5EF4-FFF2-40B4-BE49-F238E27FC236}">
              <a16:creationId xmlns:a16="http://schemas.microsoft.com/office/drawing/2014/main" id="{ACD1D1E2-7957-7B04-4630-A38FD6738D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3200400</xdr:colOff>
      <xdr:row>26</xdr:row>
      <xdr:rowOff>83820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A20DA12-8804-6EB8-C4A1-E1BB669A03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3200400</xdr:colOff>
      <xdr:row>26</xdr:row>
      <xdr:rowOff>83820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7F4789A5-125C-7879-2C17-FED1599BE5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685800</xdr:colOff>
      <xdr:row>40</xdr:row>
      <xdr:rowOff>83820</xdr:rowOff>
    </xdr:to>
    <xdr:sp macro="" textlink="">
      <xdr:nvSpPr>
        <xdr:cNvPr id="9222" name="Text Box 6" hidden="1">
          <a:extLst>
            <a:ext uri="{FF2B5EF4-FFF2-40B4-BE49-F238E27FC236}">
              <a16:creationId xmlns:a16="http://schemas.microsoft.com/office/drawing/2014/main" id="{380235F8-9E96-2F5D-2BE3-8B57F23184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685800</xdr:colOff>
      <xdr:row>40</xdr:row>
      <xdr:rowOff>83820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F8DD3F49-0442-8BFF-1A31-DBD09F42D1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685800</xdr:colOff>
      <xdr:row>40</xdr:row>
      <xdr:rowOff>83820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A4F0EFBF-DFAB-3F91-1BD6-027E2B9D1A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762000</xdr:colOff>
      <xdr:row>43</xdr:row>
      <xdr:rowOff>83820</xdr:rowOff>
    </xdr:to>
    <xdr:sp macro="" textlink="">
      <xdr:nvSpPr>
        <xdr:cNvPr id="10243" name="Text Box 3" hidden="1">
          <a:extLst>
            <a:ext uri="{FF2B5EF4-FFF2-40B4-BE49-F238E27FC236}">
              <a16:creationId xmlns:a16="http://schemas.microsoft.com/office/drawing/2014/main" id="{E265DA77-9153-89BF-FC69-6B16BF605CD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43</xdr:row>
      <xdr:rowOff>83820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57448320-7DFB-A251-C7E8-0EAD7A8F86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43</xdr:row>
      <xdr:rowOff>83820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880D7DAB-AC38-68C5-88F4-6947920145D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4A668B24-47E9-4AD6-9B6C-0F6A88AE6BF1}" userId="" providerId="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6-07-20T15:03:42.82" personId="{4A668B24-47E9-4AD6-9B6C-0F6A88AE6BF1}" id="{A6D07263-D103-4C47-A6C2-5440E65C3B58}">
    <text>Source: 2026-04-28_Samsung_Securities.pdf, p.2, 요약 손익계산서 및 애플리케이션별 매출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0" dT="2026-07-20T15:03:42.86" personId="{4A668B24-47E9-4AD6-9B6C-0F6A88AE6BF1}" id="{46E00D49-ED28-4BF4-AFE1-CD7D50307F70}">
    <text>Source: 2026-04-28_Samsung_Securities.pdf, p.1, Target P/E에 WinWay 대비 40% 할인율 적용</text>
  </threadedComment>
  <threadedComment ref="C22" dT="2026-07-20T15:03:42.86" personId="{4A668B24-47E9-4AD6-9B6C-0F6A88AE6BF1}" id="{81E87A09-DC21-4889-90C3-A038A7DD367B}">
    <text>Source: 2026-04-28_Samsung_Securities.pdf, p.1, WinWay 대비 40% 할인 및 목표주가 300,000원에서 역산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4" dT="2026-07-20T15:03:42.82" personId="{4A668B24-47E9-4AD6-9B6C-0F6A88AE6BF1}" id="{EA747BB4-0EBD-DC94-C284-57F62BD77BF9}">
    <text>Source: 2026-04-28_Samsung_Securities.pdf, p.1, 1Q26 review 및 전망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5" dT="2026-07-20T15:03:42.82" personId="{4A668B24-47E9-4AD6-9B6C-0F6A88AE6BF1}" id="{CA8E8AEB-B668-A05A-AB8E-F222DC9B700F}">
    <text>Source: 2026-04-28_Samsung_Securities.pdf, p.2, 요약 손익계산서 및 애플리케이션별 매출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5" dT="2026-07-20T15:03:42.83" personId="{4A668B24-47E9-4AD6-9B6C-0F6A88AE6BF1}" id="{81F43F12-A5AD-4FE3-86C2-AFCB2BCEFD89}">
    <text>Source: 2026-04-28_Samsung_Securities.pdf, p.1, 주요 전망치 변화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5" dT="2026-07-20T15:01:21.53" personId="{4A668B24-47E9-4AD6-9B6C-0F6A88AE6BF1}" id="{7C0ED242-2B47-C039-2BA4-F92CF5B14771}">
    <text>Source: 2026-04-28_Samsung_Securities.pdf, p.1, 목표주가 300,000원 및 WinWay 대비 40% 할인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5" dT="2026-07-20T15:03:42.83" personId="{4A668B24-47E9-4AD6-9B6C-0F6A88AE6BF1}" id="{7F714949-A273-C1B7-D9DC-A237538A03D3}">
    <text>Source: ISC_095340_Peer_PER_Valuation.xlsx, p.1, 11_Comps_Web 국내 피어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5" dT="2026-07-20T15:03:42.84" personId="{4A668B24-47E9-4AD6-9B6C-0F6A88AE6BF1}" id="{26A21099-781C-933A-12A8-64FE2427BECD}">
    <text>Source: 2026-04-28_Samsung_Securities.pdf, p.3, 포괄손익계산서·현금흐름표</text>
  </threadedComment>
  <threadedComment ref="H5" dT="2026-07-20T15:03:42.84" personId="{4A668B24-47E9-4AD6-9B6C-0F6A88AE6BF1}" id="{5A1921B0-C628-8672-9129-E8165F27DFAA}">
    <text>Source: 2026-04-28_Samsung_Securities.pdf, p.3, 재무상태표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5" dT="2026-07-20T15:03:42.84" personId="{4A668B24-47E9-4AD6-9B6C-0F6A88AE6BF1}" id="{906076B6-4365-F9F6-B94C-D76C6F8B0B70}">
    <text>Source: ISC_095340_Peer_PER_Valuation.xlsx, p.1, 11_Comps_Web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6" dT="2026-07-20T15:03:42.84" personId="{4A668B24-47E9-4AD6-9B6C-0F6A88AE6BF1}" id="{8450E381-3A45-7963-8F6B-4591B82B4987}">
    <text>Source: ISC_095340_Peer_PER_Valuation.xlsx, p.1, 패키지 전체 출처 목록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C16" dT="2026-07-20T15:03:42.85" personId="{4A668B24-47E9-4AD6-9B6C-0F6A88AE6BF1}" id="{FCAAC1F8-9675-B5DD-9F63-FFCE438E6BBD}">
    <text>Source: 2026-04-28_Samsung_Securities.pdf, p.2, 2026E·2027E 매출 전망 기반 성장률</text>
  </threadedComment>
  <threadedComment ref="C19" dT="2026-07-20T15:03:42.85" personId="{4A668B24-47E9-4AD6-9B6C-0F6A88AE6BF1}" id="{2B41A3A0-61D1-2439-029C-CC5E7C19CD42}">
    <text>Source: 2026-04-28_Samsung_Securities.pdf, p.2, 요약 손익계산서 기반 원가율</text>
  </threadedComment>
  <threadedComment ref="C24" dT="2026-07-20T15:03:42.85" personId="{4A668B24-47E9-4AD6-9B6C-0F6A88AE6BF1}" id="{53278169-BCC0-53AE-6CF4-909D1C8077BE}">
    <text>Source: 2026-04-28_Samsung_Securities.pdf, p.2, 요약 손익계산서 기반 판관비율</text>
  </threadedComment>
  <threadedComment ref="C33" dT="2026-07-20T15:03:42.85" personId="{4A668B24-47E9-4AD6-9B6C-0F6A88AE6BF1}" id="{A1591D9B-0E7C-8228-2DA0-2B05AF8B7ACD}">
    <text>Source: 2026-04-28_Samsung_Securities.pdf, p.2, 지배주주순이익 기준 실효 누수율</text>
  </threadedComment>
  <threadedComment ref="C35" dT="2026-07-20T15:03:42.85" personId="{4A668B24-47E9-4AD6-9B6C-0F6A88AE6BF1}" id="{7CA6A5D0-FFE1-17F3-E6CF-9058C5492D25}">
    <text>Source: 2026-04-28_Samsung_Securities.pdf, p.2, EPS와 지배주주순이익으로 역산한 희석주식수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C11" dT="2026-07-20T15:03:42.85" personId="{4A668B24-47E9-4AD6-9B6C-0F6A88AE6BF1}" id="{A9C5E0AA-C32D-42C9-8935-BC8F9924D6D4}">
    <text>Source: 2026-04-28_Samsung_Securities.pdf, p.2, 2026E·2027E 매출 전망 기반 성장률</text>
  </threadedComment>
  <threadedComment ref="C13" dT="2026-07-20T15:03:42.85" personId="{4A668B24-47E9-4AD6-9B6C-0F6A88AE6BF1}" id="{A1804305-1084-4CE3-AE05-6F6F569EB945}">
    <text>Source: 2026-04-28_Samsung_Securities.pdf, p.2, 요약 손익계산서 기반 원가율</text>
  </threadedComment>
  <threadedComment ref="C17" dT="2026-07-20T15:03:42.85" personId="{4A668B24-47E9-4AD6-9B6C-0F6A88AE6BF1}" id="{2FB62665-133E-4ED8-816C-23D996CD7704}">
    <text>Source: 2026-04-28_Samsung_Securities.pdf, p.2, 요약 손익계산서 기반 판관비율</text>
  </threadedComment>
  <threadedComment ref="C24" dT="2026-07-20T15:03:42.85" personId="{4A668B24-47E9-4AD6-9B6C-0F6A88AE6BF1}" id="{63F17028-D15F-4FAA-9E42-B912F0117D61}">
    <text>Source: 2026-04-28_Samsung_Securities.pdf, p.2, 지배주주순이익 기준 실효 누수율</text>
  </threadedComment>
  <threadedComment ref="C25" dT="2026-07-20T15:03:42.85" personId="{4A668B24-47E9-4AD6-9B6C-0F6A88AE6BF1}" id="{1BCA3165-BAAC-4E79-B86E-52C8FE4AF91E}">
    <text>Source: 2026-04-28_Samsung_Securities.pdf, p.2, EPS와 지배주주순이익으로 역산한 희석주식수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B10" dT="2026-07-20T15:03:42.86" personId="{4A668B24-47E9-4AD6-9B6C-0F6A88AE6BF1}" id="{0FBCA02B-3C46-E89E-39EB-E9E10838699A}">
    <text>Source: 2026-04-28_Samsung_Securities.pdf, p.1, Target P/E에 WinWay 대비 40% 할인율 적용</text>
  </threadedComment>
  <threadedComment ref="D22" dT="2026-07-20T15:03:42.86" personId="{4A668B24-47E9-4AD6-9B6C-0F6A88AE6BF1}" id="{4265B4BA-60BF-D242-D232-3B336E96D20E}">
    <text>Source: 2026-04-28_Samsung_Securities.pdf, p.1, WinWay 대비 40% 할인 및 목표주가 300,000원에서 역산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9.xml"/><Relationship Id="rId4" Type="http://schemas.microsoft.com/office/2017/10/relationships/threadedComment" Target="../threadedComments/threadedComment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0.xml"/><Relationship Id="rId4" Type="http://schemas.microsoft.com/office/2017/10/relationships/threadedComment" Target="../threadedComments/threadedComment11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1.xml"/><Relationship Id="rId4" Type="http://schemas.microsoft.com/office/2017/10/relationships/threadedComment" Target="../threadedComments/threadedComment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B2A4D-296B-4337-BE14-40E02912B890}">
  <dimension ref="A1:L29"/>
  <sheetViews>
    <sheetView showGridLines="0" tabSelected="1" workbookViewId="0">
      <selection activeCell="R18" sqref="R18"/>
    </sheetView>
  </sheetViews>
  <sheetFormatPr defaultRowHeight="13.8"/>
  <cols>
    <col min="1" max="1" width="23" customWidth="1"/>
    <col min="2" max="12" width="12" customWidth="1"/>
  </cols>
  <sheetData>
    <row r="1" spans="1:12">
      <c r="A1" s="123" t="s">
        <v>29</v>
      </c>
      <c r="B1" s="124" t="s">
        <v>29</v>
      </c>
      <c r="C1" s="124" t="s">
        <v>29</v>
      </c>
      <c r="D1" s="124" t="s">
        <v>29</v>
      </c>
      <c r="E1" s="124" t="s">
        <v>29</v>
      </c>
      <c r="F1" s="124" t="s">
        <v>29</v>
      </c>
      <c r="G1" s="124" t="s">
        <v>29</v>
      </c>
      <c r="H1" s="124" t="s">
        <v>29</v>
      </c>
      <c r="I1" s="124" t="s">
        <v>29</v>
      </c>
      <c r="J1" s="124" t="s">
        <v>29</v>
      </c>
      <c r="K1" s="124" t="s">
        <v>29</v>
      </c>
      <c r="L1" s="124" t="s">
        <v>29</v>
      </c>
    </row>
    <row r="2" spans="1:12">
      <c r="A2" s="124" t="s">
        <v>29</v>
      </c>
      <c r="B2" s="124" t="s">
        <v>29</v>
      </c>
      <c r="C2" s="124" t="s">
        <v>29</v>
      </c>
      <c r="D2" s="124" t="s">
        <v>29</v>
      </c>
      <c r="E2" s="124" t="s">
        <v>29</v>
      </c>
      <c r="F2" s="124" t="s">
        <v>29</v>
      </c>
      <c r="G2" s="124" t="s">
        <v>29</v>
      </c>
      <c r="H2" s="124" t="s">
        <v>29</v>
      </c>
      <c r="I2" s="124" t="s">
        <v>29</v>
      </c>
      <c r="J2" s="124" t="s">
        <v>29</v>
      </c>
      <c r="K2" s="124" t="s">
        <v>29</v>
      </c>
      <c r="L2" s="124" t="s">
        <v>29</v>
      </c>
    </row>
    <row r="3" spans="1:12">
      <c r="A3" s="125" t="s">
        <v>1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</row>
    <row r="4" spans="1:12">
      <c r="A4" s="126" t="s">
        <v>2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</row>
    <row r="5" spans="1:12">
      <c r="A5" s="13" t="s">
        <v>30</v>
      </c>
      <c r="B5" s="14" t="s">
        <v>31</v>
      </c>
      <c r="C5" s="14" t="s">
        <v>32</v>
      </c>
      <c r="D5" s="14" t="s">
        <v>33</v>
      </c>
      <c r="E5" s="14" t="s">
        <v>34</v>
      </c>
      <c r="F5" s="14" t="s">
        <v>35</v>
      </c>
      <c r="G5" s="14" t="s">
        <v>36</v>
      </c>
      <c r="H5" s="14" t="s">
        <v>37</v>
      </c>
      <c r="I5" s="14" t="s">
        <v>38</v>
      </c>
      <c r="J5" s="14" t="s">
        <v>39</v>
      </c>
      <c r="K5" s="14" t="s">
        <v>40</v>
      </c>
      <c r="L5" s="15" t="s">
        <v>41</v>
      </c>
    </row>
    <row r="6" spans="1:12">
      <c r="A6" s="16" t="s">
        <v>42</v>
      </c>
      <c r="B6" s="17">
        <v>31.7</v>
      </c>
      <c r="C6" s="17">
        <v>51.7</v>
      </c>
      <c r="D6" s="17">
        <v>64.5</v>
      </c>
      <c r="E6" s="17">
        <v>72.3</v>
      </c>
      <c r="F6" s="17">
        <v>68.3</v>
      </c>
      <c r="G6" s="74">
        <v>72.7</v>
      </c>
      <c r="H6" s="74">
        <v>84.3</v>
      </c>
      <c r="I6" s="74">
        <v>88.9</v>
      </c>
      <c r="J6" s="17">
        <v>220.2</v>
      </c>
      <c r="K6" s="74">
        <v>314.2</v>
      </c>
      <c r="L6" s="74">
        <v>402.5</v>
      </c>
    </row>
    <row r="7" spans="1:12">
      <c r="A7" s="18" t="s">
        <v>43</v>
      </c>
      <c r="B7" s="19">
        <v>16.899999999999999</v>
      </c>
      <c r="C7" s="19">
        <v>33.1</v>
      </c>
      <c r="D7" s="19">
        <v>44</v>
      </c>
      <c r="E7" s="19">
        <v>54.4</v>
      </c>
      <c r="F7" s="19">
        <v>54.2</v>
      </c>
      <c r="G7" s="63">
        <v>57.5</v>
      </c>
      <c r="H7" s="63">
        <v>68.2</v>
      </c>
      <c r="I7" s="63">
        <v>75.2</v>
      </c>
      <c r="J7" s="19">
        <v>148.4</v>
      </c>
      <c r="K7" s="63">
        <v>255</v>
      </c>
      <c r="L7" s="63">
        <v>336.1</v>
      </c>
    </row>
    <row r="8" spans="1:12">
      <c r="A8" s="18" t="s">
        <v>44</v>
      </c>
      <c r="B8" s="19">
        <v>9.5</v>
      </c>
      <c r="C8" s="19">
        <v>14</v>
      </c>
      <c r="D8" s="19">
        <v>13.5</v>
      </c>
      <c r="E8" s="19">
        <v>12</v>
      </c>
      <c r="F8" s="19">
        <v>11</v>
      </c>
      <c r="G8" s="63">
        <v>11.6</v>
      </c>
      <c r="H8" s="63">
        <v>11</v>
      </c>
      <c r="I8" s="63">
        <v>8.8000000000000007</v>
      </c>
      <c r="J8" s="19">
        <v>49</v>
      </c>
      <c r="K8" s="63">
        <v>42.3</v>
      </c>
      <c r="L8" s="63">
        <v>46.2</v>
      </c>
    </row>
    <row r="9" spans="1:12">
      <c r="A9" s="18" t="s">
        <v>45</v>
      </c>
      <c r="B9" s="19">
        <v>3.2</v>
      </c>
      <c r="C9" s="19">
        <v>3</v>
      </c>
      <c r="D9" s="19">
        <v>4.5</v>
      </c>
      <c r="E9" s="19">
        <v>3</v>
      </c>
      <c r="F9" s="19">
        <v>1.6</v>
      </c>
      <c r="G9" s="63">
        <v>1.6</v>
      </c>
      <c r="H9" s="63">
        <v>2.2000000000000002</v>
      </c>
      <c r="I9" s="63">
        <v>1.7</v>
      </c>
      <c r="J9" s="19">
        <v>13.7</v>
      </c>
      <c r="K9" s="63">
        <v>7.1</v>
      </c>
      <c r="L9" s="63">
        <v>7.7</v>
      </c>
    </row>
    <row r="10" spans="1:12">
      <c r="A10" s="18" t="s">
        <v>46</v>
      </c>
      <c r="B10" s="19">
        <v>1</v>
      </c>
      <c r="C10" s="19">
        <v>0.7</v>
      </c>
      <c r="D10" s="19">
        <v>1.5</v>
      </c>
      <c r="E10" s="19">
        <v>1.9</v>
      </c>
      <c r="F10" s="19">
        <v>1.5</v>
      </c>
      <c r="G10" s="63">
        <v>1.1000000000000001</v>
      </c>
      <c r="H10" s="63">
        <v>1.8</v>
      </c>
      <c r="I10" s="63">
        <v>1.9</v>
      </c>
      <c r="J10" s="19">
        <v>5.0999999999999996</v>
      </c>
      <c r="K10" s="63">
        <v>6.3</v>
      </c>
      <c r="L10" s="63">
        <v>6.7</v>
      </c>
    </row>
    <row r="11" spans="1:12">
      <c r="A11" s="18" t="s">
        <v>47</v>
      </c>
      <c r="B11" s="19">
        <v>0.7</v>
      </c>
      <c r="C11" s="19">
        <v>0.7</v>
      </c>
      <c r="D11" s="19">
        <v>0.8</v>
      </c>
      <c r="E11" s="19">
        <v>1</v>
      </c>
      <c r="F11" s="19">
        <v>0</v>
      </c>
      <c r="G11" s="63">
        <v>1.1000000000000001</v>
      </c>
      <c r="H11" s="63">
        <v>1.2</v>
      </c>
      <c r="I11" s="63">
        <v>1.4</v>
      </c>
      <c r="J11" s="19">
        <v>3.2</v>
      </c>
      <c r="K11" s="63">
        <v>3.6</v>
      </c>
      <c r="L11" s="63">
        <v>5.9</v>
      </c>
    </row>
    <row r="12" spans="1:12">
      <c r="A12" s="18" t="s">
        <v>48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63">
        <v>0</v>
      </c>
      <c r="H12" s="63">
        <v>0</v>
      </c>
      <c r="I12" s="63">
        <v>0</v>
      </c>
      <c r="J12" s="19">
        <v>0</v>
      </c>
      <c r="K12" s="63">
        <v>0</v>
      </c>
      <c r="L12" s="63">
        <v>0</v>
      </c>
    </row>
    <row r="13" spans="1:12">
      <c r="A13" s="18" t="s">
        <v>49</v>
      </c>
      <c r="B13" s="19">
        <v>0.4</v>
      </c>
      <c r="C13" s="19">
        <v>0.2</v>
      </c>
      <c r="D13" s="19">
        <v>0.2</v>
      </c>
      <c r="E13" s="19">
        <v>0</v>
      </c>
      <c r="F13" s="19">
        <v>0</v>
      </c>
      <c r="G13" s="63">
        <v>0</v>
      </c>
      <c r="H13" s="63">
        <v>0</v>
      </c>
      <c r="I13" s="63">
        <v>0</v>
      </c>
      <c r="J13" s="19">
        <v>0.8</v>
      </c>
      <c r="K13" s="63">
        <v>0</v>
      </c>
      <c r="L13" s="63">
        <v>0</v>
      </c>
    </row>
    <row r="14" spans="1:12">
      <c r="A14" s="16" t="s">
        <v>50</v>
      </c>
      <c r="B14" s="17">
        <v>-9.6999999999999993</v>
      </c>
      <c r="C14" s="17">
        <v>3.8</v>
      </c>
      <c r="D14" s="17">
        <v>28</v>
      </c>
      <c r="E14" s="17">
        <v>84.3</v>
      </c>
      <c r="F14" s="17">
        <v>115.5</v>
      </c>
      <c r="G14" s="74">
        <v>40.700000000000003</v>
      </c>
      <c r="H14" s="74">
        <v>30.7</v>
      </c>
      <c r="I14" s="74">
        <v>23</v>
      </c>
      <c r="J14" s="17">
        <v>26.2</v>
      </c>
      <c r="K14" s="74">
        <v>42.7</v>
      </c>
      <c r="L14" s="74">
        <v>28.1</v>
      </c>
    </row>
    <row r="15" spans="1:12">
      <c r="A15" s="18" t="s">
        <v>51</v>
      </c>
      <c r="B15" s="19">
        <v>-19.3</v>
      </c>
      <c r="C15" s="19">
        <v>63</v>
      </c>
      <c r="D15" s="19">
        <v>24.9</v>
      </c>
      <c r="E15" s="19">
        <v>12.1</v>
      </c>
      <c r="F15" s="19">
        <v>-5.6</v>
      </c>
      <c r="G15" s="63">
        <v>6.5</v>
      </c>
      <c r="H15" s="63">
        <v>16</v>
      </c>
      <c r="I15" s="63">
        <v>5.5</v>
      </c>
      <c r="J15" s="19"/>
      <c r="K15" s="63"/>
      <c r="L15" s="63"/>
    </row>
    <row r="16" spans="1:12">
      <c r="A16" s="16" t="s">
        <v>52</v>
      </c>
      <c r="B16" s="17">
        <v>17.399999999999999</v>
      </c>
      <c r="C16" s="17">
        <v>29.1</v>
      </c>
      <c r="D16" s="17">
        <v>36.9</v>
      </c>
      <c r="E16" s="17">
        <v>39</v>
      </c>
      <c r="F16" s="17">
        <v>32.9</v>
      </c>
      <c r="G16" s="74">
        <v>39.299999999999997</v>
      </c>
      <c r="H16" s="74">
        <v>46.2</v>
      </c>
      <c r="I16" s="74">
        <v>47.8</v>
      </c>
      <c r="J16" s="17">
        <v>122.5</v>
      </c>
      <c r="K16" s="74">
        <v>166.2</v>
      </c>
      <c r="L16" s="74">
        <v>211.9</v>
      </c>
    </row>
    <row r="17" spans="1:12">
      <c r="A17" s="18" t="s">
        <v>53</v>
      </c>
      <c r="B17" s="19">
        <v>14.2</v>
      </c>
      <c r="C17" s="19">
        <v>22.5</v>
      </c>
      <c r="D17" s="19">
        <v>27.6</v>
      </c>
      <c r="E17" s="19">
        <v>33.299999999999997</v>
      </c>
      <c r="F17" s="19">
        <v>35.4</v>
      </c>
      <c r="G17" s="63">
        <v>33.4</v>
      </c>
      <c r="H17" s="63">
        <v>38.1</v>
      </c>
      <c r="I17" s="63">
        <v>41.2</v>
      </c>
      <c r="J17" s="19">
        <v>97.7</v>
      </c>
      <c r="K17" s="63">
        <v>148.1</v>
      </c>
      <c r="L17" s="63">
        <v>190.6</v>
      </c>
    </row>
    <row r="18" spans="1:12">
      <c r="A18" s="18" t="s">
        <v>54</v>
      </c>
      <c r="B18" s="19">
        <v>44.9</v>
      </c>
      <c r="C18" s="19">
        <v>43.6</v>
      </c>
      <c r="D18" s="19">
        <v>42.8</v>
      </c>
      <c r="E18" s="19">
        <v>46.1</v>
      </c>
      <c r="F18" s="19">
        <v>51.9</v>
      </c>
      <c r="G18" s="63">
        <v>45.9</v>
      </c>
      <c r="H18" s="63">
        <v>45.2</v>
      </c>
      <c r="I18" s="63">
        <v>46.3</v>
      </c>
      <c r="J18" s="19">
        <v>44.4</v>
      </c>
      <c r="K18" s="63">
        <v>47.1</v>
      </c>
      <c r="L18" s="63">
        <v>47.4</v>
      </c>
    </row>
    <row r="19" spans="1:12">
      <c r="A19" s="18" t="s">
        <v>55</v>
      </c>
      <c r="B19" s="19">
        <v>7.2</v>
      </c>
      <c r="C19" s="19">
        <v>8.8000000000000007</v>
      </c>
      <c r="D19" s="19">
        <v>10.199999999999999</v>
      </c>
      <c r="E19" s="19">
        <v>11.4</v>
      </c>
      <c r="F19" s="19">
        <v>11.8</v>
      </c>
      <c r="G19" s="63">
        <v>10.6</v>
      </c>
      <c r="H19" s="63">
        <v>11.8</v>
      </c>
      <c r="I19" s="63">
        <v>13.5</v>
      </c>
      <c r="J19" s="19">
        <v>37.700000000000003</v>
      </c>
      <c r="K19" s="63">
        <v>47.6</v>
      </c>
      <c r="L19" s="63">
        <v>53.8</v>
      </c>
    </row>
    <row r="20" spans="1:12">
      <c r="A20" s="16" t="s">
        <v>56</v>
      </c>
      <c r="B20" s="17">
        <v>7</v>
      </c>
      <c r="C20" s="17">
        <v>13.7</v>
      </c>
      <c r="D20" s="17">
        <v>17.399999999999999</v>
      </c>
      <c r="E20" s="17">
        <v>21.9</v>
      </c>
      <c r="F20" s="17">
        <v>23.6</v>
      </c>
      <c r="G20" s="74">
        <v>22.8</v>
      </c>
      <c r="H20" s="74">
        <v>26.4</v>
      </c>
      <c r="I20" s="74">
        <v>27.7</v>
      </c>
      <c r="J20" s="17">
        <v>60.1</v>
      </c>
      <c r="K20" s="74">
        <v>100.4</v>
      </c>
      <c r="L20" s="74">
        <v>136.80000000000001</v>
      </c>
    </row>
    <row r="21" spans="1:12">
      <c r="A21" s="16" t="s">
        <v>57</v>
      </c>
      <c r="B21" s="17">
        <v>22.1</v>
      </c>
      <c r="C21" s="17">
        <v>26.5</v>
      </c>
      <c r="D21" s="17">
        <v>27</v>
      </c>
      <c r="E21" s="17">
        <v>30.3</v>
      </c>
      <c r="F21" s="17">
        <v>34.6</v>
      </c>
      <c r="G21" s="74">
        <v>31.4</v>
      </c>
      <c r="H21" s="74">
        <v>31.3</v>
      </c>
      <c r="I21" s="74">
        <v>31.1</v>
      </c>
      <c r="J21" s="17">
        <v>27.3</v>
      </c>
      <c r="K21" s="74">
        <v>32</v>
      </c>
      <c r="L21" s="74">
        <v>34</v>
      </c>
    </row>
    <row r="22" spans="1:12">
      <c r="A22" s="18" t="s">
        <v>58</v>
      </c>
      <c r="B22" s="19">
        <v>9.3000000000000007</v>
      </c>
      <c r="C22" s="19">
        <v>13.5</v>
      </c>
      <c r="D22" s="19">
        <v>19.8</v>
      </c>
      <c r="E22" s="19">
        <v>24</v>
      </c>
      <c r="F22" s="19">
        <v>26.6</v>
      </c>
      <c r="G22" s="63">
        <v>25.9</v>
      </c>
      <c r="H22" s="63">
        <v>29.5</v>
      </c>
      <c r="I22" s="63">
        <v>30.7</v>
      </c>
      <c r="J22" s="19">
        <v>66.599999999999994</v>
      </c>
      <c r="K22" s="63">
        <v>112.6</v>
      </c>
      <c r="L22" s="63">
        <v>148.1</v>
      </c>
    </row>
    <row r="23" spans="1:12">
      <c r="A23" s="18" t="s">
        <v>59</v>
      </c>
      <c r="B23" s="19">
        <v>6.8</v>
      </c>
      <c r="C23" s="19">
        <v>11.5</v>
      </c>
      <c r="D23" s="19">
        <v>16.100000000000001</v>
      </c>
      <c r="E23" s="19">
        <v>21.7</v>
      </c>
      <c r="F23" s="19">
        <v>20.5</v>
      </c>
      <c r="G23" s="63">
        <v>20.100000000000001</v>
      </c>
      <c r="H23" s="63">
        <v>22.9</v>
      </c>
      <c r="I23" s="63">
        <v>23.8</v>
      </c>
      <c r="J23" s="19">
        <v>56.1</v>
      </c>
      <c r="K23" s="63">
        <v>87.3</v>
      </c>
      <c r="L23" s="63">
        <v>115.1</v>
      </c>
    </row>
    <row r="24" spans="1:12">
      <c r="A24" s="18" t="s">
        <v>60</v>
      </c>
      <c r="B24" s="19">
        <v>21.6</v>
      </c>
      <c r="C24" s="19">
        <v>22.3</v>
      </c>
      <c r="D24" s="19">
        <v>24.9</v>
      </c>
      <c r="E24" s="19">
        <v>30</v>
      </c>
      <c r="F24" s="19">
        <v>30</v>
      </c>
      <c r="G24" s="63">
        <v>27.7</v>
      </c>
      <c r="H24" s="63">
        <v>27.1</v>
      </c>
      <c r="I24" s="63">
        <v>26.8</v>
      </c>
      <c r="J24" s="19">
        <v>25.5</v>
      </c>
      <c r="K24" s="63">
        <v>27.8</v>
      </c>
      <c r="L24" s="63">
        <v>28.6</v>
      </c>
    </row>
    <row r="25" spans="1:12">
      <c r="A25" s="16" t="s">
        <v>61</v>
      </c>
      <c r="B25" s="17">
        <v>334</v>
      </c>
      <c r="C25" s="17">
        <v>562</v>
      </c>
      <c r="D25" s="17">
        <v>785</v>
      </c>
      <c r="E25" s="17">
        <v>1062</v>
      </c>
      <c r="F25" s="17">
        <v>1000</v>
      </c>
      <c r="G25" s="74">
        <v>983</v>
      </c>
      <c r="H25" s="74">
        <v>1118</v>
      </c>
      <c r="I25" s="74">
        <v>1164</v>
      </c>
      <c r="J25" s="17">
        <v>2743</v>
      </c>
      <c r="K25" s="74">
        <v>4266</v>
      </c>
      <c r="L25" s="74">
        <v>5623</v>
      </c>
    </row>
    <row r="26" spans="1:12">
      <c r="A26" s="18" t="s">
        <v>62</v>
      </c>
      <c r="B26" s="19">
        <v>-56.7</v>
      </c>
      <c r="C26" s="19">
        <v>-28</v>
      </c>
      <c r="D26" s="19">
        <v>44.4</v>
      </c>
      <c r="E26" s="19">
        <v>84.4</v>
      </c>
      <c r="F26" s="19">
        <v>199.6</v>
      </c>
      <c r="G26" s="63">
        <v>74.900000000000006</v>
      </c>
      <c r="H26" s="63">
        <v>42.4</v>
      </c>
      <c r="I26" s="63">
        <v>9.6999999999999993</v>
      </c>
      <c r="J26" s="19">
        <v>2.7</v>
      </c>
      <c r="K26" s="63">
        <v>55.5</v>
      </c>
      <c r="L26" s="63">
        <v>31.8</v>
      </c>
    </row>
    <row r="27" spans="1:12">
      <c r="A27" s="10" t="s">
        <v>63</v>
      </c>
      <c r="B27" s="20">
        <v>-42</v>
      </c>
      <c r="C27" s="20">
        <v>68.3</v>
      </c>
      <c r="D27" s="20">
        <v>39.799999999999997</v>
      </c>
      <c r="E27" s="20">
        <v>35.200000000000003</v>
      </c>
      <c r="F27" s="20">
        <v>-5.8</v>
      </c>
      <c r="G27" s="75">
        <v>-1.7</v>
      </c>
      <c r="H27" s="75">
        <v>13.8</v>
      </c>
      <c r="I27" s="75">
        <v>4.0999999999999996</v>
      </c>
      <c r="J27" s="20"/>
      <c r="K27" s="75"/>
      <c r="L27" s="75"/>
    </row>
    <row r="28" spans="1:1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>
      <c r="A29" s="127" t="s">
        <v>64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</row>
  </sheetData>
  <mergeCells count="4">
    <mergeCell ref="A1:L2"/>
    <mergeCell ref="A3:L3"/>
    <mergeCell ref="A4:L4"/>
    <mergeCell ref="A29:L29"/>
  </mergeCells>
  <phoneticPr fontId="14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D31B-D542-42B9-A001-48BE388E095F}">
  <dimension ref="A1:I29"/>
  <sheetViews>
    <sheetView workbookViewId="0">
      <selection activeCell="D10" sqref="D10"/>
    </sheetView>
  </sheetViews>
  <sheetFormatPr defaultRowHeight="13.8"/>
  <cols>
    <col min="1" max="1" width="18.796875" customWidth="1"/>
    <col min="2" max="2" width="17.69921875" customWidth="1"/>
    <col min="3" max="3" width="12.19921875" customWidth="1"/>
  </cols>
  <sheetData>
    <row r="1" spans="1:9">
      <c r="A1" s="123" t="s">
        <v>335</v>
      </c>
      <c r="B1" s="124" t="s">
        <v>335</v>
      </c>
      <c r="C1" s="124" t="s">
        <v>335</v>
      </c>
      <c r="D1" s="124" t="s">
        <v>335</v>
      </c>
      <c r="E1" s="124" t="s">
        <v>335</v>
      </c>
      <c r="F1" s="124" t="s">
        <v>335</v>
      </c>
      <c r="G1" s="124" t="s">
        <v>335</v>
      </c>
      <c r="H1" s="124" t="s">
        <v>335</v>
      </c>
      <c r="I1" s="124" t="s">
        <v>335</v>
      </c>
    </row>
    <row r="2" spans="1:9">
      <c r="A2" s="124" t="s">
        <v>335</v>
      </c>
      <c r="B2" s="124" t="s">
        <v>335</v>
      </c>
      <c r="C2" s="124" t="s">
        <v>335</v>
      </c>
      <c r="D2" s="124" t="s">
        <v>335</v>
      </c>
      <c r="E2" s="124" t="s">
        <v>335</v>
      </c>
      <c r="F2" s="124" t="s">
        <v>335</v>
      </c>
      <c r="G2" s="124" t="s">
        <v>335</v>
      </c>
      <c r="H2" s="124" t="s">
        <v>335</v>
      </c>
      <c r="I2" s="124" t="s">
        <v>335</v>
      </c>
    </row>
    <row r="3" spans="1:9">
      <c r="A3" s="125" t="s">
        <v>1</v>
      </c>
      <c r="B3" s="125"/>
      <c r="C3" s="125"/>
      <c r="D3" s="125"/>
      <c r="E3" s="125"/>
      <c r="F3" s="125"/>
      <c r="G3" s="125"/>
      <c r="H3" s="125"/>
      <c r="I3" s="125"/>
    </row>
    <row r="4" spans="1:9">
      <c r="A4" s="126" t="s">
        <v>2</v>
      </c>
      <c r="B4" s="126"/>
      <c r="C4" s="126"/>
      <c r="D4" s="126"/>
      <c r="E4" s="126"/>
      <c r="F4" s="126"/>
      <c r="G4" s="126"/>
      <c r="H4" s="126"/>
      <c r="I4" s="126"/>
    </row>
    <row r="5" spans="1:9" ht="14.4" thickBot="1">
      <c r="A5" s="137" t="s">
        <v>336</v>
      </c>
      <c r="B5" s="138" t="s">
        <v>336</v>
      </c>
      <c r="C5" s="129" t="s">
        <v>336</v>
      </c>
      <c r="D5" s="129" t="s">
        <v>336</v>
      </c>
      <c r="E5" s="129" t="s">
        <v>336</v>
      </c>
      <c r="F5" s="129" t="s">
        <v>336</v>
      </c>
      <c r="G5" s="129" t="s">
        <v>336</v>
      </c>
      <c r="H5" s="129" t="s">
        <v>336</v>
      </c>
      <c r="I5" s="130" t="s">
        <v>336</v>
      </c>
    </row>
    <row r="6" spans="1:9">
      <c r="A6" s="108" t="s">
        <v>337</v>
      </c>
      <c r="B6" s="111" t="s">
        <v>338</v>
      </c>
      <c r="C6" s="12"/>
      <c r="D6" s="131" t="s">
        <v>339</v>
      </c>
      <c r="E6" s="131"/>
      <c r="F6" s="131"/>
      <c r="G6" s="131"/>
      <c r="H6" s="131"/>
      <c r="I6" s="131"/>
    </row>
    <row r="7" spans="1:9">
      <c r="A7" s="109" t="s">
        <v>340</v>
      </c>
      <c r="B7" s="112">
        <f>'08_Forward_EPS'!D36</f>
        <v>5618.4736596273287</v>
      </c>
      <c r="C7" s="12"/>
      <c r="D7" s="131" t="s">
        <v>341</v>
      </c>
      <c r="E7" s="131"/>
      <c r="F7" s="131"/>
      <c r="G7" s="131"/>
      <c r="H7" s="131"/>
      <c r="I7" s="131"/>
    </row>
    <row r="8" spans="1:9">
      <c r="A8" s="109" t="s">
        <v>342</v>
      </c>
      <c r="B8" s="113" t="s">
        <v>343</v>
      </c>
      <c r="C8" s="12"/>
      <c r="D8" s="131" t="s">
        <v>344</v>
      </c>
      <c r="E8" s="131"/>
      <c r="F8" s="131"/>
      <c r="G8" s="131"/>
      <c r="H8" s="131"/>
      <c r="I8" s="131"/>
    </row>
    <row r="9" spans="1:9">
      <c r="A9" s="109" t="s">
        <v>345</v>
      </c>
      <c r="B9" s="114">
        <f>INDEX(C22:C26,MATCH(B8,A22:A26,0))</f>
        <v>88.920505067999997</v>
      </c>
      <c r="C9" s="12"/>
      <c r="D9" s="131" t="s">
        <v>346</v>
      </c>
      <c r="E9" s="131"/>
      <c r="F9" s="131"/>
      <c r="G9" s="131"/>
      <c r="H9" s="131"/>
      <c r="I9" s="131"/>
    </row>
    <row r="10" spans="1:9" ht="14.4" thickBot="1">
      <c r="A10" s="110" t="s">
        <v>347</v>
      </c>
      <c r="B10" s="115">
        <v>-0.4</v>
      </c>
      <c r="C10" s="12"/>
      <c r="D10" s="12"/>
      <c r="E10" s="12"/>
      <c r="F10" s="12"/>
      <c r="G10" s="12"/>
      <c r="H10" s="12"/>
      <c r="I10" s="12"/>
    </row>
    <row r="11" spans="1:9">
      <c r="A11" s="4" t="s">
        <v>348</v>
      </c>
      <c r="B11" s="116">
        <f>AVERAGE(F22:F26)</f>
        <v>26.439999999999998</v>
      </c>
      <c r="C11" s="12"/>
      <c r="D11" s="12"/>
      <c r="E11" s="12"/>
      <c r="F11" s="12"/>
      <c r="G11" s="12"/>
      <c r="H11" s="12"/>
      <c r="I11" s="12"/>
    </row>
    <row r="12" spans="1:9">
      <c r="A12" s="4" t="s">
        <v>349</v>
      </c>
      <c r="B12" s="117">
        <f>MEDIAN(F22:F26)</f>
        <v>25.384999999999998</v>
      </c>
      <c r="C12" s="12"/>
      <c r="D12" s="12"/>
      <c r="E12" s="12"/>
      <c r="F12" s="12"/>
      <c r="G12" s="12"/>
      <c r="H12" s="12"/>
      <c r="I12" s="12"/>
    </row>
    <row r="13" spans="1:9">
      <c r="A13" s="4" t="s">
        <v>350</v>
      </c>
      <c r="B13" s="118">
        <v>53.352303040999999</v>
      </c>
      <c r="C13" s="12"/>
      <c r="D13" s="12"/>
      <c r="E13" s="12"/>
      <c r="F13" s="12"/>
      <c r="G13" s="12"/>
      <c r="H13" s="12"/>
      <c r="I13" s="12"/>
    </row>
    <row r="14" spans="1:9">
      <c r="A14" s="4" t="s">
        <v>351</v>
      </c>
      <c r="B14" s="119">
        <f>IF(B6="특정 피어 조정",B9*(1+B10),IF(B6="피어 평균",B11,IF(B6="피어 중앙값",B12,B13)))</f>
        <v>53.352303040799995</v>
      </c>
      <c r="C14" s="12"/>
      <c r="D14" s="12"/>
      <c r="E14" s="12"/>
      <c r="F14" s="12"/>
      <c r="G14" s="12"/>
      <c r="H14" s="12"/>
      <c r="I14" s="12"/>
    </row>
    <row r="15" spans="1:9">
      <c r="A15" s="4" t="s">
        <v>7</v>
      </c>
      <c r="B15" s="120">
        <f>ROUND(B7*B14,-3)</f>
        <v>300000</v>
      </c>
      <c r="C15" s="12"/>
      <c r="D15" s="12"/>
      <c r="E15" s="12"/>
      <c r="F15" s="12"/>
      <c r="G15" s="12"/>
      <c r="H15" s="12"/>
      <c r="I15" s="12"/>
    </row>
    <row r="16" spans="1:9">
      <c r="A16" s="4" t="s">
        <v>9</v>
      </c>
      <c r="B16" s="121">
        <v>240500</v>
      </c>
      <c r="C16" s="12"/>
      <c r="D16" s="12"/>
      <c r="E16" s="12"/>
      <c r="F16" s="12"/>
      <c r="G16" s="12"/>
      <c r="H16" s="12"/>
      <c r="I16" s="12"/>
    </row>
    <row r="17" spans="1:9">
      <c r="A17" s="9" t="s">
        <v>11</v>
      </c>
      <c r="B17" s="122">
        <f>B15/B16-1</f>
        <v>0.24740124740124747</v>
      </c>
      <c r="C17" s="12"/>
      <c r="D17" s="12"/>
      <c r="E17" s="12"/>
      <c r="F17" s="12"/>
      <c r="G17" s="12"/>
      <c r="H17" s="12"/>
      <c r="I17" s="12"/>
    </row>
    <row r="18" spans="1:9">
      <c r="A18" s="12"/>
      <c r="B18" s="12"/>
      <c r="C18" s="12"/>
      <c r="D18" s="12"/>
      <c r="E18" s="12"/>
      <c r="F18" s="12"/>
      <c r="G18" s="12"/>
      <c r="H18" s="12"/>
      <c r="I18" s="12"/>
    </row>
    <row r="19" spans="1:9">
      <c r="A19" s="12"/>
      <c r="B19" s="12"/>
      <c r="C19" s="12"/>
      <c r="D19" s="12"/>
      <c r="E19" s="12"/>
      <c r="F19" s="12"/>
      <c r="G19" s="12"/>
      <c r="H19" s="12"/>
      <c r="I19" s="12"/>
    </row>
    <row r="20" spans="1:9">
      <c r="A20" s="128" t="s">
        <v>352</v>
      </c>
      <c r="B20" s="129" t="s">
        <v>352</v>
      </c>
      <c r="C20" s="129" t="s">
        <v>352</v>
      </c>
      <c r="D20" s="129" t="s">
        <v>352</v>
      </c>
      <c r="E20" s="129" t="s">
        <v>352</v>
      </c>
      <c r="F20" s="129" t="s">
        <v>352</v>
      </c>
      <c r="G20" s="129" t="s">
        <v>352</v>
      </c>
      <c r="H20" s="129" t="s">
        <v>352</v>
      </c>
      <c r="I20" s="130" t="s">
        <v>352</v>
      </c>
    </row>
    <row r="21" spans="1:9">
      <c r="A21" s="13" t="s">
        <v>107</v>
      </c>
      <c r="B21" s="14" t="s">
        <v>108</v>
      </c>
      <c r="C21" s="14" t="s">
        <v>353</v>
      </c>
      <c r="D21" s="14" t="s">
        <v>114</v>
      </c>
      <c r="E21" s="14" t="s">
        <v>354</v>
      </c>
      <c r="F21" s="14" t="s">
        <v>134</v>
      </c>
      <c r="G21" s="14"/>
      <c r="H21" s="15"/>
    </row>
    <row r="22" spans="1:9">
      <c r="A22" s="40" t="s">
        <v>343</v>
      </c>
      <c r="B22" s="40" t="s">
        <v>355</v>
      </c>
      <c r="C22" s="106">
        <v>88.920505067999997</v>
      </c>
      <c r="D22" s="65" t="s">
        <v>357</v>
      </c>
      <c r="E22" s="107">
        <v>-0.4</v>
      </c>
      <c r="F22" s="34" t="str">
        <f>IF(D22="Y",C22*(1+E22),"")</f>
        <v/>
      </c>
      <c r="G22" s="2"/>
      <c r="H22" s="2"/>
    </row>
    <row r="23" spans="1:9">
      <c r="A23" s="18" t="s">
        <v>116</v>
      </c>
      <c r="B23" s="18" t="s">
        <v>117</v>
      </c>
      <c r="C23" s="67">
        <v>28.3</v>
      </c>
      <c r="D23" s="66" t="s">
        <v>119</v>
      </c>
      <c r="E23" s="61">
        <v>0</v>
      </c>
      <c r="F23" s="28">
        <f>IF(D23="Y",C23*(1+E23),"")</f>
        <v>28.3</v>
      </c>
      <c r="G23" s="18"/>
      <c r="H23" s="18"/>
    </row>
    <row r="24" spans="1:9">
      <c r="A24" s="18" t="s">
        <v>121</v>
      </c>
      <c r="B24" s="18" t="s">
        <v>117</v>
      </c>
      <c r="C24" s="67">
        <v>22.47</v>
      </c>
      <c r="D24" s="66" t="s">
        <v>119</v>
      </c>
      <c r="E24" s="61">
        <v>0</v>
      </c>
      <c r="F24" s="28">
        <f>IF(D24="Y",C24*(1+E24),"")</f>
        <v>22.47</v>
      </c>
      <c r="G24" s="18"/>
      <c r="H24" s="18"/>
    </row>
    <row r="25" spans="1:9">
      <c r="A25" s="18" t="s">
        <v>124</v>
      </c>
      <c r="B25" s="18" t="s">
        <v>117</v>
      </c>
      <c r="C25" s="67">
        <v>15.68</v>
      </c>
      <c r="D25" s="66" t="s">
        <v>119</v>
      </c>
      <c r="E25" s="61">
        <v>0</v>
      </c>
      <c r="F25" s="28">
        <f>IF(D25="Y",C25*(1+E25),"")</f>
        <v>15.68</v>
      </c>
      <c r="G25" s="18"/>
      <c r="H25" s="18"/>
    </row>
    <row r="26" spans="1:9">
      <c r="A26" s="10" t="s">
        <v>127</v>
      </c>
      <c r="B26" s="10" t="s">
        <v>117</v>
      </c>
      <c r="C26" s="86">
        <v>39.31</v>
      </c>
      <c r="D26" s="91" t="s">
        <v>119</v>
      </c>
      <c r="E26" s="98">
        <v>0</v>
      </c>
      <c r="F26" s="35">
        <f>IF(D26="Y",C26*(1+E26),"")</f>
        <v>39.31</v>
      </c>
      <c r="G26" s="10"/>
      <c r="H26" s="10"/>
    </row>
    <row r="27" spans="1:9">
      <c r="A27" s="12"/>
      <c r="B27" s="12"/>
      <c r="C27" s="12"/>
      <c r="D27" s="12"/>
      <c r="E27" s="12"/>
      <c r="F27" s="12"/>
      <c r="G27" s="12"/>
      <c r="H27" s="12"/>
      <c r="I27" s="12"/>
    </row>
    <row r="28" spans="1:9">
      <c r="A28" s="139" t="s">
        <v>348</v>
      </c>
      <c r="B28" s="140"/>
      <c r="C28" s="140"/>
      <c r="D28" s="140"/>
      <c r="E28" s="140"/>
      <c r="F28" s="28">
        <f>AVERAGE(F22:F26)</f>
        <v>26.439999999999998</v>
      </c>
      <c r="G28" s="12"/>
      <c r="H28" s="12"/>
      <c r="I28" s="12"/>
    </row>
    <row r="29" spans="1:9">
      <c r="A29" s="139" t="s">
        <v>349</v>
      </c>
      <c r="B29" s="140"/>
      <c r="C29" s="140"/>
      <c r="D29" s="140"/>
      <c r="E29" s="140"/>
      <c r="F29" s="28">
        <f>MEDIAN(F22:F26)</f>
        <v>25.384999999999998</v>
      </c>
    </row>
  </sheetData>
  <mergeCells count="11">
    <mergeCell ref="A28:E28"/>
    <mergeCell ref="A29:E29"/>
    <mergeCell ref="D8:I8"/>
    <mergeCell ref="D9:I9"/>
    <mergeCell ref="A20:I20"/>
    <mergeCell ref="D7:I7"/>
    <mergeCell ref="A1:I2"/>
    <mergeCell ref="A3:I3"/>
    <mergeCell ref="A4:I4"/>
    <mergeCell ref="A5:I5"/>
    <mergeCell ref="D6:I6"/>
  </mergeCells>
  <phoneticPr fontId="14" type="noConversion"/>
  <dataValidations count="3">
    <dataValidation type="list" sqref="D22:D26" xr:uid="{7D1F79BB-D9BC-4341-AE5E-9EFBAA6EF554}">
      <formula1>"Y,N"</formula1>
    </dataValidation>
    <dataValidation type="list" sqref="B8" xr:uid="{EED365D7-412D-4AC9-B429-4B53372DF416}">
      <formula1>"WinWay,리노공업,티에스이,테크윙,두산테스나"</formula1>
    </dataValidation>
    <dataValidation type="list" sqref="B6" xr:uid="{4BCFF5C1-76A4-4133-A661-543605A3AB81}">
      <formula1>"특정 피어 조정,피어 평균,피어 중앙값,직접 입력"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workbookViewId="0">
      <selection sqref="A1:H2"/>
    </sheetView>
  </sheetViews>
  <sheetFormatPr defaultRowHeight="13.8"/>
  <cols>
    <col min="1" max="1" width="27" customWidth="1"/>
    <col min="2" max="2" width="18" customWidth="1"/>
    <col min="3" max="3" width="3" customWidth="1"/>
    <col min="4" max="4" width="30" customWidth="1"/>
    <col min="5" max="5" width="18" customWidth="1"/>
    <col min="6" max="8" width="12" customWidth="1"/>
  </cols>
  <sheetData>
    <row r="1" spans="1:8">
      <c r="A1" s="123" t="s">
        <v>0</v>
      </c>
      <c r="B1" s="124" t="s">
        <v>0</v>
      </c>
      <c r="C1" s="124" t="s">
        <v>0</v>
      </c>
      <c r="D1" s="124" t="s">
        <v>0</v>
      </c>
      <c r="E1" s="124" t="s">
        <v>0</v>
      </c>
      <c r="F1" s="124" t="s">
        <v>0</v>
      </c>
      <c r="G1" s="124" t="s">
        <v>0</v>
      </c>
      <c r="H1" s="124" t="s">
        <v>0</v>
      </c>
    </row>
    <row r="2" spans="1:8">
      <c r="A2" s="124" t="s">
        <v>0</v>
      </c>
      <c r="B2" s="124" t="s">
        <v>0</v>
      </c>
      <c r="C2" s="124" t="s">
        <v>0</v>
      </c>
      <c r="D2" s="124" t="s">
        <v>0</v>
      </c>
      <c r="E2" s="124" t="s">
        <v>0</v>
      </c>
      <c r="F2" s="124" t="s">
        <v>0</v>
      </c>
      <c r="G2" s="124" t="s">
        <v>0</v>
      </c>
      <c r="H2" s="124" t="s">
        <v>0</v>
      </c>
    </row>
    <row r="3" spans="1:8">
      <c r="A3" s="125" t="s">
        <v>1</v>
      </c>
      <c r="B3" s="125"/>
      <c r="C3" s="125"/>
      <c r="D3" s="125"/>
      <c r="E3" s="125"/>
      <c r="F3" s="125"/>
      <c r="G3" s="125"/>
      <c r="H3" s="125"/>
    </row>
    <row r="4" spans="1:8">
      <c r="A4" s="126" t="s">
        <v>2</v>
      </c>
      <c r="B4" s="126"/>
      <c r="C4" s="126"/>
      <c r="D4" s="126"/>
      <c r="E4" s="126"/>
      <c r="F4" s="126"/>
      <c r="G4" s="126"/>
      <c r="H4" s="126"/>
    </row>
    <row r="5" spans="1:8">
      <c r="A5" s="128" t="s">
        <v>3</v>
      </c>
      <c r="B5" s="129" t="s">
        <v>3</v>
      </c>
      <c r="C5" s="129" t="s">
        <v>3</v>
      </c>
      <c r="D5" s="129" t="s">
        <v>3</v>
      </c>
      <c r="E5" s="129" t="s">
        <v>3</v>
      </c>
      <c r="F5" s="129" t="s">
        <v>3</v>
      </c>
      <c r="G5" s="129" t="s">
        <v>3</v>
      </c>
      <c r="H5" s="130" t="s">
        <v>3</v>
      </c>
    </row>
    <row r="6" spans="1:8">
      <c r="A6" s="1" t="s">
        <v>4</v>
      </c>
      <c r="B6" s="2" t="s">
        <v>5</v>
      </c>
      <c r="C6" s="12"/>
      <c r="D6" s="1" t="s">
        <v>6</v>
      </c>
      <c r="E6" s="3">
        <v>314.2</v>
      </c>
      <c r="F6" s="12"/>
      <c r="G6" s="12"/>
      <c r="H6" s="12"/>
    </row>
    <row r="7" spans="1:8">
      <c r="A7" s="4" t="s">
        <v>7</v>
      </c>
      <c r="B7" s="5">
        <f>'03_목표주가'!B11</f>
        <v>300000</v>
      </c>
      <c r="C7" s="12"/>
      <c r="D7" s="4" t="s">
        <v>8</v>
      </c>
      <c r="E7" s="6">
        <v>100.49339999999999</v>
      </c>
      <c r="F7" s="12"/>
      <c r="G7" s="12"/>
      <c r="H7" s="12"/>
    </row>
    <row r="8" spans="1:8">
      <c r="A8" s="4" t="s">
        <v>9</v>
      </c>
      <c r="B8" s="5">
        <f>'03_목표주가'!B12</f>
        <v>240500</v>
      </c>
      <c r="C8" s="12"/>
      <c r="D8" s="4" t="s">
        <v>10</v>
      </c>
      <c r="E8" s="6">
        <v>402.5</v>
      </c>
      <c r="F8" s="12"/>
      <c r="G8" s="12"/>
      <c r="H8" s="12"/>
    </row>
    <row r="9" spans="1:8">
      <c r="A9" s="4" t="s">
        <v>11</v>
      </c>
      <c r="B9" s="7">
        <f>'03_목표주가'!B13</f>
        <v>0.24740124740124747</v>
      </c>
      <c r="C9" s="12"/>
      <c r="D9" s="4" t="s">
        <v>12</v>
      </c>
      <c r="E9" s="6">
        <v>136.85</v>
      </c>
      <c r="F9" s="12"/>
      <c r="G9" s="12"/>
      <c r="H9" s="12"/>
    </row>
    <row r="10" spans="1:8">
      <c r="A10" s="4" t="s">
        <v>13</v>
      </c>
      <c r="B10" s="8">
        <f>'03_목표주가'!B9</f>
        <v>53.352303040799995</v>
      </c>
      <c r="C10" s="12"/>
      <c r="D10" s="4" t="s">
        <v>14</v>
      </c>
      <c r="E10" s="6">
        <v>5626.2243399999998</v>
      </c>
      <c r="F10" s="12"/>
      <c r="G10" s="12"/>
      <c r="H10" s="12"/>
    </row>
    <row r="11" spans="1:8">
      <c r="A11" s="9" t="s">
        <v>15</v>
      </c>
      <c r="B11" s="10" t="s">
        <v>16</v>
      </c>
      <c r="C11" s="12"/>
      <c r="D11" s="9" t="s">
        <v>17</v>
      </c>
      <c r="E11" s="11">
        <v>4</v>
      </c>
      <c r="F11" s="12"/>
      <c r="G11" s="12"/>
      <c r="H11" s="12"/>
    </row>
    <row r="12" spans="1:8">
      <c r="A12" s="12"/>
      <c r="B12" s="12"/>
      <c r="C12" s="12"/>
      <c r="D12" s="12"/>
      <c r="E12" s="12"/>
      <c r="F12" s="12"/>
      <c r="G12" s="12"/>
      <c r="H12" s="12"/>
    </row>
    <row r="13" spans="1:8">
      <c r="A13" s="128" t="s">
        <v>18</v>
      </c>
      <c r="B13" s="129" t="s">
        <v>18</v>
      </c>
      <c r="C13" s="129" t="s">
        <v>18</v>
      </c>
      <c r="D13" s="129" t="s">
        <v>18</v>
      </c>
      <c r="E13" s="129" t="s">
        <v>18</v>
      </c>
      <c r="F13" s="129" t="s">
        <v>18</v>
      </c>
      <c r="G13" s="129" t="s">
        <v>18</v>
      </c>
      <c r="H13" s="130" t="s">
        <v>18</v>
      </c>
    </row>
    <row r="14" spans="1:8" ht="31.05" customHeight="1">
      <c r="A14" s="131" t="s">
        <v>19</v>
      </c>
      <c r="B14" s="131"/>
      <c r="C14" s="131"/>
      <c r="D14" s="131"/>
      <c r="E14" s="131"/>
      <c r="F14" s="131"/>
      <c r="G14" s="131"/>
      <c r="H14" s="131"/>
    </row>
    <row r="15" spans="1:8" ht="31.05" customHeight="1">
      <c r="A15" s="131" t="s">
        <v>20</v>
      </c>
      <c r="B15" s="131"/>
      <c r="C15" s="131"/>
      <c r="D15" s="131"/>
      <c r="E15" s="131"/>
      <c r="F15" s="131"/>
      <c r="G15" s="131"/>
      <c r="H15" s="131"/>
    </row>
    <row r="16" spans="1:8" ht="31.05" customHeight="1">
      <c r="A16" s="131" t="s">
        <v>21</v>
      </c>
      <c r="B16" s="131"/>
      <c r="C16" s="131"/>
      <c r="D16" s="131"/>
      <c r="E16" s="131"/>
      <c r="F16" s="131"/>
      <c r="G16" s="131"/>
      <c r="H16" s="131"/>
    </row>
    <row r="17" spans="1:8" ht="31.05" customHeight="1">
      <c r="A17" s="131" t="s">
        <v>22</v>
      </c>
      <c r="B17" s="131"/>
      <c r="C17" s="131"/>
      <c r="D17" s="131"/>
      <c r="E17" s="131"/>
      <c r="F17" s="131"/>
      <c r="G17" s="131"/>
      <c r="H17" s="131"/>
    </row>
    <row r="18" spans="1:8" ht="31.05" customHeight="1">
      <c r="A18" s="131" t="s">
        <v>23</v>
      </c>
      <c r="B18" s="131"/>
      <c r="C18" s="131"/>
      <c r="D18" s="131"/>
      <c r="E18" s="131"/>
      <c r="F18" s="131"/>
      <c r="G18" s="131"/>
      <c r="H18" s="131"/>
    </row>
    <row r="19" spans="1:8">
      <c r="A19" s="12"/>
      <c r="B19" s="12"/>
      <c r="C19" s="12"/>
      <c r="D19" s="12"/>
      <c r="E19" s="12"/>
      <c r="F19" s="12"/>
      <c r="G19" s="12"/>
      <c r="H19" s="12"/>
    </row>
    <row r="20" spans="1:8">
      <c r="A20" s="128" t="s">
        <v>24</v>
      </c>
      <c r="B20" s="129" t="s">
        <v>24</v>
      </c>
      <c r="C20" s="129" t="s">
        <v>24</v>
      </c>
      <c r="D20" s="129" t="s">
        <v>24</v>
      </c>
      <c r="E20" s="129" t="s">
        <v>24</v>
      </c>
      <c r="F20" s="129" t="s">
        <v>24</v>
      </c>
      <c r="G20" s="129" t="s">
        <v>24</v>
      </c>
      <c r="H20" s="130" t="s">
        <v>24</v>
      </c>
    </row>
    <row r="21" spans="1:8" ht="28.05" customHeight="1">
      <c r="A21" s="132" t="s">
        <v>25</v>
      </c>
      <c r="B21" s="132"/>
      <c r="C21" s="132"/>
      <c r="D21" s="132"/>
      <c r="E21" s="132"/>
      <c r="F21" s="132"/>
      <c r="G21" s="132"/>
      <c r="H21" s="132"/>
    </row>
    <row r="22" spans="1:8" ht="28.05" customHeight="1">
      <c r="A22" s="132" t="s">
        <v>26</v>
      </c>
      <c r="B22" s="132"/>
      <c r="C22" s="132"/>
      <c r="D22" s="132"/>
      <c r="E22" s="132"/>
      <c r="F22" s="132"/>
      <c r="G22" s="132"/>
      <c r="H22" s="132"/>
    </row>
    <row r="23" spans="1:8" ht="28.05" customHeight="1">
      <c r="A23" s="132" t="s">
        <v>27</v>
      </c>
      <c r="B23" s="132"/>
      <c r="C23" s="132"/>
      <c r="D23" s="132"/>
      <c r="E23" s="132"/>
      <c r="F23" s="132"/>
      <c r="G23" s="132"/>
      <c r="H23" s="132"/>
    </row>
    <row r="24" spans="1:8" ht="28.05" customHeight="1">
      <c r="A24" s="132" t="s">
        <v>28</v>
      </c>
      <c r="B24" s="132"/>
      <c r="C24" s="132"/>
      <c r="D24" s="132"/>
      <c r="E24" s="132"/>
      <c r="F24" s="132"/>
      <c r="G24" s="132"/>
      <c r="H24" s="132"/>
    </row>
  </sheetData>
  <mergeCells count="15">
    <mergeCell ref="A20:H20"/>
    <mergeCell ref="A21:H21"/>
    <mergeCell ref="A22:H22"/>
    <mergeCell ref="A23:H23"/>
    <mergeCell ref="A24:H24"/>
    <mergeCell ref="A14:H14"/>
    <mergeCell ref="A15:H15"/>
    <mergeCell ref="A16:H16"/>
    <mergeCell ref="A17:H17"/>
    <mergeCell ref="A18:H18"/>
    <mergeCell ref="A1:H2"/>
    <mergeCell ref="A3:H3"/>
    <mergeCell ref="A4:H4"/>
    <mergeCell ref="A5:H5"/>
    <mergeCell ref="A13:H13"/>
  </mergeCells>
  <phoneticPr fontId="14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showGridLines="0" workbookViewId="0">
      <selection sqref="A1:L2"/>
    </sheetView>
  </sheetViews>
  <sheetFormatPr defaultRowHeight="13.8"/>
  <cols>
    <col min="1" max="1" width="23" customWidth="1"/>
    <col min="2" max="12" width="12" customWidth="1"/>
  </cols>
  <sheetData>
    <row r="1" spans="1:12">
      <c r="A1" s="123" t="s">
        <v>29</v>
      </c>
      <c r="B1" s="124" t="s">
        <v>29</v>
      </c>
      <c r="C1" s="124" t="s">
        <v>29</v>
      </c>
      <c r="D1" s="124" t="s">
        <v>29</v>
      </c>
      <c r="E1" s="124" t="s">
        <v>29</v>
      </c>
      <c r="F1" s="124" t="s">
        <v>29</v>
      </c>
      <c r="G1" s="124" t="s">
        <v>29</v>
      </c>
      <c r="H1" s="124" t="s">
        <v>29</v>
      </c>
      <c r="I1" s="124" t="s">
        <v>29</v>
      </c>
      <c r="J1" s="124" t="s">
        <v>29</v>
      </c>
      <c r="K1" s="124" t="s">
        <v>29</v>
      </c>
      <c r="L1" s="124" t="s">
        <v>29</v>
      </c>
    </row>
    <row r="2" spans="1:12">
      <c r="A2" s="124" t="s">
        <v>29</v>
      </c>
      <c r="B2" s="124" t="s">
        <v>29</v>
      </c>
      <c r="C2" s="124" t="s">
        <v>29</v>
      </c>
      <c r="D2" s="124" t="s">
        <v>29</v>
      </c>
      <c r="E2" s="124" t="s">
        <v>29</v>
      </c>
      <c r="F2" s="124" t="s">
        <v>29</v>
      </c>
      <c r="G2" s="124" t="s">
        <v>29</v>
      </c>
      <c r="H2" s="124" t="s">
        <v>29</v>
      </c>
      <c r="I2" s="124" t="s">
        <v>29</v>
      </c>
      <c r="J2" s="124" t="s">
        <v>29</v>
      </c>
      <c r="K2" s="124" t="s">
        <v>29</v>
      </c>
      <c r="L2" s="124" t="s">
        <v>29</v>
      </c>
    </row>
    <row r="3" spans="1:12">
      <c r="A3" s="125" t="s">
        <v>1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</row>
    <row r="4" spans="1:12">
      <c r="A4" s="126" t="s">
        <v>2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</row>
    <row r="5" spans="1:12">
      <c r="A5" s="13" t="s">
        <v>30</v>
      </c>
      <c r="B5" s="14" t="s">
        <v>31</v>
      </c>
      <c r="C5" s="14" t="s">
        <v>32</v>
      </c>
      <c r="D5" s="14" t="s">
        <v>33</v>
      </c>
      <c r="E5" s="14" t="s">
        <v>34</v>
      </c>
      <c r="F5" s="14" t="s">
        <v>35</v>
      </c>
      <c r="G5" s="14" t="s">
        <v>36</v>
      </c>
      <c r="H5" s="14" t="s">
        <v>37</v>
      </c>
      <c r="I5" s="14" t="s">
        <v>38</v>
      </c>
      <c r="J5" s="14" t="s">
        <v>39</v>
      </c>
      <c r="K5" s="14" t="s">
        <v>40</v>
      </c>
      <c r="L5" s="15" t="s">
        <v>41</v>
      </c>
    </row>
    <row r="6" spans="1:12">
      <c r="A6" s="16" t="s">
        <v>42</v>
      </c>
      <c r="B6" s="17">
        <v>31.7</v>
      </c>
      <c r="C6" s="17">
        <v>51.7</v>
      </c>
      <c r="D6" s="17">
        <v>64.5</v>
      </c>
      <c r="E6" s="17">
        <v>72.3</v>
      </c>
      <c r="F6" s="17">
        <v>68.3</v>
      </c>
      <c r="G6" s="74">
        <v>72.7</v>
      </c>
      <c r="H6" s="74">
        <v>84.3</v>
      </c>
      <c r="I6" s="74">
        <v>88.9</v>
      </c>
      <c r="J6" s="17">
        <v>220.2</v>
      </c>
      <c r="K6" s="74">
        <v>314.2</v>
      </c>
      <c r="L6" s="74">
        <v>402.5</v>
      </c>
    </row>
    <row r="7" spans="1:12">
      <c r="A7" s="18" t="s">
        <v>43</v>
      </c>
      <c r="B7" s="19">
        <v>16.899999999999999</v>
      </c>
      <c r="C7" s="19">
        <v>33.1</v>
      </c>
      <c r="D7" s="19">
        <v>44</v>
      </c>
      <c r="E7" s="19">
        <v>54.4</v>
      </c>
      <c r="F7" s="19">
        <v>54.2</v>
      </c>
      <c r="G7" s="63">
        <v>57.5</v>
      </c>
      <c r="H7" s="63">
        <v>68.2</v>
      </c>
      <c r="I7" s="63">
        <v>75.2</v>
      </c>
      <c r="J7" s="19">
        <v>148.4</v>
      </c>
      <c r="K7" s="63">
        <v>255</v>
      </c>
      <c r="L7" s="63">
        <v>336.1</v>
      </c>
    </row>
    <row r="8" spans="1:12">
      <c r="A8" s="18" t="s">
        <v>44</v>
      </c>
      <c r="B8" s="19">
        <v>9.5</v>
      </c>
      <c r="C8" s="19">
        <v>14</v>
      </c>
      <c r="D8" s="19">
        <v>13.5</v>
      </c>
      <c r="E8" s="19">
        <v>12</v>
      </c>
      <c r="F8" s="19">
        <v>11</v>
      </c>
      <c r="G8" s="63">
        <v>11.6</v>
      </c>
      <c r="H8" s="63">
        <v>11</v>
      </c>
      <c r="I8" s="63">
        <v>8.8000000000000007</v>
      </c>
      <c r="J8" s="19">
        <v>49</v>
      </c>
      <c r="K8" s="63">
        <v>42.3</v>
      </c>
      <c r="L8" s="63">
        <v>46.2</v>
      </c>
    </row>
    <row r="9" spans="1:12">
      <c r="A9" s="18" t="s">
        <v>45</v>
      </c>
      <c r="B9" s="19">
        <v>3.2</v>
      </c>
      <c r="C9" s="19">
        <v>3</v>
      </c>
      <c r="D9" s="19">
        <v>4.5</v>
      </c>
      <c r="E9" s="19">
        <v>3</v>
      </c>
      <c r="F9" s="19">
        <v>1.6</v>
      </c>
      <c r="G9" s="63">
        <v>1.6</v>
      </c>
      <c r="H9" s="63">
        <v>2.2000000000000002</v>
      </c>
      <c r="I9" s="63">
        <v>1.7</v>
      </c>
      <c r="J9" s="19">
        <v>13.7</v>
      </c>
      <c r="K9" s="63">
        <v>7.1</v>
      </c>
      <c r="L9" s="63">
        <v>7.7</v>
      </c>
    </row>
    <row r="10" spans="1:12">
      <c r="A10" s="18" t="s">
        <v>46</v>
      </c>
      <c r="B10" s="19">
        <v>1</v>
      </c>
      <c r="C10" s="19">
        <v>0.7</v>
      </c>
      <c r="D10" s="19">
        <v>1.5</v>
      </c>
      <c r="E10" s="19">
        <v>1.9</v>
      </c>
      <c r="F10" s="19">
        <v>1.5</v>
      </c>
      <c r="G10" s="63">
        <v>1.1000000000000001</v>
      </c>
      <c r="H10" s="63">
        <v>1.8</v>
      </c>
      <c r="I10" s="63">
        <v>1.9</v>
      </c>
      <c r="J10" s="19">
        <v>5.0999999999999996</v>
      </c>
      <c r="K10" s="63">
        <v>6.3</v>
      </c>
      <c r="L10" s="63">
        <v>6.7</v>
      </c>
    </row>
    <row r="11" spans="1:12">
      <c r="A11" s="18" t="s">
        <v>47</v>
      </c>
      <c r="B11" s="19">
        <v>0.7</v>
      </c>
      <c r="C11" s="19">
        <v>0.7</v>
      </c>
      <c r="D11" s="19">
        <v>0.8</v>
      </c>
      <c r="E11" s="19">
        <v>1</v>
      </c>
      <c r="F11" s="19">
        <v>0</v>
      </c>
      <c r="G11" s="63">
        <v>1.1000000000000001</v>
      </c>
      <c r="H11" s="63">
        <v>1.2</v>
      </c>
      <c r="I11" s="63">
        <v>1.4</v>
      </c>
      <c r="J11" s="19">
        <v>3.2</v>
      </c>
      <c r="K11" s="63">
        <v>3.6</v>
      </c>
      <c r="L11" s="63">
        <v>5.9</v>
      </c>
    </row>
    <row r="12" spans="1:12">
      <c r="A12" s="18" t="s">
        <v>48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63">
        <v>0</v>
      </c>
      <c r="H12" s="63">
        <v>0</v>
      </c>
      <c r="I12" s="63">
        <v>0</v>
      </c>
      <c r="J12" s="19">
        <v>0</v>
      </c>
      <c r="K12" s="63">
        <v>0</v>
      </c>
      <c r="L12" s="63">
        <v>0</v>
      </c>
    </row>
    <row r="13" spans="1:12">
      <c r="A13" s="18" t="s">
        <v>49</v>
      </c>
      <c r="B13" s="19">
        <v>0.4</v>
      </c>
      <c r="C13" s="19">
        <v>0.2</v>
      </c>
      <c r="D13" s="19">
        <v>0.2</v>
      </c>
      <c r="E13" s="19">
        <v>0</v>
      </c>
      <c r="F13" s="19">
        <v>0</v>
      </c>
      <c r="G13" s="63">
        <v>0</v>
      </c>
      <c r="H13" s="63">
        <v>0</v>
      </c>
      <c r="I13" s="63">
        <v>0</v>
      </c>
      <c r="J13" s="19">
        <v>0.8</v>
      </c>
      <c r="K13" s="63">
        <v>0</v>
      </c>
      <c r="L13" s="63">
        <v>0</v>
      </c>
    </row>
    <row r="14" spans="1:12">
      <c r="A14" s="16" t="s">
        <v>50</v>
      </c>
      <c r="B14" s="17">
        <v>-9.6999999999999993</v>
      </c>
      <c r="C14" s="17">
        <v>3.8</v>
      </c>
      <c r="D14" s="17">
        <v>28</v>
      </c>
      <c r="E14" s="17">
        <v>84.3</v>
      </c>
      <c r="F14" s="17">
        <v>115.5</v>
      </c>
      <c r="G14" s="74">
        <v>40.700000000000003</v>
      </c>
      <c r="H14" s="74">
        <v>30.7</v>
      </c>
      <c r="I14" s="74">
        <v>23</v>
      </c>
      <c r="J14" s="17">
        <v>26.2</v>
      </c>
      <c r="K14" s="74">
        <v>42.7</v>
      </c>
      <c r="L14" s="74">
        <v>28.1</v>
      </c>
    </row>
    <row r="15" spans="1:12">
      <c r="A15" s="18" t="s">
        <v>51</v>
      </c>
      <c r="B15" s="19">
        <v>-19.3</v>
      </c>
      <c r="C15" s="19">
        <v>63</v>
      </c>
      <c r="D15" s="19">
        <v>24.9</v>
      </c>
      <c r="E15" s="19">
        <v>12.1</v>
      </c>
      <c r="F15" s="19">
        <v>-5.6</v>
      </c>
      <c r="G15" s="63">
        <v>6.5</v>
      </c>
      <c r="H15" s="63">
        <v>16</v>
      </c>
      <c r="I15" s="63">
        <v>5.5</v>
      </c>
      <c r="J15" s="19"/>
      <c r="K15" s="63"/>
      <c r="L15" s="63"/>
    </row>
    <row r="16" spans="1:12">
      <c r="A16" s="16" t="s">
        <v>52</v>
      </c>
      <c r="B16" s="17">
        <v>17.399999999999999</v>
      </c>
      <c r="C16" s="17">
        <v>29.1</v>
      </c>
      <c r="D16" s="17">
        <v>36.9</v>
      </c>
      <c r="E16" s="17">
        <v>39</v>
      </c>
      <c r="F16" s="17">
        <v>32.9</v>
      </c>
      <c r="G16" s="74">
        <v>39.299999999999997</v>
      </c>
      <c r="H16" s="74">
        <v>46.2</v>
      </c>
      <c r="I16" s="74">
        <v>47.8</v>
      </c>
      <c r="J16" s="17">
        <v>122.5</v>
      </c>
      <c r="K16" s="74">
        <v>166.2</v>
      </c>
      <c r="L16" s="74">
        <v>211.9</v>
      </c>
    </row>
    <row r="17" spans="1:12">
      <c r="A17" s="18" t="s">
        <v>53</v>
      </c>
      <c r="B17" s="19">
        <v>14.2</v>
      </c>
      <c r="C17" s="19">
        <v>22.5</v>
      </c>
      <c r="D17" s="19">
        <v>27.6</v>
      </c>
      <c r="E17" s="19">
        <v>33.299999999999997</v>
      </c>
      <c r="F17" s="19">
        <v>35.4</v>
      </c>
      <c r="G17" s="63">
        <v>33.4</v>
      </c>
      <c r="H17" s="63">
        <v>38.1</v>
      </c>
      <c r="I17" s="63">
        <v>41.2</v>
      </c>
      <c r="J17" s="19">
        <v>97.7</v>
      </c>
      <c r="K17" s="63">
        <v>148.1</v>
      </c>
      <c r="L17" s="63">
        <v>190.6</v>
      </c>
    </row>
    <row r="18" spans="1:12">
      <c r="A18" s="18" t="s">
        <v>54</v>
      </c>
      <c r="B18" s="19">
        <v>44.9</v>
      </c>
      <c r="C18" s="19">
        <v>43.6</v>
      </c>
      <c r="D18" s="19">
        <v>42.8</v>
      </c>
      <c r="E18" s="19">
        <v>46.1</v>
      </c>
      <c r="F18" s="19">
        <v>51.9</v>
      </c>
      <c r="G18" s="63">
        <v>45.9</v>
      </c>
      <c r="H18" s="63">
        <v>45.2</v>
      </c>
      <c r="I18" s="63">
        <v>46.3</v>
      </c>
      <c r="J18" s="19">
        <v>44.4</v>
      </c>
      <c r="K18" s="63">
        <v>47.1</v>
      </c>
      <c r="L18" s="63">
        <v>47.4</v>
      </c>
    </row>
    <row r="19" spans="1:12">
      <c r="A19" s="18" t="s">
        <v>55</v>
      </c>
      <c r="B19" s="19">
        <v>7.2</v>
      </c>
      <c r="C19" s="19">
        <v>8.8000000000000007</v>
      </c>
      <c r="D19" s="19">
        <v>10.199999999999999</v>
      </c>
      <c r="E19" s="19">
        <v>11.4</v>
      </c>
      <c r="F19" s="19">
        <v>11.8</v>
      </c>
      <c r="G19" s="63">
        <v>10.6</v>
      </c>
      <c r="H19" s="63">
        <v>11.8</v>
      </c>
      <c r="I19" s="63">
        <v>13.5</v>
      </c>
      <c r="J19" s="19">
        <v>37.700000000000003</v>
      </c>
      <c r="K19" s="63">
        <v>47.6</v>
      </c>
      <c r="L19" s="63">
        <v>53.8</v>
      </c>
    </row>
    <row r="20" spans="1:12">
      <c r="A20" s="16" t="s">
        <v>56</v>
      </c>
      <c r="B20" s="17">
        <v>7</v>
      </c>
      <c r="C20" s="17">
        <v>13.7</v>
      </c>
      <c r="D20" s="17">
        <v>17.399999999999999</v>
      </c>
      <c r="E20" s="17">
        <v>21.9</v>
      </c>
      <c r="F20" s="17">
        <v>23.6</v>
      </c>
      <c r="G20" s="74">
        <v>22.8</v>
      </c>
      <c r="H20" s="74">
        <v>26.4</v>
      </c>
      <c r="I20" s="74">
        <v>27.7</v>
      </c>
      <c r="J20" s="17">
        <v>60.1</v>
      </c>
      <c r="K20" s="74">
        <v>100.4</v>
      </c>
      <c r="L20" s="74">
        <v>136.80000000000001</v>
      </c>
    </row>
    <row r="21" spans="1:12">
      <c r="A21" s="16" t="s">
        <v>57</v>
      </c>
      <c r="B21" s="17">
        <v>22.1</v>
      </c>
      <c r="C21" s="17">
        <v>26.5</v>
      </c>
      <c r="D21" s="17">
        <v>27</v>
      </c>
      <c r="E21" s="17">
        <v>30.3</v>
      </c>
      <c r="F21" s="17">
        <v>34.6</v>
      </c>
      <c r="G21" s="74">
        <v>31.4</v>
      </c>
      <c r="H21" s="74">
        <v>31.3</v>
      </c>
      <c r="I21" s="74">
        <v>31.1</v>
      </c>
      <c r="J21" s="17">
        <v>27.3</v>
      </c>
      <c r="K21" s="74">
        <v>32</v>
      </c>
      <c r="L21" s="74">
        <v>34</v>
      </c>
    </row>
    <row r="22" spans="1:12">
      <c r="A22" s="18" t="s">
        <v>58</v>
      </c>
      <c r="B22" s="19">
        <v>9.3000000000000007</v>
      </c>
      <c r="C22" s="19">
        <v>13.5</v>
      </c>
      <c r="D22" s="19">
        <v>19.8</v>
      </c>
      <c r="E22" s="19">
        <v>24</v>
      </c>
      <c r="F22" s="19">
        <v>26.6</v>
      </c>
      <c r="G22" s="63">
        <v>25.9</v>
      </c>
      <c r="H22" s="63">
        <v>29.5</v>
      </c>
      <c r="I22" s="63">
        <v>30.7</v>
      </c>
      <c r="J22" s="19">
        <v>66.599999999999994</v>
      </c>
      <c r="K22" s="63">
        <v>112.6</v>
      </c>
      <c r="L22" s="63">
        <v>148.1</v>
      </c>
    </row>
    <row r="23" spans="1:12">
      <c r="A23" s="18" t="s">
        <v>59</v>
      </c>
      <c r="B23" s="19">
        <v>6.8</v>
      </c>
      <c r="C23" s="19">
        <v>11.5</v>
      </c>
      <c r="D23" s="19">
        <v>16.100000000000001</v>
      </c>
      <c r="E23" s="19">
        <v>21.7</v>
      </c>
      <c r="F23" s="19">
        <v>20.5</v>
      </c>
      <c r="G23" s="63">
        <v>20.100000000000001</v>
      </c>
      <c r="H23" s="63">
        <v>22.9</v>
      </c>
      <c r="I23" s="63">
        <v>23.8</v>
      </c>
      <c r="J23" s="19">
        <v>56.1</v>
      </c>
      <c r="K23" s="63">
        <v>87.3</v>
      </c>
      <c r="L23" s="63">
        <v>115.1</v>
      </c>
    </row>
    <row r="24" spans="1:12">
      <c r="A24" s="18" t="s">
        <v>60</v>
      </c>
      <c r="B24" s="19">
        <v>21.6</v>
      </c>
      <c r="C24" s="19">
        <v>22.3</v>
      </c>
      <c r="D24" s="19">
        <v>24.9</v>
      </c>
      <c r="E24" s="19">
        <v>30</v>
      </c>
      <c r="F24" s="19">
        <v>30</v>
      </c>
      <c r="G24" s="63">
        <v>27.7</v>
      </c>
      <c r="H24" s="63">
        <v>27.1</v>
      </c>
      <c r="I24" s="63">
        <v>26.8</v>
      </c>
      <c r="J24" s="19">
        <v>25.5</v>
      </c>
      <c r="K24" s="63">
        <v>27.8</v>
      </c>
      <c r="L24" s="63">
        <v>28.6</v>
      </c>
    </row>
    <row r="25" spans="1:12">
      <c r="A25" s="16" t="s">
        <v>61</v>
      </c>
      <c r="B25" s="17">
        <v>334</v>
      </c>
      <c r="C25" s="17">
        <v>562</v>
      </c>
      <c r="D25" s="17">
        <v>785</v>
      </c>
      <c r="E25" s="17">
        <v>1062</v>
      </c>
      <c r="F25" s="17">
        <v>1000</v>
      </c>
      <c r="G25" s="74">
        <v>983</v>
      </c>
      <c r="H25" s="74">
        <v>1118</v>
      </c>
      <c r="I25" s="74">
        <v>1164</v>
      </c>
      <c r="J25" s="17">
        <v>2743</v>
      </c>
      <c r="K25" s="74">
        <v>4266</v>
      </c>
      <c r="L25" s="74">
        <v>5623</v>
      </c>
    </row>
    <row r="26" spans="1:12">
      <c r="A26" s="18" t="s">
        <v>62</v>
      </c>
      <c r="B26" s="19">
        <v>-56.7</v>
      </c>
      <c r="C26" s="19">
        <v>-28</v>
      </c>
      <c r="D26" s="19">
        <v>44.4</v>
      </c>
      <c r="E26" s="19">
        <v>84.4</v>
      </c>
      <c r="F26" s="19">
        <v>199.6</v>
      </c>
      <c r="G26" s="63">
        <v>74.900000000000006</v>
      </c>
      <c r="H26" s="63">
        <v>42.4</v>
      </c>
      <c r="I26" s="63">
        <v>9.6999999999999993</v>
      </c>
      <c r="J26" s="19">
        <v>2.7</v>
      </c>
      <c r="K26" s="63">
        <v>55.5</v>
      </c>
      <c r="L26" s="63">
        <v>31.8</v>
      </c>
    </row>
    <row r="27" spans="1:12">
      <c r="A27" s="10" t="s">
        <v>63</v>
      </c>
      <c r="B27" s="20">
        <v>-42</v>
      </c>
      <c r="C27" s="20">
        <v>68.3</v>
      </c>
      <c r="D27" s="20">
        <v>39.799999999999997</v>
      </c>
      <c r="E27" s="20">
        <v>35.200000000000003</v>
      </c>
      <c r="F27" s="20">
        <v>-5.8</v>
      </c>
      <c r="G27" s="75">
        <v>-1.7</v>
      </c>
      <c r="H27" s="75">
        <v>13.8</v>
      </c>
      <c r="I27" s="75">
        <v>4.0999999999999996</v>
      </c>
      <c r="J27" s="20"/>
      <c r="K27" s="75"/>
      <c r="L27" s="75"/>
    </row>
    <row r="28" spans="1:1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>
      <c r="A29" s="127" t="s">
        <v>64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</row>
  </sheetData>
  <mergeCells count="4">
    <mergeCell ref="A1:L2"/>
    <mergeCell ref="A3:L3"/>
    <mergeCell ref="A4:L4"/>
    <mergeCell ref="A29:L29"/>
  </mergeCells>
  <phoneticPr fontId="14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showGridLines="0" workbookViewId="0">
      <selection sqref="A1:K2"/>
    </sheetView>
  </sheetViews>
  <sheetFormatPr defaultRowHeight="13.8"/>
  <cols>
    <col min="1" max="1" width="23" customWidth="1"/>
    <col min="2" max="11" width="17" customWidth="1"/>
  </cols>
  <sheetData>
    <row r="1" spans="1:11">
      <c r="A1" s="123" t="s">
        <v>65</v>
      </c>
      <c r="B1" s="124" t="s">
        <v>65</v>
      </c>
      <c r="C1" s="124" t="s">
        <v>65</v>
      </c>
      <c r="D1" s="124" t="s">
        <v>65</v>
      </c>
      <c r="E1" s="124" t="s">
        <v>65</v>
      </c>
      <c r="F1" s="124" t="s">
        <v>65</v>
      </c>
      <c r="G1" s="124" t="s">
        <v>65</v>
      </c>
      <c r="H1" s="124" t="s">
        <v>65</v>
      </c>
      <c r="I1" s="124" t="s">
        <v>65</v>
      </c>
      <c r="J1" s="124" t="s">
        <v>65</v>
      </c>
      <c r="K1" s="124" t="s">
        <v>65</v>
      </c>
    </row>
    <row r="2" spans="1:11">
      <c r="A2" s="124" t="s">
        <v>65</v>
      </c>
      <c r="B2" s="124" t="s">
        <v>65</v>
      </c>
      <c r="C2" s="124" t="s">
        <v>65</v>
      </c>
      <c r="D2" s="124" t="s">
        <v>65</v>
      </c>
      <c r="E2" s="124" t="s">
        <v>65</v>
      </c>
      <c r="F2" s="124" t="s">
        <v>65</v>
      </c>
      <c r="G2" s="124" t="s">
        <v>65</v>
      </c>
      <c r="H2" s="124" t="s">
        <v>65</v>
      </c>
      <c r="I2" s="124" t="s">
        <v>65</v>
      </c>
      <c r="J2" s="124" t="s">
        <v>65</v>
      </c>
      <c r="K2" s="124" t="s">
        <v>65</v>
      </c>
    </row>
    <row r="3" spans="1:11">
      <c r="A3" s="125" t="s">
        <v>1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</row>
    <row r="4" spans="1:11">
      <c r="A4" s="126" t="s">
        <v>2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</row>
    <row r="5" spans="1:11">
      <c r="A5" s="13" t="s">
        <v>30</v>
      </c>
      <c r="B5" s="14" t="s">
        <v>66</v>
      </c>
      <c r="C5" s="14" t="s">
        <v>67</v>
      </c>
      <c r="D5" s="14" t="s">
        <v>68</v>
      </c>
      <c r="E5" s="14" t="s">
        <v>69</v>
      </c>
      <c r="F5" s="14" t="s">
        <v>70</v>
      </c>
      <c r="G5" s="14" t="s">
        <v>71</v>
      </c>
      <c r="H5" s="14" t="s">
        <v>72</v>
      </c>
      <c r="I5" s="14" t="s">
        <v>73</v>
      </c>
      <c r="J5" s="14" t="s">
        <v>74</v>
      </c>
      <c r="K5" s="15" t="s">
        <v>75</v>
      </c>
    </row>
    <row r="6" spans="1:11">
      <c r="A6" s="2" t="s">
        <v>76</v>
      </c>
      <c r="B6" s="76">
        <v>314.2</v>
      </c>
      <c r="C6" s="76">
        <v>402.5</v>
      </c>
      <c r="D6" s="77"/>
      <c r="E6" s="77"/>
      <c r="F6" s="21" t="str">
        <f>IFERROR(B6/D6-1,"N/A")</f>
        <v>N/A</v>
      </c>
      <c r="G6" s="21" t="str">
        <f>IFERROR(C6/E6-1,"N/A")</f>
        <v>N/A</v>
      </c>
      <c r="H6" s="2" t="s">
        <v>77</v>
      </c>
      <c r="I6" s="79">
        <v>300000</v>
      </c>
      <c r="J6" s="79">
        <v>280000</v>
      </c>
      <c r="K6" s="21">
        <f>I6/J6-1</f>
        <v>7.1428571428571397E-2</v>
      </c>
    </row>
    <row r="7" spans="1:11">
      <c r="A7" s="18" t="s">
        <v>78</v>
      </c>
      <c r="B7" s="63">
        <v>100.49339999999999</v>
      </c>
      <c r="C7" s="63">
        <v>136.85</v>
      </c>
      <c r="D7" s="62"/>
      <c r="E7" s="62"/>
      <c r="F7" s="23" t="str">
        <f>IFERROR(B7/D7-1,"N/A")</f>
        <v>N/A</v>
      </c>
      <c r="G7" s="23" t="str">
        <f>IFERROR(C7/E7-1,"N/A")</f>
        <v>N/A</v>
      </c>
      <c r="H7" s="18" t="s">
        <v>79</v>
      </c>
      <c r="I7" s="80">
        <v>4266</v>
      </c>
      <c r="J7" s="80">
        <v>4109</v>
      </c>
      <c r="K7" s="23">
        <f>I7/J7-1</f>
        <v>3.8208809929423326E-2</v>
      </c>
    </row>
    <row r="8" spans="1:11">
      <c r="A8" s="10" t="s">
        <v>61</v>
      </c>
      <c r="B8" s="75">
        <v>4262.4228499999999</v>
      </c>
      <c r="C8" s="75">
        <v>5626.2243399999998</v>
      </c>
      <c r="D8" s="78">
        <v>4109</v>
      </c>
      <c r="E8" s="78">
        <v>5395</v>
      </c>
      <c r="F8" s="25">
        <f>B8/D8-1</f>
        <v>3.7338245315161833E-2</v>
      </c>
      <c r="G8" s="25">
        <f>C8/E8-1</f>
        <v>4.2859006487488305E-2</v>
      </c>
      <c r="H8" s="10" t="s">
        <v>80</v>
      </c>
      <c r="I8" s="81">
        <v>5623</v>
      </c>
      <c r="J8" s="81">
        <v>5395</v>
      </c>
      <c r="K8" s="25">
        <f>I8/J8-1</f>
        <v>4.2261353104726673E-2</v>
      </c>
    </row>
    <row r="9" spans="1:1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>
      <c r="A10" s="133" t="s">
        <v>81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</row>
    <row r="11" spans="1:11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</row>
  </sheetData>
  <mergeCells count="4">
    <mergeCell ref="A1:K2"/>
    <mergeCell ref="A3:K3"/>
    <mergeCell ref="A4:K4"/>
    <mergeCell ref="A10:K11"/>
  </mergeCells>
  <phoneticPr fontId="14" type="noConversion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showGridLines="0" workbookViewId="0">
      <selection sqref="A1:F2"/>
    </sheetView>
  </sheetViews>
  <sheetFormatPr defaultRowHeight="13.8"/>
  <cols>
    <col min="1" max="1" width="31" customWidth="1"/>
    <col min="2" max="2" width="20" customWidth="1"/>
    <col min="3" max="3" width="46" customWidth="1"/>
    <col min="4" max="6" width="12" customWidth="1"/>
  </cols>
  <sheetData>
    <row r="1" spans="1:6">
      <c r="A1" s="123" t="s">
        <v>82</v>
      </c>
      <c r="B1" s="124" t="s">
        <v>82</v>
      </c>
      <c r="C1" s="124" t="s">
        <v>82</v>
      </c>
      <c r="D1" s="124" t="s">
        <v>82</v>
      </c>
      <c r="E1" s="124" t="s">
        <v>82</v>
      </c>
      <c r="F1" s="124" t="s">
        <v>82</v>
      </c>
    </row>
    <row r="2" spans="1:6">
      <c r="A2" s="124" t="s">
        <v>82</v>
      </c>
      <c r="B2" s="124" t="s">
        <v>82</v>
      </c>
      <c r="C2" s="124" t="s">
        <v>82</v>
      </c>
      <c r="D2" s="124" t="s">
        <v>82</v>
      </c>
      <c r="E2" s="124" t="s">
        <v>82</v>
      </c>
      <c r="F2" s="124" t="s">
        <v>82</v>
      </c>
    </row>
    <row r="3" spans="1:6">
      <c r="A3" s="125" t="s">
        <v>1</v>
      </c>
      <c r="B3" s="125"/>
      <c r="C3" s="125"/>
      <c r="D3" s="125"/>
      <c r="E3" s="125"/>
      <c r="F3" s="125"/>
    </row>
    <row r="4" spans="1:6">
      <c r="A4" s="126" t="s">
        <v>2</v>
      </c>
      <c r="B4" s="126"/>
      <c r="C4" s="126"/>
      <c r="D4" s="126"/>
      <c r="E4" s="126"/>
      <c r="F4" s="126"/>
    </row>
    <row r="5" spans="1:6">
      <c r="A5" s="13" t="s">
        <v>30</v>
      </c>
      <c r="B5" s="14" t="s">
        <v>83</v>
      </c>
      <c r="C5" s="15" t="s">
        <v>84</v>
      </c>
      <c r="D5" s="12"/>
      <c r="E5" s="12"/>
      <c r="F5" s="12"/>
    </row>
    <row r="6" spans="1:6">
      <c r="A6" s="2" t="s">
        <v>85</v>
      </c>
      <c r="B6" s="82">
        <v>5623</v>
      </c>
      <c r="C6" s="2" t="s">
        <v>86</v>
      </c>
      <c r="D6" s="12"/>
      <c r="E6" s="12"/>
      <c r="F6" s="12"/>
    </row>
    <row r="7" spans="1:6">
      <c r="A7" s="18" t="s">
        <v>87</v>
      </c>
      <c r="B7" s="67">
        <v>88.920505067999997</v>
      </c>
      <c r="C7" s="18" t="s">
        <v>88</v>
      </c>
      <c r="D7" s="12"/>
      <c r="E7" s="12"/>
      <c r="F7" s="12"/>
    </row>
    <row r="8" spans="1:6">
      <c r="A8" s="18" t="s">
        <v>89</v>
      </c>
      <c r="B8" s="61">
        <v>0.4</v>
      </c>
      <c r="C8" s="18" t="s">
        <v>90</v>
      </c>
      <c r="D8" s="12"/>
      <c r="E8" s="12"/>
      <c r="F8" s="12"/>
    </row>
    <row r="9" spans="1:6">
      <c r="A9" s="18" t="s">
        <v>91</v>
      </c>
      <c r="B9" s="28">
        <f>B7*(1-B8)</f>
        <v>53.352303040799995</v>
      </c>
      <c r="C9" s="18" t="s">
        <v>92</v>
      </c>
      <c r="D9" s="12"/>
      <c r="E9" s="12"/>
      <c r="F9" s="12"/>
    </row>
    <row r="10" spans="1:6">
      <c r="A10" s="18" t="s">
        <v>93</v>
      </c>
      <c r="B10" s="29">
        <f>B6*B9</f>
        <v>299999.99999841838</v>
      </c>
      <c r="C10" s="18" t="s">
        <v>94</v>
      </c>
      <c r="D10" s="12"/>
      <c r="E10" s="12"/>
      <c r="F10" s="12"/>
    </row>
    <row r="11" spans="1:6">
      <c r="A11" s="18" t="s">
        <v>95</v>
      </c>
      <c r="B11" s="29">
        <f>ROUND(B10,-3)</f>
        <v>300000</v>
      </c>
      <c r="C11" s="18" t="s">
        <v>96</v>
      </c>
      <c r="D11" s="12"/>
      <c r="E11" s="12"/>
      <c r="F11" s="12"/>
    </row>
    <row r="12" spans="1:6">
      <c r="A12" s="18" t="s">
        <v>97</v>
      </c>
      <c r="B12" s="83">
        <v>240500</v>
      </c>
      <c r="C12" s="18" t="s">
        <v>98</v>
      </c>
      <c r="D12" s="12"/>
      <c r="E12" s="12"/>
      <c r="F12" s="12"/>
    </row>
    <row r="13" spans="1:6">
      <c r="A13" s="10" t="s">
        <v>11</v>
      </c>
      <c r="B13" s="25">
        <f>B11/B12-1</f>
        <v>0.24740124740124747</v>
      </c>
      <c r="C13" s="10" t="s">
        <v>99</v>
      </c>
      <c r="D13" s="12"/>
      <c r="E13" s="12"/>
      <c r="F13" s="12"/>
    </row>
    <row r="14" spans="1:6">
      <c r="A14" s="12"/>
      <c r="B14" s="12"/>
      <c r="C14" s="12"/>
      <c r="D14" s="12"/>
      <c r="E14" s="12"/>
      <c r="F14" s="12"/>
    </row>
    <row r="15" spans="1:6">
      <c r="A15" s="12"/>
      <c r="B15" s="12"/>
      <c r="C15" s="12"/>
      <c r="D15" s="12"/>
      <c r="E15" s="12"/>
      <c r="F15" s="12"/>
    </row>
    <row r="16" spans="1:6">
      <c r="A16" s="128" t="s">
        <v>100</v>
      </c>
      <c r="B16" s="129" t="s">
        <v>100</v>
      </c>
      <c r="C16" s="129" t="s">
        <v>100</v>
      </c>
      <c r="D16" s="129" t="s">
        <v>100</v>
      </c>
      <c r="E16" s="129" t="s">
        <v>100</v>
      </c>
      <c r="F16" s="130" t="s">
        <v>100</v>
      </c>
    </row>
    <row r="17" spans="1:6">
      <c r="A17" s="131" t="s">
        <v>101</v>
      </c>
      <c r="B17" s="131"/>
      <c r="C17" s="131"/>
      <c r="D17" s="131"/>
      <c r="E17" s="131"/>
      <c r="F17" s="131"/>
    </row>
    <row r="18" spans="1:6">
      <c r="A18" s="131" t="s">
        <v>102</v>
      </c>
      <c r="B18" s="131"/>
      <c r="C18" s="131"/>
      <c r="D18" s="131"/>
      <c r="E18" s="131"/>
      <c r="F18" s="131"/>
    </row>
    <row r="19" spans="1:6">
      <c r="A19" s="131" t="s">
        <v>103</v>
      </c>
      <c r="B19" s="131"/>
      <c r="C19" s="131"/>
      <c r="D19" s="131"/>
      <c r="E19" s="131"/>
      <c r="F19" s="131"/>
    </row>
    <row r="20" spans="1:6">
      <c r="A20" s="131" t="s">
        <v>104</v>
      </c>
      <c r="B20" s="131"/>
      <c r="C20" s="131"/>
      <c r="D20" s="131"/>
      <c r="E20" s="131"/>
      <c r="F20" s="131"/>
    </row>
  </sheetData>
  <mergeCells count="8">
    <mergeCell ref="A18:F18"/>
    <mergeCell ref="A19:F19"/>
    <mergeCell ref="A20:F20"/>
    <mergeCell ref="A1:F2"/>
    <mergeCell ref="A3:F3"/>
    <mergeCell ref="A4:F4"/>
    <mergeCell ref="A16:F16"/>
    <mergeCell ref="A17:F17"/>
  </mergeCells>
  <phoneticPr fontId="14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showGridLines="0" workbookViewId="0">
      <selection sqref="A1:I2"/>
    </sheetView>
  </sheetViews>
  <sheetFormatPr defaultRowHeight="13.8"/>
  <cols>
    <col min="1" max="1" width="14" customWidth="1"/>
    <col min="2" max="2" width="17" customWidth="1"/>
    <col min="3" max="3" width="13" customWidth="1"/>
    <col min="4" max="4" width="31" customWidth="1"/>
    <col min="5" max="8" width="17" customWidth="1"/>
    <col min="9" max="9" width="12" customWidth="1"/>
  </cols>
  <sheetData>
    <row r="1" spans="1:9">
      <c r="A1" s="123" t="s">
        <v>105</v>
      </c>
      <c r="B1" s="124" t="s">
        <v>105</v>
      </c>
      <c r="C1" s="124" t="s">
        <v>105</v>
      </c>
      <c r="D1" s="124" t="s">
        <v>105</v>
      </c>
      <c r="E1" s="124" t="s">
        <v>105</v>
      </c>
      <c r="F1" s="124" t="s">
        <v>105</v>
      </c>
      <c r="G1" s="124" t="s">
        <v>105</v>
      </c>
      <c r="H1" s="124" t="s">
        <v>105</v>
      </c>
      <c r="I1" s="124" t="s">
        <v>105</v>
      </c>
    </row>
    <row r="2" spans="1:9">
      <c r="A2" s="124" t="s">
        <v>105</v>
      </c>
      <c r="B2" s="124" t="s">
        <v>105</v>
      </c>
      <c r="C2" s="124" t="s">
        <v>105</v>
      </c>
      <c r="D2" s="124" t="s">
        <v>105</v>
      </c>
      <c r="E2" s="124" t="s">
        <v>105</v>
      </c>
      <c r="F2" s="124" t="s">
        <v>105</v>
      </c>
      <c r="G2" s="124" t="s">
        <v>105</v>
      </c>
      <c r="H2" s="124" t="s">
        <v>105</v>
      </c>
      <c r="I2" s="124" t="s">
        <v>105</v>
      </c>
    </row>
    <row r="3" spans="1:9">
      <c r="A3" s="125" t="s">
        <v>1</v>
      </c>
      <c r="B3" s="125"/>
      <c r="C3" s="125"/>
      <c r="D3" s="125"/>
      <c r="E3" s="125"/>
      <c r="F3" s="125"/>
      <c r="G3" s="125"/>
      <c r="H3" s="125"/>
      <c r="I3" s="125"/>
    </row>
    <row r="4" spans="1:9">
      <c r="A4" s="126" t="s">
        <v>2</v>
      </c>
      <c r="B4" s="126"/>
      <c r="C4" s="126"/>
      <c r="D4" s="126"/>
      <c r="E4" s="126"/>
      <c r="F4" s="126"/>
      <c r="G4" s="126"/>
      <c r="H4" s="126"/>
      <c r="I4" s="126"/>
    </row>
    <row r="5" spans="1:9">
      <c r="A5" s="13" t="s">
        <v>106</v>
      </c>
      <c r="B5" s="14" t="s">
        <v>107</v>
      </c>
      <c r="C5" s="14" t="s">
        <v>108</v>
      </c>
      <c r="D5" s="14" t="s">
        <v>109</v>
      </c>
      <c r="E5" s="14" t="s">
        <v>110</v>
      </c>
      <c r="F5" s="14" t="s">
        <v>111</v>
      </c>
      <c r="G5" s="14" t="s">
        <v>112</v>
      </c>
      <c r="H5" s="14" t="s">
        <v>113</v>
      </c>
      <c r="I5" s="15" t="s">
        <v>114</v>
      </c>
    </row>
    <row r="6" spans="1:9">
      <c r="A6" s="2" t="s">
        <v>115</v>
      </c>
      <c r="B6" s="2" t="s">
        <v>116</v>
      </c>
      <c r="C6" s="2" t="s">
        <v>117</v>
      </c>
      <c r="D6" s="2" t="s">
        <v>118</v>
      </c>
      <c r="E6" s="82">
        <v>72300</v>
      </c>
      <c r="F6" s="87">
        <v>46219</v>
      </c>
      <c r="G6" s="84">
        <v>28.3</v>
      </c>
      <c r="H6" s="31">
        <f>E6/G6</f>
        <v>2554.7703180212015</v>
      </c>
      <c r="I6" s="90" t="s">
        <v>119</v>
      </c>
    </row>
    <row r="7" spans="1:9">
      <c r="A7" s="18" t="s">
        <v>120</v>
      </c>
      <c r="B7" s="18" t="s">
        <v>121</v>
      </c>
      <c r="C7" s="18" t="s">
        <v>117</v>
      </c>
      <c r="D7" s="18" t="s">
        <v>122</v>
      </c>
      <c r="E7" s="83">
        <v>282500</v>
      </c>
      <c r="F7" s="88">
        <v>46219</v>
      </c>
      <c r="G7" s="67">
        <v>22.47</v>
      </c>
      <c r="H7" s="29">
        <f>E7/G7</f>
        <v>12572.318647085003</v>
      </c>
      <c r="I7" s="66" t="s">
        <v>119</v>
      </c>
    </row>
    <row r="8" spans="1:9">
      <c r="A8" s="18" t="s">
        <v>123</v>
      </c>
      <c r="B8" s="18" t="s">
        <v>124</v>
      </c>
      <c r="C8" s="18" t="s">
        <v>117</v>
      </c>
      <c r="D8" s="18" t="s">
        <v>125</v>
      </c>
      <c r="E8" s="83">
        <v>49200</v>
      </c>
      <c r="F8" s="88">
        <v>46219</v>
      </c>
      <c r="G8" s="67">
        <v>15.68</v>
      </c>
      <c r="H8" s="29">
        <f>E8/G8</f>
        <v>3137.7551020408164</v>
      </c>
      <c r="I8" s="66" t="s">
        <v>119</v>
      </c>
    </row>
    <row r="9" spans="1:9">
      <c r="A9" s="10" t="s">
        <v>126</v>
      </c>
      <c r="B9" s="10" t="s">
        <v>127</v>
      </c>
      <c r="C9" s="10" t="s">
        <v>117</v>
      </c>
      <c r="D9" s="10" t="s">
        <v>128</v>
      </c>
      <c r="E9" s="85">
        <v>86900</v>
      </c>
      <c r="F9" s="89">
        <v>46219</v>
      </c>
      <c r="G9" s="86">
        <v>39.31</v>
      </c>
      <c r="H9" s="11">
        <f>E9/G9</f>
        <v>2210.6334266090053</v>
      </c>
      <c r="I9" s="91" t="s">
        <v>119</v>
      </c>
    </row>
    <row r="10" spans="1:9">
      <c r="A10" s="12"/>
      <c r="B10" s="12"/>
      <c r="C10" s="12"/>
      <c r="D10" s="12"/>
      <c r="E10" s="12"/>
      <c r="F10" s="12"/>
      <c r="G10" s="12"/>
      <c r="H10" s="12"/>
      <c r="I10" s="12"/>
    </row>
    <row r="11" spans="1:9">
      <c r="A11" s="133" t="s">
        <v>129</v>
      </c>
      <c r="B11" s="133"/>
      <c r="C11" s="133"/>
      <c r="D11" s="133"/>
      <c r="E11" s="133"/>
      <c r="F11" s="133"/>
      <c r="G11" s="133"/>
      <c r="H11" s="133"/>
      <c r="I11" s="133"/>
    </row>
    <row r="12" spans="1:9">
      <c r="A12" s="133"/>
      <c r="B12" s="133"/>
      <c r="C12" s="133"/>
      <c r="D12" s="133"/>
      <c r="E12" s="133"/>
      <c r="F12" s="133"/>
      <c r="G12" s="133"/>
      <c r="H12" s="133"/>
      <c r="I12" s="133"/>
    </row>
  </sheetData>
  <mergeCells count="4">
    <mergeCell ref="A1:I2"/>
    <mergeCell ref="A3:I3"/>
    <mergeCell ref="A4:I4"/>
    <mergeCell ref="A11:I12"/>
  </mergeCells>
  <phoneticPr fontId="14" type="noConversion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5"/>
  <sheetViews>
    <sheetView showGridLines="0" workbookViewId="0">
      <selection sqref="A1:M2"/>
    </sheetView>
  </sheetViews>
  <sheetFormatPr defaultRowHeight="13.8"/>
  <cols>
    <col min="1" max="1" width="29" customWidth="1"/>
    <col min="2" max="6" width="13" customWidth="1"/>
    <col min="7" max="7" width="3" customWidth="1"/>
    <col min="8" max="8" width="29" customWidth="1"/>
    <col min="9" max="13" width="13" customWidth="1"/>
  </cols>
  <sheetData>
    <row r="1" spans="1:13">
      <c r="A1" s="123" t="s">
        <v>140</v>
      </c>
      <c r="B1" s="124" t="s">
        <v>140</v>
      </c>
      <c r="C1" s="124" t="s">
        <v>140</v>
      </c>
      <c r="D1" s="124" t="s">
        <v>140</v>
      </c>
      <c r="E1" s="124" t="s">
        <v>140</v>
      </c>
      <c r="F1" s="124" t="s">
        <v>140</v>
      </c>
      <c r="G1" s="124" t="s">
        <v>140</v>
      </c>
      <c r="H1" s="124" t="s">
        <v>140</v>
      </c>
      <c r="I1" s="124" t="s">
        <v>140</v>
      </c>
      <c r="J1" s="124" t="s">
        <v>140</v>
      </c>
      <c r="K1" s="124" t="s">
        <v>140</v>
      </c>
      <c r="L1" s="124" t="s">
        <v>140</v>
      </c>
      <c r="M1" s="124" t="s">
        <v>140</v>
      </c>
    </row>
    <row r="2" spans="1:13">
      <c r="A2" s="124" t="s">
        <v>140</v>
      </c>
      <c r="B2" s="124" t="s">
        <v>140</v>
      </c>
      <c r="C2" s="124" t="s">
        <v>140</v>
      </c>
      <c r="D2" s="124" t="s">
        <v>140</v>
      </c>
      <c r="E2" s="124" t="s">
        <v>140</v>
      </c>
      <c r="F2" s="124" t="s">
        <v>140</v>
      </c>
      <c r="G2" s="124" t="s">
        <v>140</v>
      </c>
      <c r="H2" s="124" t="s">
        <v>140</v>
      </c>
      <c r="I2" s="124" t="s">
        <v>140</v>
      </c>
      <c r="J2" s="124" t="s">
        <v>140</v>
      </c>
      <c r="K2" s="124" t="s">
        <v>140</v>
      </c>
      <c r="L2" s="124" t="s">
        <v>140</v>
      </c>
      <c r="M2" s="124" t="s">
        <v>140</v>
      </c>
    </row>
    <row r="3" spans="1:13">
      <c r="A3" s="125" t="s">
        <v>1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</row>
    <row r="4" spans="1:13">
      <c r="A4" s="126" t="s">
        <v>2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spans="1:13">
      <c r="A5" s="128" t="s">
        <v>141</v>
      </c>
      <c r="B5" s="129" t="s">
        <v>141</v>
      </c>
      <c r="C5" s="129" t="s">
        <v>141</v>
      </c>
      <c r="D5" s="129" t="s">
        <v>141</v>
      </c>
      <c r="E5" s="129" t="s">
        <v>141</v>
      </c>
      <c r="F5" s="130" t="s">
        <v>141</v>
      </c>
      <c r="G5" s="12"/>
      <c r="H5" s="128" t="s">
        <v>142</v>
      </c>
      <c r="I5" s="129" t="s">
        <v>142</v>
      </c>
      <c r="J5" s="129" t="s">
        <v>142</v>
      </c>
      <c r="K5" s="129" t="s">
        <v>142</v>
      </c>
      <c r="L5" s="129" t="s">
        <v>142</v>
      </c>
      <c r="M5" s="130" t="s">
        <v>142</v>
      </c>
    </row>
    <row r="6" spans="1:13">
      <c r="A6" s="13" t="s">
        <v>30</v>
      </c>
      <c r="B6" s="14" t="s">
        <v>143</v>
      </c>
      <c r="C6" s="14" t="s">
        <v>144</v>
      </c>
      <c r="D6" s="14" t="s">
        <v>39</v>
      </c>
      <c r="E6" s="14" t="s">
        <v>40</v>
      </c>
      <c r="F6" s="15" t="s">
        <v>41</v>
      </c>
      <c r="G6" s="12"/>
      <c r="H6" s="13" t="s">
        <v>30</v>
      </c>
      <c r="I6" s="14" t="s">
        <v>143</v>
      </c>
      <c r="J6" s="14" t="s">
        <v>144</v>
      </c>
      <c r="K6" s="14" t="s">
        <v>39</v>
      </c>
      <c r="L6" s="14" t="s">
        <v>40</v>
      </c>
      <c r="M6" s="15" t="s">
        <v>41</v>
      </c>
    </row>
    <row r="7" spans="1:13">
      <c r="A7" s="40" t="s">
        <v>42</v>
      </c>
      <c r="B7" s="41">
        <v>140</v>
      </c>
      <c r="C7" s="41">
        <v>174</v>
      </c>
      <c r="D7" s="41">
        <v>220</v>
      </c>
      <c r="E7" s="92">
        <v>314</v>
      </c>
      <c r="F7" s="92">
        <v>403</v>
      </c>
      <c r="G7" s="12"/>
      <c r="H7" s="40" t="s">
        <v>145</v>
      </c>
      <c r="I7" s="41">
        <v>362</v>
      </c>
      <c r="J7" s="41">
        <v>405</v>
      </c>
      <c r="K7" s="41">
        <v>447</v>
      </c>
      <c r="L7" s="92">
        <v>480</v>
      </c>
      <c r="M7" s="92">
        <v>568</v>
      </c>
    </row>
    <row r="8" spans="1:13">
      <c r="A8" s="18" t="s">
        <v>52</v>
      </c>
      <c r="B8" s="24">
        <v>85</v>
      </c>
      <c r="C8" s="24">
        <v>100</v>
      </c>
      <c r="D8" s="24">
        <v>122</v>
      </c>
      <c r="E8" s="83">
        <v>166</v>
      </c>
      <c r="F8" s="83">
        <v>212</v>
      </c>
      <c r="G8" s="12"/>
      <c r="H8" s="18" t="s">
        <v>146</v>
      </c>
      <c r="I8" s="24">
        <v>268</v>
      </c>
      <c r="J8" s="24">
        <v>40</v>
      </c>
      <c r="K8" s="24">
        <v>80</v>
      </c>
      <c r="L8" s="83">
        <v>58</v>
      </c>
      <c r="M8" s="83">
        <v>80</v>
      </c>
    </row>
    <row r="9" spans="1:13">
      <c r="A9" s="18" t="s">
        <v>53</v>
      </c>
      <c r="B9" s="24">
        <v>55</v>
      </c>
      <c r="C9" s="24">
        <v>74</v>
      </c>
      <c r="D9" s="24">
        <v>98</v>
      </c>
      <c r="E9" s="83">
        <v>148</v>
      </c>
      <c r="F9" s="83">
        <v>191</v>
      </c>
      <c r="G9" s="12"/>
      <c r="H9" s="18" t="s">
        <v>147</v>
      </c>
      <c r="I9" s="24">
        <v>21</v>
      </c>
      <c r="J9" s="24">
        <v>33</v>
      </c>
      <c r="K9" s="24">
        <v>70</v>
      </c>
      <c r="L9" s="83">
        <v>86</v>
      </c>
      <c r="M9" s="83">
        <v>111</v>
      </c>
    </row>
    <row r="10" spans="1:13">
      <c r="A10" s="18" t="s">
        <v>148</v>
      </c>
      <c r="B10" s="42">
        <v>39.299999999999997</v>
      </c>
      <c r="C10" s="42">
        <v>42.6</v>
      </c>
      <c r="D10" s="42">
        <v>44.4</v>
      </c>
      <c r="E10" s="93">
        <v>47.1</v>
      </c>
      <c r="F10" s="93">
        <v>47.4</v>
      </c>
      <c r="G10" s="12"/>
      <c r="H10" s="18" t="s">
        <v>149</v>
      </c>
      <c r="I10" s="24">
        <v>15</v>
      </c>
      <c r="J10" s="24">
        <v>15</v>
      </c>
      <c r="K10" s="24">
        <v>25</v>
      </c>
      <c r="L10" s="83">
        <v>28</v>
      </c>
      <c r="M10" s="83">
        <v>33</v>
      </c>
    </row>
    <row r="11" spans="1:13">
      <c r="A11" s="18" t="s">
        <v>55</v>
      </c>
      <c r="B11" s="24">
        <v>44</v>
      </c>
      <c r="C11" s="24">
        <v>30</v>
      </c>
      <c r="D11" s="24">
        <v>38</v>
      </c>
      <c r="E11" s="83">
        <v>48</v>
      </c>
      <c r="F11" s="83">
        <v>54</v>
      </c>
      <c r="G11" s="12"/>
      <c r="H11" s="18" t="s">
        <v>150</v>
      </c>
      <c r="I11" s="24">
        <v>57</v>
      </c>
      <c r="J11" s="24">
        <v>317</v>
      </c>
      <c r="K11" s="24">
        <v>272</v>
      </c>
      <c r="L11" s="83">
        <v>307</v>
      </c>
      <c r="M11" s="83">
        <v>344</v>
      </c>
    </row>
    <row r="12" spans="1:13">
      <c r="A12" s="43" t="s">
        <v>56</v>
      </c>
      <c r="B12" s="44">
        <v>11</v>
      </c>
      <c r="C12" s="44">
        <v>45</v>
      </c>
      <c r="D12" s="44">
        <v>60</v>
      </c>
      <c r="E12" s="70">
        <v>100</v>
      </c>
      <c r="F12" s="70">
        <v>137</v>
      </c>
      <c r="G12" s="12"/>
      <c r="H12" s="43" t="s">
        <v>151</v>
      </c>
      <c r="I12" s="44">
        <v>180</v>
      </c>
      <c r="J12" s="44">
        <v>178</v>
      </c>
      <c r="K12" s="44">
        <v>176</v>
      </c>
      <c r="L12" s="70">
        <v>223</v>
      </c>
      <c r="M12" s="70">
        <v>250</v>
      </c>
    </row>
    <row r="13" spans="1:13">
      <c r="A13" s="43" t="s">
        <v>152</v>
      </c>
      <c r="B13" s="45">
        <v>7.7</v>
      </c>
      <c r="C13" s="45">
        <v>25.7</v>
      </c>
      <c r="D13" s="45">
        <v>27.3</v>
      </c>
      <c r="E13" s="94">
        <v>32</v>
      </c>
      <c r="F13" s="94">
        <v>34</v>
      </c>
      <c r="G13" s="12"/>
      <c r="H13" s="18" t="s">
        <v>153</v>
      </c>
      <c r="I13" s="24">
        <v>10</v>
      </c>
      <c r="J13" s="24">
        <v>9</v>
      </c>
      <c r="K13" s="24">
        <v>6</v>
      </c>
      <c r="L13" s="83">
        <v>6</v>
      </c>
      <c r="M13" s="83">
        <v>6</v>
      </c>
    </row>
    <row r="14" spans="1:13">
      <c r="A14" s="18" t="s">
        <v>154</v>
      </c>
      <c r="B14" s="24">
        <v>7</v>
      </c>
      <c r="C14" s="24">
        <v>25</v>
      </c>
      <c r="D14" s="24">
        <v>7</v>
      </c>
      <c r="E14" s="83">
        <v>12</v>
      </c>
      <c r="F14" s="83">
        <v>11</v>
      </c>
      <c r="G14" s="12"/>
      <c r="H14" s="18" t="s">
        <v>155</v>
      </c>
      <c r="I14" s="24">
        <v>93</v>
      </c>
      <c r="J14" s="24">
        <v>92</v>
      </c>
      <c r="K14" s="24">
        <v>91</v>
      </c>
      <c r="L14" s="83">
        <v>157</v>
      </c>
      <c r="M14" s="83">
        <v>186</v>
      </c>
    </row>
    <row r="15" spans="1:13">
      <c r="A15" s="18" t="s">
        <v>58</v>
      </c>
      <c r="B15" s="24">
        <v>18</v>
      </c>
      <c r="C15" s="24">
        <v>70</v>
      </c>
      <c r="D15" s="24">
        <v>67</v>
      </c>
      <c r="E15" s="83">
        <v>113</v>
      </c>
      <c r="F15" s="83">
        <v>148</v>
      </c>
      <c r="G15" s="12"/>
      <c r="H15" s="18" t="s">
        <v>156</v>
      </c>
      <c r="I15" s="24">
        <v>21</v>
      </c>
      <c r="J15" s="24">
        <v>18</v>
      </c>
      <c r="K15" s="24">
        <v>20</v>
      </c>
      <c r="L15" s="83">
        <v>18</v>
      </c>
      <c r="M15" s="83">
        <v>17</v>
      </c>
    </row>
    <row r="16" spans="1:13">
      <c r="A16" s="18" t="s">
        <v>157</v>
      </c>
      <c r="B16" s="24">
        <v>4</v>
      </c>
      <c r="C16" s="24">
        <v>15</v>
      </c>
      <c r="D16" s="24">
        <v>10</v>
      </c>
      <c r="E16" s="83">
        <v>25</v>
      </c>
      <c r="F16" s="83">
        <v>33</v>
      </c>
      <c r="G16" s="12"/>
      <c r="H16" s="18" t="s">
        <v>158</v>
      </c>
      <c r="I16" s="24">
        <v>56</v>
      </c>
      <c r="J16" s="24">
        <v>59</v>
      </c>
      <c r="K16" s="24">
        <v>59</v>
      </c>
      <c r="L16" s="83">
        <v>41</v>
      </c>
      <c r="M16" s="83">
        <v>41</v>
      </c>
    </row>
    <row r="17" spans="1:13">
      <c r="A17" s="43" t="s">
        <v>159</v>
      </c>
      <c r="B17" s="44">
        <v>14</v>
      </c>
      <c r="C17" s="44">
        <v>55</v>
      </c>
      <c r="D17" s="44">
        <v>56</v>
      </c>
      <c r="E17" s="70">
        <v>88</v>
      </c>
      <c r="F17" s="70">
        <v>116</v>
      </c>
      <c r="G17" s="12"/>
      <c r="H17" s="43" t="s">
        <v>160</v>
      </c>
      <c r="I17" s="44">
        <v>542</v>
      </c>
      <c r="J17" s="44">
        <v>583</v>
      </c>
      <c r="K17" s="44">
        <v>622</v>
      </c>
      <c r="L17" s="70">
        <v>703</v>
      </c>
      <c r="M17" s="70">
        <v>818</v>
      </c>
    </row>
    <row r="18" spans="1:13">
      <c r="A18" s="43" t="s">
        <v>59</v>
      </c>
      <c r="B18" s="44">
        <v>13</v>
      </c>
      <c r="C18" s="44">
        <v>55</v>
      </c>
      <c r="D18" s="44">
        <v>56</v>
      </c>
      <c r="E18" s="70">
        <v>87</v>
      </c>
      <c r="F18" s="70">
        <v>115</v>
      </c>
      <c r="G18" s="12"/>
      <c r="H18" s="18" t="s">
        <v>161</v>
      </c>
      <c r="I18" s="24">
        <v>58</v>
      </c>
      <c r="J18" s="24">
        <v>52</v>
      </c>
      <c r="K18" s="24">
        <v>83</v>
      </c>
      <c r="L18" s="83">
        <v>91</v>
      </c>
      <c r="M18" s="83">
        <v>109</v>
      </c>
    </row>
    <row r="19" spans="1:13">
      <c r="A19" s="43" t="s">
        <v>162</v>
      </c>
      <c r="B19" s="44">
        <v>19</v>
      </c>
      <c r="C19" s="44">
        <v>55</v>
      </c>
      <c r="D19" s="44">
        <v>70</v>
      </c>
      <c r="E19" s="70">
        <v>115</v>
      </c>
      <c r="F19" s="70">
        <v>159</v>
      </c>
      <c r="G19" s="12"/>
      <c r="H19" s="18" t="s">
        <v>163</v>
      </c>
      <c r="I19" s="24">
        <v>5</v>
      </c>
      <c r="J19" s="24">
        <v>8</v>
      </c>
      <c r="K19" s="24">
        <v>33</v>
      </c>
      <c r="L19" s="83">
        <v>64</v>
      </c>
      <c r="M19" s="83">
        <v>83</v>
      </c>
    </row>
    <row r="20" spans="1:13">
      <c r="A20" s="10" t="s">
        <v>61</v>
      </c>
      <c r="B20" s="26">
        <v>750</v>
      </c>
      <c r="C20" s="26">
        <v>2671</v>
      </c>
      <c r="D20" s="26">
        <v>2743</v>
      </c>
      <c r="E20" s="85">
        <v>4266</v>
      </c>
      <c r="F20" s="85">
        <v>5623</v>
      </c>
      <c r="G20" s="12"/>
      <c r="H20" s="18" t="s">
        <v>164</v>
      </c>
      <c r="I20" s="24">
        <v>18</v>
      </c>
      <c r="J20" s="24">
        <v>0</v>
      </c>
      <c r="K20" s="24">
        <v>0</v>
      </c>
      <c r="L20" s="83">
        <v>0</v>
      </c>
      <c r="M20" s="83">
        <v>0</v>
      </c>
    </row>
    <row r="21" spans="1:13">
      <c r="A21" s="12"/>
      <c r="B21" s="49"/>
      <c r="C21" s="49"/>
      <c r="D21" s="49"/>
      <c r="E21" s="49"/>
      <c r="F21" s="49"/>
      <c r="G21" s="12"/>
      <c r="H21" s="18" t="s">
        <v>165</v>
      </c>
      <c r="I21" s="24">
        <v>36</v>
      </c>
      <c r="J21" s="24">
        <v>45</v>
      </c>
      <c r="K21" s="24">
        <v>50</v>
      </c>
      <c r="L21" s="83">
        <v>26</v>
      </c>
      <c r="M21" s="83">
        <v>26</v>
      </c>
    </row>
    <row r="22" spans="1:13">
      <c r="A22" s="12"/>
      <c r="B22" s="49"/>
      <c r="C22" s="49"/>
      <c r="D22" s="49"/>
      <c r="E22" s="49"/>
      <c r="F22" s="49"/>
      <c r="G22" s="12"/>
      <c r="H22" s="18" t="s">
        <v>166</v>
      </c>
      <c r="I22" s="24">
        <v>10</v>
      </c>
      <c r="J22" s="24">
        <v>7</v>
      </c>
      <c r="K22" s="24">
        <v>2</v>
      </c>
      <c r="L22" s="83">
        <v>3</v>
      </c>
      <c r="M22" s="83">
        <v>3</v>
      </c>
    </row>
    <row r="23" spans="1:13">
      <c r="A23" s="128" t="s">
        <v>167</v>
      </c>
      <c r="B23" s="134" t="s">
        <v>167</v>
      </c>
      <c r="C23" s="134" t="s">
        <v>167</v>
      </c>
      <c r="D23" s="134" t="s">
        <v>167</v>
      </c>
      <c r="E23" s="134" t="s">
        <v>167</v>
      </c>
      <c r="F23" s="135" t="s">
        <v>167</v>
      </c>
      <c r="G23" s="12"/>
      <c r="H23" s="43" t="s">
        <v>168</v>
      </c>
      <c r="I23" s="44">
        <v>68</v>
      </c>
      <c r="J23" s="44">
        <v>60</v>
      </c>
      <c r="K23" s="44">
        <v>85</v>
      </c>
      <c r="L23" s="70">
        <v>93</v>
      </c>
      <c r="M23" s="70">
        <v>111</v>
      </c>
    </row>
    <row r="24" spans="1:13">
      <c r="A24" s="13" t="s">
        <v>30</v>
      </c>
      <c r="B24" s="72" t="s">
        <v>143</v>
      </c>
      <c r="C24" s="72" t="s">
        <v>144</v>
      </c>
      <c r="D24" s="72" t="s">
        <v>39</v>
      </c>
      <c r="E24" s="72" t="s">
        <v>40</v>
      </c>
      <c r="F24" s="73" t="s">
        <v>41</v>
      </c>
      <c r="G24" s="12"/>
      <c r="H24" s="43" t="s">
        <v>169</v>
      </c>
      <c r="I24" s="44">
        <v>473</v>
      </c>
      <c r="J24" s="44">
        <v>523</v>
      </c>
      <c r="K24" s="44">
        <v>537</v>
      </c>
      <c r="L24" s="70">
        <v>609</v>
      </c>
      <c r="M24" s="70">
        <v>705</v>
      </c>
    </row>
    <row r="25" spans="1:13">
      <c r="A25" s="40" t="s">
        <v>170</v>
      </c>
      <c r="B25" s="41">
        <v>22</v>
      </c>
      <c r="C25" s="41">
        <v>51</v>
      </c>
      <c r="D25" s="41">
        <v>42</v>
      </c>
      <c r="E25" s="92">
        <v>76</v>
      </c>
      <c r="F25" s="92">
        <v>90</v>
      </c>
      <c r="G25" s="12"/>
      <c r="H25" s="18" t="s">
        <v>171</v>
      </c>
      <c r="I25" s="24">
        <v>11</v>
      </c>
      <c r="J25" s="24">
        <v>11</v>
      </c>
      <c r="K25" s="24">
        <v>11</v>
      </c>
      <c r="L25" s="83">
        <v>11</v>
      </c>
      <c r="M25" s="83">
        <v>11</v>
      </c>
    </row>
    <row r="26" spans="1:13">
      <c r="A26" s="18" t="s">
        <v>159</v>
      </c>
      <c r="B26" s="24">
        <v>14</v>
      </c>
      <c r="C26" s="24">
        <v>55</v>
      </c>
      <c r="D26" s="24">
        <v>56</v>
      </c>
      <c r="E26" s="83">
        <v>88</v>
      </c>
      <c r="F26" s="83">
        <v>116</v>
      </c>
      <c r="G26" s="12"/>
      <c r="H26" s="18" t="s">
        <v>172</v>
      </c>
      <c r="I26" s="24">
        <v>316</v>
      </c>
      <c r="J26" s="24">
        <v>316</v>
      </c>
      <c r="K26" s="24">
        <v>290</v>
      </c>
      <c r="L26" s="83">
        <v>290</v>
      </c>
      <c r="M26" s="83">
        <v>290</v>
      </c>
    </row>
    <row r="27" spans="1:13">
      <c r="A27" s="18" t="s">
        <v>173</v>
      </c>
      <c r="B27" s="24">
        <v>25</v>
      </c>
      <c r="C27" s="24">
        <v>7</v>
      </c>
      <c r="D27" s="24">
        <v>14</v>
      </c>
      <c r="E27" s="83">
        <v>15</v>
      </c>
      <c r="F27" s="83">
        <v>23</v>
      </c>
      <c r="G27" s="12"/>
      <c r="H27" s="18" t="s">
        <v>174</v>
      </c>
      <c r="I27" s="24">
        <v>173</v>
      </c>
      <c r="J27" s="24">
        <v>222</v>
      </c>
      <c r="K27" s="24">
        <v>261</v>
      </c>
      <c r="L27" s="83">
        <v>330</v>
      </c>
      <c r="M27" s="83">
        <v>426</v>
      </c>
    </row>
    <row r="28" spans="1:13">
      <c r="A28" s="18" t="s">
        <v>175</v>
      </c>
      <c r="B28" s="24">
        <v>7</v>
      </c>
      <c r="C28" s="24">
        <v>9</v>
      </c>
      <c r="D28" s="24">
        <v>9</v>
      </c>
      <c r="E28" s="83">
        <v>14</v>
      </c>
      <c r="F28" s="83">
        <v>21</v>
      </c>
      <c r="G28" s="12"/>
      <c r="H28" s="18" t="s">
        <v>176</v>
      </c>
      <c r="I28" s="24">
        <v>-26</v>
      </c>
      <c r="J28" s="24">
        <v>-26</v>
      </c>
      <c r="K28" s="24">
        <v>-24</v>
      </c>
      <c r="L28" s="83">
        <v>-22</v>
      </c>
      <c r="M28" s="83">
        <v>-22</v>
      </c>
    </row>
    <row r="29" spans="1:13">
      <c r="A29" s="18" t="s">
        <v>177</v>
      </c>
      <c r="B29" s="24">
        <v>2</v>
      </c>
      <c r="C29" s="24">
        <v>1</v>
      </c>
      <c r="D29" s="24">
        <v>1</v>
      </c>
      <c r="E29" s="83">
        <v>1</v>
      </c>
      <c r="F29" s="83">
        <v>1</v>
      </c>
      <c r="G29" s="12"/>
      <c r="H29" s="18" t="s">
        <v>178</v>
      </c>
      <c r="I29" s="24">
        <v>0</v>
      </c>
      <c r="J29" s="24">
        <v>0</v>
      </c>
      <c r="K29" s="24">
        <v>1</v>
      </c>
      <c r="L29" s="83">
        <v>1</v>
      </c>
      <c r="M29" s="83">
        <v>1</v>
      </c>
    </row>
    <row r="30" spans="1:13">
      <c r="A30" s="18" t="s">
        <v>179</v>
      </c>
      <c r="B30" s="24">
        <v>0</v>
      </c>
      <c r="C30" s="24">
        <v>-11</v>
      </c>
      <c r="D30" s="24">
        <v>-27</v>
      </c>
      <c r="E30" s="83">
        <v>-27</v>
      </c>
      <c r="F30" s="83">
        <v>-48</v>
      </c>
      <c r="G30" s="12"/>
      <c r="H30" s="46" t="s">
        <v>180</v>
      </c>
      <c r="I30" s="47">
        <v>473</v>
      </c>
      <c r="J30" s="47">
        <v>523</v>
      </c>
      <c r="K30" s="47">
        <v>537</v>
      </c>
      <c r="L30" s="95">
        <v>610</v>
      </c>
      <c r="M30" s="95">
        <v>707</v>
      </c>
    </row>
    <row r="31" spans="1:13">
      <c r="A31" s="43" t="s">
        <v>181</v>
      </c>
      <c r="B31" s="44">
        <v>-2</v>
      </c>
      <c r="C31" s="44">
        <v>-252</v>
      </c>
      <c r="D31" s="44">
        <v>14</v>
      </c>
      <c r="E31" s="70">
        <v>-80</v>
      </c>
      <c r="F31" s="70">
        <v>-50</v>
      </c>
      <c r="G31" s="12"/>
      <c r="H31" s="12"/>
      <c r="I31" s="49"/>
      <c r="J31" s="49"/>
      <c r="K31" s="49"/>
      <c r="L31" s="49"/>
      <c r="M31" s="49"/>
    </row>
    <row r="32" spans="1:13">
      <c r="A32" s="18" t="s">
        <v>182</v>
      </c>
      <c r="B32" s="24">
        <v>-13</v>
      </c>
      <c r="C32" s="24">
        <v>-5</v>
      </c>
      <c r="D32" s="24">
        <v>-5</v>
      </c>
      <c r="E32" s="83">
        <v>-80</v>
      </c>
      <c r="F32" s="83">
        <v>-50</v>
      </c>
      <c r="G32" s="12"/>
      <c r="H32" s="12"/>
      <c r="I32" s="49"/>
      <c r="J32" s="49"/>
      <c r="K32" s="49"/>
      <c r="L32" s="49"/>
      <c r="M32" s="49"/>
    </row>
    <row r="33" spans="1:13">
      <c r="A33" s="18" t="s">
        <v>183</v>
      </c>
      <c r="B33" s="24">
        <v>2</v>
      </c>
      <c r="C33" s="24">
        <v>-275</v>
      </c>
      <c r="D33" s="24">
        <v>43</v>
      </c>
      <c r="E33" s="83">
        <v>0</v>
      </c>
      <c r="F33" s="83">
        <v>0</v>
      </c>
      <c r="G33" s="12"/>
      <c r="H33" s="128" t="s">
        <v>184</v>
      </c>
      <c r="I33" s="134" t="s">
        <v>184</v>
      </c>
      <c r="J33" s="134" t="s">
        <v>184</v>
      </c>
      <c r="K33" s="134" t="s">
        <v>184</v>
      </c>
      <c r="L33" s="134" t="s">
        <v>184</v>
      </c>
      <c r="M33" s="135" t="s">
        <v>184</v>
      </c>
    </row>
    <row r="34" spans="1:13">
      <c r="A34" s="18" t="s">
        <v>185</v>
      </c>
      <c r="B34" s="24">
        <v>10</v>
      </c>
      <c r="C34" s="24">
        <v>28</v>
      </c>
      <c r="D34" s="24">
        <v>-23</v>
      </c>
      <c r="E34" s="83">
        <v>0</v>
      </c>
      <c r="F34" s="83">
        <v>0</v>
      </c>
      <c r="G34" s="12"/>
      <c r="H34" s="13" t="s">
        <v>30</v>
      </c>
      <c r="I34" s="72" t="s">
        <v>143</v>
      </c>
      <c r="J34" s="72" t="s">
        <v>144</v>
      </c>
      <c r="K34" s="72" t="s">
        <v>39</v>
      </c>
      <c r="L34" s="72" t="s">
        <v>40</v>
      </c>
      <c r="M34" s="73" t="s">
        <v>41</v>
      </c>
    </row>
    <row r="35" spans="1:13">
      <c r="A35" s="43" t="s">
        <v>186</v>
      </c>
      <c r="B35" s="44">
        <v>194</v>
      </c>
      <c r="C35" s="44">
        <v>-27</v>
      </c>
      <c r="D35" s="44">
        <v>-17</v>
      </c>
      <c r="E35" s="70">
        <v>-17</v>
      </c>
      <c r="F35" s="70">
        <v>-18</v>
      </c>
      <c r="G35" s="12"/>
      <c r="H35" s="2" t="s">
        <v>61</v>
      </c>
      <c r="I35" s="22">
        <v>750</v>
      </c>
      <c r="J35" s="22">
        <v>2671</v>
      </c>
      <c r="K35" s="22">
        <v>2743</v>
      </c>
      <c r="L35" s="82">
        <v>4266</v>
      </c>
      <c r="M35" s="82">
        <v>5623</v>
      </c>
    </row>
    <row r="36" spans="1:13">
      <c r="A36" s="18" t="s">
        <v>187</v>
      </c>
      <c r="B36" s="24">
        <v>4</v>
      </c>
      <c r="C36" s="24">
        <v>-23</v>
      </c>
      <c r="D36" s="24">
        <v>0</v>
      </c>
      <c r="E36" s="83">
        <v>0</v>
      </c>
      <c r="F36" s="83">
        <v>0</v>
      </c>
      <c r="G36" s="12"/>
      <c r="H36" s="18" t="s">
        <v>188</v>
      </c>
      <c r="I36" s="24">
        <v>26917</v>
      </c>
      <c r="J36" s="24">
        <v>25547</v>
      </c>
      <c r="K36" s="24">
        <v>26223</v>
      </c>
      <c r="L36" s="83">
        <v>29738</v>
      </c>
      <c r="M36" s="83">
        <v>34461</v>
      </c>
    </row>
    <row r="37" spans="1:13">
      <c r="A37" s="18" t="s">
        <v>189</v>
      </c>
      <c r="B37" s="24">
        <v>200</v>
      </c>
      <c r="C37" s="24">
        <v>0</v>
      </c>
      <c r="D37" s="24">
        <v>-26</v>
      </c>
      <c r="E37" s="83">
        <v>0</v>
      </c>
      <c r="F37" s="83">
        <v>0</v>
      </c>
      <c r="G37" s="12"/>
      <c r="H37" s="18" t="s">
        <v>190</v>
      </c>
      <c r="I37" s="24">
        <v>200</v>
      </c>
      <c r="J37" s="24">
        <v>810</v>
      </c>
      <c r="K37" s="24">
        <v>850</v>
      </c>
      <c r="L37" s="83">
        <v>900</v>
      </c>
      <c r="M37" s="83">
        <v>1000</v>
      </c>
    </row>
    <row r="38" spans="1:13">
      <c r="A38" s="18" t="s">
        <v>191</v>
      </c>
      <c r="B38" s="24">
        <v>-10</v>
      </c>
      <c r="C38" s="24">
        <v>-4</v>
      </c>
      <c r="D38" s="24">
        <v>-17</v>
      </c>
      <c r="E38" s="83">
        <v>-17</v>
      </c>
      <c r="F38" s="83">
        <v>-18</v>
      </c>
      <c r="G38" s="12"/>
      <c r="H38" s="18" t="s">
        <v>192</v>
      </c>
      <c r="I38" s="27">
        <v>107.1</v>
      </c>
      <c r="J38" s="27">
        <v>27</v>
      </c>
      <c r="K38" s="27">
        <v>40.5</v>
      </c>
      <c r="L38" s="67">
        <v>56.4</v>
      </c>
      <c r="M38" s="67">
        <v>42.8</v>
      </c>
    </row>
    <row r="39" spans="1:13">
      <c r="A39" s="43" t="s">
        <v>193</v>
      </c>
      <c r="B39" s="44">
        <v>214</v>
      </c>
      <c r="C39" s="44">
        <v>-228</v>
      </c>
      <c r="D39" s="44">
        <v>40</v>
      </c>
      <c r="E39" s="70">
        <v>-22</v>
      </c>
      <c r="F39" s="70">
        <v>22</v>
      </c>
      <c r="G39" s="12"/>
      <c r="H39" s="18" t="s">
        <v>194</v>
      </c>
      <c r="I39" s="27">
        <v>3</v>
      </c>
      <c r="J39" s="27">
        <v>2.8</v>
      </c>
      <c r="K39" s="27">
        <v>4.2</v>
      </c>
      <c r="L39" s="67">
        <v>8.1</v>
      </c>
      <c r="M39" s="67">
        <v>7</v>
      </c>
    </row>
    <row r="40" spans="1:13">
      <c r="A40" s="18" t="s">
        <v>195</v>
      </c>
      <c r="B40" s="24">
        <v>54</v>
      </c>
      <c r="C40" s="24">
        <v>268</v>
      </c>
      <c r="D40" s="24">
        <v>40</v>
      </c>
      <c r="E40" s="83">
        <v>80</v>
      </c>
      <c r="F40" s="83">
        <v>58</v>
      </c>
      <c r="G40" s="12"/>
      <c r="H40" s="18" t="s">
        <v>196</v>
      </c>
      <c r="I40" s="27">
        <v>62.6</v>
      </c>
      <c r="J40" s="27">
        <v>22</v>
      </c>
      <c r="K40" s="27">
        <v>29</v>
      </c>
      <c r="L40" s="67">
        <v>41.4</v>
      </c>
      <c r="M40" s="67">
        <v>29.5</v>
      </c>
    </row>
    <row r="41" spans="1:13">
      <c r="A41" s="46" t="s">
        <v>197</v>
      </c>
      <c r="B41" s="47">
        <v>268</v>
      </c>
      <c r="C41" s="47">
        <v>40</v>
      </c>
      <c r="D41" s="47">
        <v>80</v>
      </c>
      <c r="E41" s="95">
        <v>58</v>
      </c>
      <c r="F41" s="95">
        <v>80</v>
      </c>
      <c r="G41" s="12"/>
      <c r="H41" s="18" t="s">
        <v>198</v>
      </c>
      <c r="I41" s="42">
        <v>3.6</v>
      </c>
      <c r="J41" s="42">
        <v>11</v>
      </c>
      <c r="K41" s="42">
        <v>10.6</v>
      </c>
      <c r="L41" s="93">
        <v>15.2</v>
      </c>
      <c r="M41" s="93">
        <v>17.5</v>
      </c>
    </row>
    <row r="42" spans="1:13">
      <c r="A42" s="12"/>
      <c r="B42" s="12"/>
      <c r="C42" s="12"/>
      <c r="D42" s="12"/>
      <c r="E42" s="12"/>
      <c r="F42" s="12"/>
      <c r="G42" s="12"/>
      <c r="H42" s="18" t="s">
        <v>199</v>
      </c>
      <c r="I42" s="42">
        <v>3</v>
      </c>
      <c r="J42" s="42">
        <v>9.8000000000000007</v>
      </c>
      <c r="K42" s="42">
        <v>9.3000000000000007</v>
      </c>
      <c r="L42" s="93">
        <v>13.2</v>
      </c>
      <c r="M42" s="93">
        <v>15.2</v>
      </c>
    </row>
    <row r="43" spans="1:13">
      <c r="A43" s="12"/>
      <c r="B43" s="12"/>
      <c r="C43" s="12"/>
      <c r="D43" s="12"/>
      <c r="E43" s="12"/>
      <c r="F43" s="12"/>
      <c r="G43" s="12"/>
      <c r="H43" s="18" t="s">
        <v>200</v>
      </c>
      <c r="I43" s="42">
        <v>5.0999999999999996</v>
      </c>
      <c r="J43" s="42">
        <v>24.8</v>
      </c>
      <c r="K43" s="42">
        <v>33.9</v>
      </c>
      <c r="L43" s="93">
        <v>41.7</v>
      </c>
      <c r="M43" s="93">
        <v>45.1</v>
      </c>
    </row>
    <row r="44" spans="1:13">
      <c r="A44" s="12"/>
      <c r="B44" s="12"/>
      <c r="C44" s="12"/>
      <c r="D44" s="12"/>
      <c r="E44" s="12"/>
      <c r="F44" s="12"/>
      <c r="G44" s="12"/>
      <c r="H44" s="18" t="s">
        <v>201</v>
      </c>
      <c r="I44" s="42">
        <v>31</v>
      </c>
      <c r="J44" s="42">
        <v>30.3</v>
      </c>
      <c r="K44" s="42">
        <v>31</v>
      </c>
      <c r="L44" s="93">
        <v>21.1</v>
      </c>
      <c r="M44" s="93">
        <v>17.8</v>
      </c>
    </row>
    <row r="45" spans="1:13">
      <c r="A45" s="12"/>
      <c r="B45" s="12"/>
      <c r="C45" s="12"/>
      <c r="D45" s="12"/>
      <c r="E45" s="12"/>
      <c r="F45" s="12"/>
      <c r="G45" s="12"/>
      <c r="H45" s="10" t="s">
        <v>202</v>
      </c>
      <c r="I45" s="48">
        <v>0.2</v>
      </c>
      <c r="J45" s="48">
        <v>1.1000000000000001</v>
      </c>
      <c r="K45" s="48">
        <v>0.8</v>
      </c>
      <c r="L45" s="96">
        <v>0.4</v>
      </c>
      <c r="M45" s="96">
        <v>0.4</v>
      </c>
    </row>
  </sheetData>
  <mergeCells count="7">
    <mergeCell ref="A23:F23"/>
    <mergeCell ref="H33:M33"/>
    <mergeCell ref="A1:M2"/>
    <mergeCell ref="A3:M3"/>
    <mergeCell ref="A4:M4"/>
    <mergeCell ref="A5:F5"/>
    <mergeCell ref="H5:M5"/>
  </mergeCells>
  <phoneticPr fontId="14" type="noConversion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showGridLines="0" workbookViewId="0">
      <selection sqref="A1:J2"/>
    </sheetView>
  </sheetViews>
  <sheetFormatPr defaultRowHeight="13.8"/>
  <cols>
    <col min="1" max="1" width="14" customWidth="1"/>
    <col min="2" max="2" width="17" customWidth="1"/>
    <col min="3" max="3" width="13" customWidth="1"/>
    <col min="4" max="4" width="31" customWidth="1"/>
    <col min="5" max="8" width="15" customWidth="1"/>
    <col min="9" max="9" width="23" customWidth="1"/>
    <col min="10" max="10" width="15" customWidth="1"/>
  </cols>
  <sheetData>
    <row r="1" spans="1:10">
      <c r="A1" s="123" t="s">
        <v>130</v>
      </c>
      <c r="B1" s="124" t="s">
        <v>130</v>
      </c>
      <c r="C1" s="124" t="s">
        <v>130</v>
      </c>
      <c r="D1" s="124" t="s">
        <v>130</v>
      </c>
      <c r="E1" s="124" t="s">
        <v>130</v>
      </c>
      <c r="F1" s="124" t="s">
        <v>130</v>
      </c>
      <c r="G1" s="124" t="s">
        <v>130</v>
      </c>
      <c r="H1" s="124" t="s">
        <v>130</v>
      </c>
      <c r="I1" s="124" t="s">
        <v>130</v>
      </c>
      <c r="J1" s="124" t="s">
        <v>130</v>
      </c>
    </row>
    <row r="2" spans="1:10">
      <c r="A2" s="124" t="s">
        <v>130</v>
      </c>
      <c r="B2" s="124" t="s">
        <v>130</v>
      </c>
      <c r="C2" s="124" t="s">
        <v>130</v>
      </c>
      <c r="D2" s="124" t="s">
        <v>130</v>
      </c>
      <c r="E2" s="124" t="s">
        <v>130</v>
      </c>
      <c r="F2" s="124" t="s">
        <v>130</v>
      </c>
      <c r="G2" s="124" t="s">
        <v>130</v>
      </c>
      <c r="H2" s="124" t="s">
        <v>130</v>
      </c>
      <c r="I2" s="124" t="s">
        <v>130</v>
      </c>
      <c r="J2" s="124" t="s">
        <v>130</v>
      </c>
    </row>
    <row r="3" spans="1:10">
      <c r="A3" s="125" t="s">
        <v>1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0">
      <c r="A4" s="126" t="s">
        <v>2</v>
      </c>
      <c r="B4" s="126"/>
      <c r="C4" s="126"/>
      <c r="D4" s="126"/>
      <c r="E4" s="126"/>
      <c r="F4" s="126"/>
      <c r="G4" s="126"/>
      <c r="H4" s="126"/>
      <c r="I4" s="126"/>
      <c r="J4" s="126"/>
    </row>
    <row r="5" spans="1:10">
      <c r="A5" s="13" t="s">
        <v>106</v>
      </c>
      <c r="B5" s="14" t="s">
        <v>107</v>
      </c>
      <c r="C5" s="14" t="s">
        <v>108</v>
      </c>
      <c r="D5" s="14" t="s">
        <v>109</v>
      </c>
      <c r="E5" s="14" t="s">
        <v>131</v>
      </c>
      <c r="F5" s="14" t="s">
        <v>132</v>
      </c>
      <c r="G5" s="14" t="s">
        <v>112</v>
      </c>
      <c r="H5" s="14" t="s">
        <v>114</v>
      </c>
      <c r="I5" s="14" t="s">
        <v>133</v>
      </c>
      <c r="J5" s="15" t="s">
        <v>134</v>
      </c>
    </row>
    <row r="6" spans="1:10">
      <c r="A6" s="2" t="s">
        <v>115</v>
      </c>
      <c r="B6" s="2" t="s">
        <v>116</v>
      </c>
      <c r="C6" s="2" t="s">
        <v>117</v>
      </c>
      <c r="D6" s="2" t="s">
        <v>118</v>
      </c>
      <c r="E6" s="82">
        <v>72300</v>
      </c>
      <c r="F6" s="87">
        <v>46219</v>
      </c>
      <c r="G6" s="84">
        <v>28.3</v>
      </c>
      <c r="H6" s="90" t="s">
        <v>119</v>
      </c>
      <c r="I6" s="2" t="s">
        <v>135</v>
      </c>
      <c r="J6" s="34">
        <f>IF(H6="Y",G6,"")</f>
        <v>28.3</v>
      </c>
    </row>
    <row r="7" spans="1:10">
      <c r="A7" s="18" t="s">
        <v>120</v>
      </c>
      <c r="B7" s="18" t="s">
        <v>121</v>
      </c>
      <c r="C7" s="18" t="s">
        <v>117</v>
      </c>
      <c r="D7" s="18" t="s">
        <v>122</v>
      </c>
      <c r="E7" s="83">
        <v>282500</v>
      </c>
      <c r="F7" s="88">
        <v>46219</v>
      </c>
      <c r="G7" s="67">
        <v>22.47</v>
      </c>
      <c r="H7" s="66" t="s">
        <v>119</v>
      </c>
      <c r="I7" s="18" t="s">
        <v>135</v>
      </c>
      <c r="J7" s="28">
        <f>IF(H7="Y",G7,"")</f>
        <v>22.47</v>
      </c>
    </row>
    <row r="8" spans="1:10">
      <c r="A8" s="18" t="s">
        <v>123</v>
      </c>
      <c r="B8" s="18" t="s">
        <v>124</v>
      </c>
      <c r="C8" s="18" t="s">
        <v>117</v>
      </c>
      <c r="D8" s="18" t="s">
        <v>125</v>
      </c>
      <c r="E8" s="83">
        <v>49200</v>
      </c>
      <c r="F8" s="88">
        <v>46219</v>
      </c>
      <c r="G8" s="67">
        <v>15.68</v>
      </c>
      <c r="H8" s="66" t="s">
        <v>119</v>
      </c>
      <c r="I8" s="18" t="s">
        <v>135</v>
      </c>
      <c r="J8" s="28">
        <f>IF(H8="Y",G8,"")</f>
        <v>15.68</v>
      </c>
    </row>
    <row r="9" spans="1:10">
      <c r="A9" s="10" t="s">
        <v>126</v>
      </c>
      <c r="B9" s="10" t="s">
        <v>127</v>
      </c>
      <c r="C9" s="10" t="s">
        <v>117</v>
      </c>
      <c r="D9" s="10" t="s">
        <v>128</v>
      </c>
      <c r="E9" s="85">
        <v>86900</v>
      </c>
      <c r="F9" s="89">
        <v>46219</v>
      </c>
      <c r="G9" s="86">
        <v>39.31</v>
      </c>
      <c r="H9" s="91" t="s">
        <v>119</v>
      </c>
      <c r="I9" s="10" t="s">
        <v>135</v>
      </c>
      <c r="J9" s="35">
        <f>IF(H9="Y",G9,"")</f>
        <v>39.31</v>
      </c>
    </row>
    <row r="10" spans="1:10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 spans="1:10">
      <c r="A11" s="36" t="s">
        <v>136</v>
      </c>
      <c r="B11" s="36"/>
      <c r="C11" s="36"/>
      <c r="D11" s="36"/>
      <c r="E11" s="36"/>
      <c r="F11" s="36"/>
      <c r="G11" s="37">
        <f>MEDIAN(J6:J9)</f>
        <v>25.384999999999998</v>
      </c>
      <c r="H11" s="36"/>
      <c r="I11" s="36"/>
      <c r="J11" s="36"/>
    </row>
    <row r="12" spans="1:10">
      <c r="A12" s="36" t="s">
        <v>137</v>
      </c>
      <c r="B12" s="36"/>
      <c r="C12" s="36"/>
      <c r="D12" s="36"/>
      <c r="E12" s="36"/>
      <c r="F12" s="36"/>
      <c r="G12" s="37">
        <f>AVERAGE(J6:J9)</f>
        <v>26.439999999999998</v>
      </c>
      <c r="H12" s="36"/>
      <c r="I12" s="36"/>
      <c r="J12" s="36"/>
    </row>
    <row r="13" spans="1:10">
      <c r="A13" s="38" t="s">
        <v>138</v>
      </c>
      <c r="B13" s="38"/>
      <c r="C13" s="38"/>
      <c r="D13" s="38"/>
      <c r="E13" s="38"/>
      <c r="F13" s="38"/>
      <c r="G13" s="39">
        <f>COUNT(J6:J9)</f>
        <v>4</v>
      </c>
      <c r="H13" s="38"/>
      <c r="I13" s="38"/>
      <c r="J13" s="38"/>
    </row>
    <row r="14" spans="1:10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>
      <c r="A15" s="131" t="s">
        <v>139</v>
      </c>
      <c r="B15" s="131"/>
      <c r="C15" s="131"/>
      <c r="D15" s="131"/>
      <c r="E15" s="131"/>
      <c r="F15" s="131"/>
      <c r="G15" s="131"/>
      <c r="H15" s="131"/>
      <c r="I15" s="131"/>
      <c r="J15" s="131"/>
    </row>
    <row r="16" spans="1:10">
      <c r="A16" s="131"/>
      <c r="B16" s="131"/>
      <c r="C16" s="131"/>
      <c r="D16" s="131"/>
      <c r="E16" s="131"/>
      <c r="F16" s="131"/>
      <c r="G16" s="131"/>
      <c r="H16" s="131"/>
      <c r="I16" s="131"/>
      <c r="J16" s="131"/>
    </row>
  </sheetData>
  <mergeCells count="4">
    <mergeCell ref="A1:J2"/>
    <mergeCell ref="A3:J3"/>
    <mergeCell ref="A4:J4"/>
    <mergeCell ref="A15:J16"/>
  </mergeCells>
  <phoneticPr fontId="14" type="noConversion"/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showGridLines="0" workbookViewId="0">
      <selection sqref="A1:G2"/>
    </sheetView>
  </sheetViews>
  <sheetFormatPr defaultRowHeight="13.8"/>
  <cols>
    <col min="1" max="1" width="26" customWidth="1"/>
    <col min="2" max="3" width="16" customWidth="1"/>
    <col min="4" max="4" width="49" customWidth="1"/>
    <col min="5" max="6" width="15" customWidth="1"/>
    <col min="7" max="7" width="31" customWidth="1"/>
  </cols>
  <sheetData>
    <row r="1" spans="1:7">
      <c r="A1" s="123" t="s">
        <v>203</v>
      </c>
      <c r="B1" s="124" t="s">
        <v>203</v>
      </c>
      <c r="C1" s="124" t="s">
        <v>203</v>
      </c>
      <c r="D1" s="124" t="s">
        <v>203</v>
      </c>
      <c r="E1" s="124" t="s">
        <v>203</v>
      </c>
      <c r="F1" s="124" t="s">
        <v>203</v>
      </c>
      <c r="G1" s="124" t="s">
        <v>203</v>
      </c>
    </row>
    <row r="2" spans="1:7">
      <c r="A2" s="124" t="s">
        <v>203</v>
      </c>
      <c r="B2" s="124" t="s">
        <v>203</v>
      </c>
      <c r="C2" s="124" t="s">
        <v>203</v>
      </c>
      <c r="D2" s="124" t="s">
        <v>203</v>
      </c>
      <c r="E2" s="124" t="s">
        <v>203</v>
      </c>
      <c r="F2" s="124" t="s">
        <v>203</v>
      </c>
      <c r="G2" s="124" t="s">
        <v>203</v>
      </c>
    </row>
    <row r="3" spans="1:7">
      <c r="A3" s="125" t="s">
        <v>1</v>
      </c>
      <c r="B3" s="125"/>
      <c r="C3" s="125"/>
      <c r="D3" s="125"/>
      <c r="E3" s="125"/>
      <c r="F3" s="125"/>
      <c r="G3" s="125"/>
    </row>
    <row r="4" spans="1:7">
      <c r="A4" s="126" t="s">
        <v>2</v>
      </c>
      <c r="B4" s="126"/>
      <c r="C4" s="126"/>
      <c r="D4" s="126"/>
      <c r="E4" s="126"/>
      <c r="F4" s="126"/>
      <c r="G4" s="126"/>
    </row>
    <row r="5" spans="1:7">
      <c r="A5" s="128" t="s">
        <v>133</v>
      </c>
      <c r="B5" s="129" t="s">
        <v>133</v>
      </c>
      <c r="C5" s="129" t="s">
        <v>133</v>
      </c>
      <c r="D5" s="129" t="s">
        <v>133</v>
      </c>
      <c r="E5" s="129" t="s">
        <v>133</v>
      </c>
      <c r="F5" s="129" t="s">
        <v>133</v>
      </c>
      <c r="G5" s="130" t="s">
        <v>133</v>
      </c>
    </row>
    <row r="6" spans="1:7">
      <c r="A6" s="13" t="s">
        <v>204</v>
      </c>
      <c r="B6" s="14" t="s">
        <v>205</v>
      </c>
      <c r="C6" s="14" t="s">
        <v>206</v>
      </c>
      <c r="D6" s="14" t="s">
        <v>207</v>
      </c>
      <c r="E6" s="14" t="s">
        <v>132</v>
      </c>
      <c r="F6" s="14" t="s">
        <v>208</v>
      </c>
      <c r="G6" s="15" t="s">
        <v>84</v>
      </c>
    </row>
    <row r="7" spans="1:7" ht="55.2">
      <c r="A7" s="2" t="s">
        <v>209</v>
      </c>
      <c r="B7" s="2" t="s">
        <v>210</v>
      </c>
      <c r="C7" s="2" t="s">
        <v>211</v>
      </c>
      <c r="D7" s="50" t="s">
        <v>212</v>
      </c>
      <c r="E7" s="30">
        <v>46223</v>
      </c>
      <c r="F7" s="2" t="s">
        <v>213</v>
      </c>
      <c r="G7" s="2" t="s">
        <v>214</v>
      </c>
    </row>
    <row r="8" spans="1:7" ht="55.2">
      <c r="A8" s="18" t="s">
        <v>215</v>
      </c>
      <c r="B8" s="18" t="s">
        <v>216</v>
      </c>
      <c r="C8" s="18" t="s">
        <v>217</v>
      </c>
      <c r="D8" s="51" t="s">
        <v>218</v>
      </c>
      <c r="E8" s="32">
        <v>46140</v>
      </c>
      <c r="F8" s="18" t="s">
        <v>219</v>
      </c>
      <c r="G8" s="18" t="s">
        <v>220</v>
      </c>
    </row>
    <row r="9" spans="1:7" ht="55.2">
      <c r="A9" s="18" t="s">
        <v>221</v>
      </c>
      <c r="B9" s="18" t="s">
        <v>222</v>
      </c>
      <c r="C9" s="18" t="s">
        <v>223</v>
      </c>
      <c r="D9" s="51" t="s">
        <v>224</v>
      </c>
      <c r="E9" s="32">
        <v>46062</v>
      </c>
      <c r="F9" s="18" t="s">
        <v>225</v>
      </c>
      <c r="G9" s="18" t="s">
        <v>226</v>
      </c>
    </row>
    <row r="10" spans="1:7" ht="55.2">
      <c r="A10" s="18" t="s">
        <v>227</v>
      </c>
      <c r="B10" s="18" t="s">
        <v>228</v>
      </c>
      <c r="C10" s="18" t="s">
        <v>223</v>
      </c>
      <c r="D10" s="51" t="s">
        <v>229</v>
      </c>
      <c r="E10" s="32">
        <v>46063</v>
      </c>
      <c r="F10" s="18" t="s">
        <v>230</v>
      </c>
      <c r="G10" s="18" t="s">
        <v>231</v>
      </c>
    </row>
    <row r="11" spans="1:7" ht="41.4">
      <c r="A11" s="18" t="s">
        <v>232</v>
      </c>
      <c r="B11" s="18" t="s">
        <v>233</v>
      </c>
      <c r="C11" s="18" t="s">
        <v>211</v>
      </c>
      <c r="D11" s="51" t="s">
        <v>234</v>
      </c>
      <c r="E11" s="32">
        <v>46023</v>
      </c>
      <c r="F11" s="18" t="s">
        <v>235</v>
      </c>
      <c r="G11" s="18" t="s">
        <v>236</v>
      </c>
    </row>
    <row r="12" spans="1:7">
      <c r="A12" s="18" t="s">
        <v>237</v>
      </c>
      <c r="B12" s="18" t="s">
        <v>238</v>
      </c>
      <c r="C12" s="18" t="s">
        <v>239</v>
      </c>
      <c r="D12" s="51" t="s">
        <v>240</v>
      </c>
      <c r="E12" s="32">
        <v>46099</v>
      </c>
      <c r="F12" s="18" t="s">
        <v>241</v>
      </c>
      <c r="G12" s="18" t="s">
        <v>242</v>
      </c>
    </row>
    <row r="13" spans="1:7" ht="55.2">
      <c r="A13" s="10" t="s">
        <v>243</v>
      </c>
      <c r="B13" s="10" t="s">
        <v>244</v>
      </c>
      <c r="C13" s="10" t="s">
        <v>245</v>
      </c>
      <c r="D13" s="52" t="s">
        <v>212</v>
      </c>
      <c r="E13" s="33">
        <v>46223</v>
      </c>
      <c r="F13" s="10" t="s">
        <v>213</v>
      </c>
      <c r="G13" s="10" t="s">
        <v>246</v>
      </c>
    </row>
    <row r="14" spans="1:7">
      <c r="A14" s="12"/>
      <c r="B14" s="12"/>
      <c r="C14" s="12"/>
      <c r="D14" s="12"/>
      <c r="E14" s="12"/>
      <c r="F14" s="12"/>
      <c r="G14" s="12"/>
    </row>
    <row r="15" spans="1:7">
      <c r="A15" s="12"/>
      <c r="B15" s="12"/>
      <c r="C15" s="12"/>
      <c r="D15" s="12"/>
      <c r="E15" s="12"/>
      <c r="F15" s="12"/>
      <c r="G15" s="12"/>
    </row>
    <row r="16" spans="1:7">
      <c r="A16" s="128" t="s">
        <v>247</v>
      </c>
      <c r="B16" s="129" t="s">
        <v>247</v>
      </c>
      <c r="C16" s="129" t="s">
        <v>247</v>
      </c>
      <c r="D16" s="129" t="s">
        <v>247</v>
      </c>
      <c r="E16" s="129" t="s">
        <v>247</v>
      </c>
      <c r="F16" s="129" t="s">
        <v>247</v>
      </c>
      <c r="G16" s="130" t="s">
        <v>247</v>
      </c>
    </row>
    <row r="17" spans="1:7">
      <c r="A17" s="13" t="s">
        <v>248</v>
      </c>
      <c r="B17" s="14" t="s">
        <v>249</v>
      </c>
      <c r="C17" s="14" t="s">
        <v>250</v>
      </c>
      <c r="D17" s="14" t="s">
        <v>251</v>
      </c>
      <c r="E17" s="14" t="s">
        <v>252</v>
      </c>
      <c r="F17" s="14" t="s">
        <v>253</v>
      </c>
      <c r="G17" s="15" t="s">
        <v>84</v>
      </c>
    </row>
    <row r="18" spans="1:7">
      <c r="A18" s="2" t="s">
        <v>254</v>
      </c>
      <c r="B18" s="53">
        <f>1-'03_목표주가'!B8</f>
        <v>0.6</v>
      </c>
      <c r="C18" s="76">
        <v>0.6</v>
      </c>
      <c r="D18" s="3">
        <f t="shared" ref="D18:D24" si="0">B18-C18</f>
        <v>0</v>
      </c>
      <c r="E18" s="76">
        <v>1E-4</v>
      </c>
      <c r="F18" s="2" t="str">
        <f t="shared" ref="F18:F24" si="1">IF(ABS(D18)&lt;=E18,"OK","CHECK")</f>
        <v>OK</v>
      </c>
      <c r="G18" s="2" t="s">
        <v>255</v>
      </c>
    </row>
    <row r="19" spans="1:7">
      <c r="A19" s="18" t="s">
        <v>91</v>
      </c>
      <c r="B19" s="54">
        <f>'03_목표주가'!B9</f>
        <v>53.352303040799995</v>
      </c>
      <c r="C19" s="63">
        <v>53.352303040999999</v>
      </c>
      <c r="D19" s="6">
        <f t="shared" si="0"/>
        <v>-2.00003569261753E-10</v>
      </c>
      <c r="E19" s="63">
        <v>1E-3</v>
      </c>
      <c r="F19" s="18" t="str">
        <f t="shared" si="1"/>
        <v>OK</v>
      </c>
      <c r="G19" s="18" t="s">
        <v>256</v>
      </c>
    </row>
    <row r="20" spans="1:7">
      <c r="A20" s="18" t="s">
        <v>95</v>
      </c>
      <c r="B20" s="54">
        <f>'03_목표주가'!B11</f>
        <v>300000</v>
      </c>
      <c r="C20" s="63">
        <v>300000</v>
      </c>
      <c r="D20" s="6">
        <f t="shared" si="0"/>
        <v>0</v>
      </c>
      <c r="E20" s="63">
        <v>1</v>
      </c>
      <c r="F20" s="18" t="str">
        <f t="shared" si="1"/>
        <v>OK</v>
      </c>
      <c r="G20" s="18" t="s">
        <v>257</v>
      </c>
    </row>
    <row r="21" spans="1:7">
      <c r="A21" s="18" t="s">
        <v>258</v>
      </c>
      <c r="B21" s="54">
        <f>SUM('01_실적추이'!F6:I6)</f>
        <v>314.20000000000005</v>
      </c>
      <c r="C21" s="63">
        <v>314.2</v>
      </c>
      <c r="D21" s="6">
        <f t="shared" si="0"/>
        <v>0</v>
      </c>
      <c r="E21" s="63">
        <v>0.1</v>
      </c>
      <c r="F21" s="18" t="str">
        <f t="shared" si="1"/>
        <v>OK</v>
      </c>
      <c r="G21" s="18" t="s">
        <v>259</v>
      </c>
    </row>
    <row r="22" spans="1:7">
      <c r="A22" s="18" t="s">
        <v>260</v>
      </c>
      <c r="B22" s="54">
        <f>SUM('01_실적추이'!F20:I20)</f>
        <v>100.50000000000001</v>
      </c>
      <c r="C22" s="63">
        <v>100.4</v>
      </c>
      <c r="D22" s="6">
        <f t="shared" si="0"/>
        <v>0.10000000000000853</v>
      </c>
      <c r="E22" s="63">
        <v>0.2</v>
      </c>
      <c r="F22" s="18" t="str">
        <f t="shared" si="1"/>
        <v>OK</v>
      </c>
      <c r="G22" s="18" t="s">
        <v>261</v>
      </c>
    </row>
    <row r="23" spans="1:7">
      <c r="A23" s="18" t="s">
        <v>85</v>
      </c>
      <c r="B23" s="54">
        <f>'03_목표주가'!B6</f>
        <v>5623</v>
      </c>
      <c r="C23" s="63">
        <v>5623</v>
      </c>
      <c r="D23" s="6">
        <f t="shared" si="0"/>
        <v>0</v>
      </c>
      <c r="E23" s="63">
        <v>0.1</v>
      </c>
      <c r="F23" s="18" t="str">
        <f t="shared" si="1"/>
        <v>OK</v>
      </c>
      <c r="G23" s="18" t="s">
        <v>262</v>
      </c>
    </row>
    <row r="24" spans="1:7">
      <c r="A24" s="10" t="s">
        <v>263</v>
      </c>
      <c r="B24" s="55">
        <f>'05_피어밸류'!G13</f>
        <v>4</v>
      </c>
      <c r="C24" s="75">
        <v>4</v>
      </c>
      <c r="D24" s="56">
        <f t="shared" si="0"/>
        <v>0</v>
      </c>
      <c r="E24" s="75">
        <v>0</v>
      </c>
      <c r="F24" s="10" t="str">
        <f t="shared" si="1"/>
        <v>OK</v>
      </c>
      <c r="G24" s="10" t="s">
        <v>264</v>
      </c>
    </row>
    <row r="25" spans="1:7">
      <c r="A25" s="12"/>
      <c r="B25" s="12"/>
      <c r="C25" s="12"/>
      <c r="D25" s="12"/>
      <c r="E25" s="12"/>
      <c r="F25" s="12"/>
      <c r="G25" s="12"/>
    </row>
    <row r="26" spans="1:7">
      <c r="A26" s="12"/>
      <c r="B26" s="12"/>
      <c r="C26" s="12"/>
      <c r="D26" s="12"/>
      <c r="E26" s="12"/>
      <c r="F26" s="12"/>
      <c r="G26" s="12"/>
    </row>
    <row r="27" spans="1:7">
      <c r="A27" s="128" t="s">
        <v>265</v>
      </c>
      <c r="B27" s="129" t="s">
        <v>265</v>
      </c>
      <c r="C27" s="129" t="s">
        <v>265</v>
      </c>
      <c r="D27" s="129" t="s">
        <v>265</v>
      </c>
      <c r="E27" s="129" t="s">
        <v>265</v>
      </c>
      <c r="F27" s="129" t="s">
        <v>265</v>
      </c>
      <c r="G27" s="130" t="s">
        <v>265</v>
      </c>
    </row>
    <row r="28" spans="1:7">
      <c r="A28" s="131" t="s">
        <v>266</v>
      </c>
      <c r="B28" s="131"/>
      <c r="C28" s="131"/>
      <c r="D28" s="131"/>
      <c r="E28" s="131"/>
      <c r="F28" s="131"/>
      <c r="G28" s="131"/>
    </row>
    <row r="29" spans="1:7">
      <c r="A29" s="131" t="s">
        <v>267</v>
      </c>
      <c r="B29" s="131"/>
      <c r="C29" s="131"/>
      <c r="D29" s="131"/>
      <c r="E29" s="131"/>
      <c r="F29" s="131"/>
      <c r="G29" s="131"/>
    </row>
    <row r="30" spans="1:7">
      <c r="A30" s="131" t="s">
        <v>268</v>
      </c>
      <c r="B30" s="131"/>
      <c r="C30" s="131"/>
      <c r="D30" s="131"/>
      <c r="E30" s="131"/>
      <c r="F30" s="131"/>
      <c r="G30" s="131"/>
    </row>
    <row r="31" spans="1:7">
      <c r="A31" s="131" t="s">
        <v>269</v>
      </c>
      <c r="B31" s="131"/>
      <c r="C31" s="131"/>
      <c r="D31" s="131"/>
      <c r="E31" s="131"/>
      <c r="F31" s="131"/>
      <c r="G31" s="131"/>
    </row>
  </sheetData>
  <mergeCells count="10">
    <mergeCell ref="A27:G27"/>
    <mergeCell ref="A28:G28"/>
    <mergeCell ref="A29:G29"/>
    <mergeCell ref="A30:G30"/>
    <mergeCell ref="A31:G31"/>
    <mergeCell ref="A1:G2"/>
    <mergeCell ref="A3:G3"/>
    <mergeCell ref="A4:G4"/>
    <mergeCell ref="A5:G5"/>
    <mergeCell ref="A16:G16"/>
  </mergeCells>
  <phoneticPr fontId="14" type="noConversion"/>
  <conditionalFormatting sqref="F18:F24">
    <cfRule type="containsText" dxfId="5" priority="1" operator="containsText" text="OK"/>
    <cfRule type="containsText" dxfId="4" priority="2" operator="containsText" text="CHECK"/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showGridLines="0" topLeftCell="A13" workbookViewId="0">
      <selection activeCell="E43" sqref="E43"/>
    </sheetView>
  </sheetViews>
  <sheetFormatPr defaultRowHeight="13.8"/>
  <cols>
    <col min="1" max="1" width="31" customWidth="1"/>
    <col min="2" max="5" width="15" customWidth="1"/>
    <col min="6" max="6" width="30" customWidth="1"/>
    <col min="7" max="7" width="13" customWidth="1"/>
    <col min="8" max="8" width="23" customWidth="1"/>
  </cols>
  <sheetData>
    <row r="1" spans="1:8">
      <c r="A1" s="123" t="s">
        <v>270</v>
      </c>
      <c r="B1" s="124" t="s">
        <v>270</v>
      </c>
      <c r="C1" s="124" t="s">
        <v>270</v>
      </c>
      <c r="D1" s="124" t="s">
        <v>270</v>
      </c>
      <c r="E1" s="124" t="s">
        <v>270</v>
      </c>
      <c r="F1" s="124" t="s">
        <v>270</v>
      </c>
      <c r="G1" s="124" t="s">
        <v>270</v>
      </c>
      <c r="H1" s="124" t="s">
        <v>270</v>
      </c>
    </row>
    <row r="2" spans="1:8">
      <c r="A2" s="124" t="s">
        <v>270</v>
      </c>
      <c r="B2" s="124" t="s">
        <v>270</v>
      </c>
      <c r="C2" s="124" t="s">
        <v>270</v>
      </c>
      <c r="D2" s="124" t="s">
        <v>270</v>
      </c>
      <c r="E2" s="124" t="s">
        <v>270</v>
      </c>
      <c r="F2" s="124" t="s">
        <v>270</v>
      </c>
      <c r="G2" s="124" t="s">
        <v>270</v>
      </c>
      <c r="H2" s="124" t="s">
        <v>270</v>
      </c>
    </row>
    <row r="3" spans="1:8">
      <c r="A3" s="125" t="s">
        <v>1</v>
      </c>
      <c r="B3" s="125"/>
      <c r="C3" s="125"/>
      <c r="D3" s="125"/>
      <c r="E3" s="125"/>
      <c r="F3" s="125"/>
      <c r="G3" s="125"/>
      <c r="H3" s="125"/>
    </row>
    <row r="4" spans="1:8">
      <c r="A4" s="126" t="s">
        <v>2</v>
      </c>
      <c r="B4" s="126"/>
      <c r="C4" s="126"/>
      <c r="D4" s="126"/>
      <c r="E4" s="126"/>
      <c r="F4" s="126"/>
      <c r="G4" s="126"/>
      <c r="H4" s="126"/>
    </row>
    <row r="5" spans="1:8">
      <c r="A5" s="128" t="s">
        <v>271</v>
      </c>
      <c r="B5" s="129" t="s">
        <v>271</v>
      </c>
      <c r="C5" s="129" t="s">
        <v>271</v>
      </c>
      <c r="D5" s="129" t="s">
        <v>271</v>
      </c>
      <c r="E5" s="129" t="s">
        <v>271</v>
      </c>
      <c r="F5" s="129" t="s">
        <v>271</v>
      </c>
      <c r="G5" s="129" t="s">
        <v>271</v>
      </c>
      <c r="H5" s="130" t="s">
        <v>271</v>
      </c>
    </row>
    <row r="6" spans="1:8" ht="27.6">
      <c r="A6" s="1" t="s">
        <v>6</v>
      </c>
      <c r="B6" s="3">
        <f>C15</f>
        <v>314.2</v>
      </c>
      <c r="C6" s="12"/>
      <c r="D6" s="1" t="s">
        <v>10</v>
      </c>
      <c r="E6" s="3">
        <f>D15</f>
        <v>402.17599999999999</v>
      </c>
      <c r="F6" s="12"/>
      <c r="G6" s="12"/>
      <c r="H6" s="12"/>
    </row>
    <row r="7" spans="1:8" ht="27.6">
      <c r="A7" s="4" t="s">
        <v>8</v>
      </c>
      <c r="B7" s="6">
        <f>C25</f>
        <v>100.4</v>
      </c>
      <c r="C7" s="12"/>
      <c r="D7" s="4" t="s">
        <v>12</v>
      </c>
      <c r="E7" s="6">
        <f>D25</f>
        <v>136.6898802484472</v>
      </c>
      <c r="F7" s="12"/>
      <c r="G7" s="12"/>
      <c r="H7" s="12"/>
    </row>
    <row r="8" spans="1:8" ht="27.6">
      <c r="A8" s="4" t="s">
        <v>272</v>
      </c>
      <c r="B8" s="6">
        <f>C36</f>
        <v>4266.0000000000009</v>
      </c>
      <c r="C8" s="12"/>
      <c r="D8" s="4" t="s">
        <v>273</v>
      </c>
      <c r="E8" s="6">
        <f>D36</f>
        <v>5618.4736596273287</v>
      </c>
      <c r="F8" s="12"/>
      <c r="G8" s="12"/>
      <c r="H8" s="12"/>
    </row>
    <row r="9" spans="1:8">
      <c r="A9" s="9" t="s">
        <v>274</v>
      </c>
      <c r="B9" s="25">
        <f>C26</f>
        <v>0.31954169318905157</v>
      </c>
      <c r="C9" s="12"/>
      <c r="D9" s="9" t="s">
        <v>275</v>
      </c>
      <c r="E9" s="25">
        <f>D26</f>
        <v>0.33987577639751554</v>
      </c>
      <c r="F9" s="12"/>
      <c r="G9" s="12"/>
      <c r="H9" s="12"/>
    </row>
    <row r="10" spans="1:8">
      <c r="A10" s="12"/>
      <c r="B10" s="12"/>
      <c r="C10" s="12"/>
      <c r="D10" s="12"/>
      <c r="E10" s="12"/>
      <c r="F10" s="12"/>
      <c r="G10" s="12"/>
      <c r="H10" s="12"/>
    </row>
    <row r="11" spans="1:8">
      <c r="A11" s="136" t="s">
        <v>276</v>
      </c>
      <c r="B11" s="136"/>
      <c r="C11" s="136"/>
      <c r="D11" s="136"/>
      <c r="E11" s="136"/>
      <c r="F11" s="136"/>
      <c r="G11" s="136"/>
      <c r="H11" s="136"/>
    </row>
    <row r="12" spans="1:8">
      <c r="A12" s="12"/>
      <c r="B12" s="12"/>
      <c r="C12" s="12"/>
      <c r="D12" s="12"/>
      <c r="E12" s="12"/>
      <c r="F12" s="12"/>
      <c r="G12" s="12"/>
      <c r="H12" s="12"/>
    </row>
    <row r="13" spans="1:8">
      <c r="A13" s="128" t="s">
        <v>277</v>
      </c>
      <c r="B13" s="129" t="s">
        <v>277</v>
      </c>
      <c r="C13" s="129" t="s">
        <v>277</v>
      </c>
      <c r="D13" s="129" t="s">
        <v>277</v>
      </c>
      <c r="E13" s="129" t="s">
        <v>277</v>
      </c>
      <c r="F13" s="129" t="s">
        <v>277</v>
      </c>
      <c r="G13" s="129" t="s">
        <v>277</v>
      </c>
      <c r="H13" s="130" t="s">
        <v>277</v>
      </c>
    </row>
    <row r="14" spans="1:8">
      <c r="A14" s="13" t="s">
        <v>278</v>
      </c>
      <c r="B14" s="14" t="s">
        <v>279</v>
      </c>
      <c r="C14" s="14" t="s">
        <v>40</v>
      </c>
      <c r="D14" s="14" t="s">
        <v>41</v>
      </c>
      <c r="E14" s="14" t="s">
        <v>280</v>
      </c>
      <c r="F14" s="14" t="s">
        <v>281</v>
      </c>
      <c r="G14" s="14" t="s">
        <v>282</v>
      </c>
      <c r="H14" s="15" t="s">
        <v>283</v>
      </c>
    </row>
    <row r="15" spans="1:8">
      <c r="A15" s="57" t="s">
        <v>76</v>
      </c>
      <c r="B15" s="58">
        <v>220.2</v>
      </c>
      <c r="C15" s="59">
        <f>B15*(1+C16)</f>
        <v>314.2</v>
      </c>
      <c r="D15" s="59">
        <f>C15*(1+D16)</f>
        <v>402.17599999999999</v>
      </c>
      <c r="E15" s="59">
        <f>D15*(1+E16)</f>
        <v>482.61119999999994</v>
      </c>
      <c r="F15" s="2" t="s">
        <v>284</v>
      </c>
      <c r="G15" s="2" t="s">
        <v>285</v>
      </c>
      <c r="H15" s="2" t="s">
        <v>286</v>
      </c>
    </row>
    <row r="16" spans="1:8">
      <c r="A16" s="18" t="s">
        <v>287</v>
      </c>
      <c r="B16" s="60"/>
      <c r="C16" s="61">
        <v>0.42688465031789291</v>
      </c>
      <c r="D16" s="61">
        <v>0.28000000000000003</v>
      </c>
      <c r="E16" s="61">
        <v>0.2</v>
      </c>
      <c r="F16" s="18" t="s">
        <v>288</v>
      </c>
      <c r="G16" s="18" t="s">
        <v>289</v>
      </c>
      <c r="H16" s="18" t="s">
        <v>290</v>
      </c>
    </row>
    <row r="17" spans="1:8">
      <c r="A17" s="18"/>
      <c r="B17" s="62"/>
      <c r="C17" s="6"/>
      <c r="D17" s="6"/>
      <c r="E17" s="6"/>
      <c r="F17" s="18"/>
      <c r="G17" s="18"/>
      <c r="H17" s="18"/>
    </row>
    <row r="18" spans="1:8">
      <c r="A18" s="18" t="s">
        <v>291</v>
      </c>
      <c r="B18" s="62">
        <v>122.5</v>
      </c>
      <c r="C18" s="6">
        <f>C15*C19</f>
        <v>166.2</v>
      </c>
      <c r="D18" s="6">
        <f>D15*D19</f>
        <v>211.72942708074535</v>
      </c>
      <c r="E18" s="6">
        <f>E15*E19</f>
        <v>253.37087999999997</v>
      </c>
      <c r="F18" s="18" t="s">
        <v>292</v>
      </c>
      <c r="G18" s="18" t="s">
        <v>285</v>
      </c>
      <c r="H18" s="18" t="s">
        <v>293</v>
      </c>
    </row>
    <row r="19" spans="1:8">
      <c r="A19" s="18" t="s">
        <v>294</v>
      </c>
      <c r="B19" s="60">
        <v>0.55631244323342421</v>
      </c>
      <c r="C19" s="61">
        <v>0.52896244430299166</v>
      </c>
      <c r="D19" s="61">
        <v>0.5264596273291926</v>
      </c>
      <c r="E19" s="61">
        <v>0.52500000000000002</v>
      </c>
      <c r="F19" s="18" t="s">
        <v>288</v>
      </c>
      <c r="G19" s="18" t="s">
        <v>289</v>
      </c>
      <c r="H19" s="18" t="s">
        <v>295</v>
      </c>
    </row>
    <row r="20" spans="1:8">
      <c r="A20" s="57" t="s">
        <v>296</v>
      </c>
      <c r="B20" s="58">
        <f>B15-B18</f>
        <v>97.699999999999989</v>
      </c>
      <c r="C20" s="59">
        <f>C15-C18</f>
        <v>148</v>
      </c>
      <c r="D20" s="59">
        <f>D15-D18</f>
        <v>190.44657291925463</v>
      </c>
      <c r="E20" s="59">
        <f>E15-E18</f>
        <v>229.24031999999997</v>
      </c>
      <c r="F20" s="18" t="s">
        <v>297</v>
      </c>
      <c r="G20" s="18" t="s">
        <v>285</v>
      </c>
      <c r="H20" s="18" t="s">
        <v>293</v>
      </c>
    </row>
    <row r="21" spans="1:8">
      <c r="A21" s="18" t="s">
        <v>54</v>
      </c>
      <c r="B21" s="60">
        <f>B20/B15</f>
        <v>0.44368755676657579</v>
      </c>
      <c r="C21" s="23">
        <f>C20/C15</f>
        <v>0.47103755569700828</v>
      </c>
      <c r="D21" s="23">
        <f>D20/D15</f>
        <v>0.4735403726708074</v>
      </c>
      <c r="E21" s="23">
        <f>E20/E15</f>
        <v>0.47499999999999998</v>
      </c>
      <c r="F21" s="18" t="s">
        <v>298</v>
      </c>
      <c r="G21" s="18" t="s">
        <v>285</v>
      </c>
      <c r="H21" s="18" t="s">
        <v>299</v>
      </c>
    </row>
    <row r="22" spans="1:8">
      <c r="A22" s="18"/>
      <c r="B22" s="62"/>
      <c r="C22" s="6"/>
      <c r="D22" s="6"/>
      <c r="E22" s="6"/>
      <c r="F22" s="18"/>
      <c r="G22" s="18"/>
      <c r="H22" s="18"/>
    </row>
    <row r="23" spans="1:8">
      <c r="A23" s="18" t="s">
        <v>300</v>
      </c>
      <c r="B23" s="62">
        <v>37.700000000000003</v>
      </c>
      <c r="C23" s="6">
        <f>C15*C24</f>
        <v>47.599999999999994</v>
      </c>
      <c r="D23" s="6">
        <f>D15*D24</f>
        <v>53.756692670807446</v>
      </c>
      <c r="E23" s="6">
        <f>E15*E24</f>
        <v>62.739455999999997</v>
      </c>
      <c r="F23" s="18" t="s">
        <v>301</v>
      </c>
      <c r="G23" s="18" t="s">
        <v>285</v>
      </c>
      <c r="H23" s="18" t="s">
        <v>293</v>
      </c>
    </row>
    <row r="24" spans="1:8">
      <c r="A24" s="18" t="s">
        <v>302</v>
      </c>
      <c r="B24" s="60">
        <v>0.17120799273387832</v>
      </c>
      <c r="C24" s="61">
        <v>0.15149586250795671</v>
      </c>
      <c r="D24" s="61">
        <v>0.13366459627329191</v>
      </c>
      <c r="E24" s="61">
        <v>0.13</v>
      </c>
      <c r="F24" s="18" t="s">
        <v>288</v>
      </c>
      <c r="G24" s="18" t="s">
        <v>289</v>
      </c>
      <c r="H24" s="18" t="s">
        <v>303</v>
      </c>
    </row>
    <row r="25" spans="1:8">
      <c r="A25" s="57" t="s">
        <v>78</v>
      </c>
      <c r="B25" s="58">
        <v>60.1</v>
      </c>
      <c r="C25" s="59">
        <f>C20-C23</f>
        <v>100.4</v>
      </c>
      <c r="D25" s="59">
        <f>D20-D23</f>
        <v>136.6898802484472</v>
      </c>
      <c r="E25" s="59">
        <f>E20-E23</f>
        <v>166.50086399999998</v>
      </c>
      <c r="F25" s="18" t="s">
        <v>304</v>
      </c>
      <c r="G25" s="18" t="s">
        <v>285</v>
      </c>
      <c r="H25" s="18" t="s">
        <v>293</v>
      </c>
    </row>
    <row r="26" spans="1:8">
      <c r="A26" s="18" t="s">
        <v>57</v>
      </c>
      <c r="B26" s="60">
        <f>B25/B15</f>
        <v>0.27293369663941874</v>
      </c>
      <c r="C26" s="23">
        <f>C25/C15</f>
        <v>0.31954169318905157</v>
      </c>
      <c r="D26" s="23">
        <f>D25/D15</f>
        <v>0.33987577639751554</v>
      </c>
      <c r="E26" s="23">
        <f>E25/E15</f>
        <v>0.34499999999999997</v>
      </c>
      <c r="F26" s="18" t="s">
        <v>305</v>
      </c>
      <c r="G26" s="18" t="s">
        <v>285</v>
      </c>
      <c r="H26" s="18" t="s">
        <v>299</v>
      </c>
    </row>
    <row r="27" spans="1:8">
      <c r="A27" s="18"/>
      <c r="B27" s="62"/>
      <c r="C27" s="6"/>
      <c r="D27" s="6"/>
      <c r="E27" s="6"/>
      <c r="F27" s="18"/>
      <c r="G27" s="18"/>
      <c r="H27" s="18"/>
    </row>
    <row r="28" spans="1:8">
      <c r="A28" s="18" t="s">
        <v>306</v>
      </c>
      <c r="B28" s="62">
        <v>6.5</v>
      </c>
      <c r="C28" s="6">
        <f>C15*C29</f>
        <v>12.2</v>
      </c>
      <c r="D28" s="6">
        <f>D15*D29</f>
        <v>11.290903850931677</v>
      </c>
      <c r="E28" s="6">
        <f>E15*E29</f>
        <v>12.06528</v>
      </c>
      <c r="F28" s="18" t="s">
        <v>307</v>
      </c>
      <c r="G28" s="18" t="s">
        <v>285</v>
      </c>
      <c r="H28" s="18" t="s">
        <v>293</v>
      </c>
    </row>
    <row r="29" spans="1:8">
      <c r="A29" s="18" t="s">
        <v>308</v>
      </c>
      <c r="B29" s="60">
        <v>2.951861943687557E-2</v>
      </c>
      <c r="C29" s="61">
        <v>3.8828771483131762E-2</v>
      </c>
      <c r="D29" s="61">
        <v>2.8074534161490684E-2</v>
      </c>
      <c r="E29" s="61">
        <v>2.5000000000000001E-2</v>
      </c>
      <c r="F29" s="18" t="s">
        <v>288</v>
      </c>
      <c r="G29" s="18" t="s">
        <v>289</v>
      </c>
      <c r="H29" s="18" t="s">
        <v>309</v>
      </c>
    </row>
    <row r="30" spans="1:8">
      <c r="A30" s="57" t="s">
        <v>310</v>
      </c>
      <c r="B30" s="58">
        <v>66.599999999999994</v>
      </c>
      <c r="C30" s="59">
        <f>C25+C28</f>
        <v>112.60000000000001</v>
      </c>
      <c r="D30" s="59">
        <f>D25+D28</f>
        <v>147.98078409937887</v>
      </c>
      <c r="E30" s="59">
        <f>E25+E28</f>
        <v>178.56614399999998</v>
      </c>
      <c r="F30" s="18" t="s">
        <v>311</v>
      </c>
      <c r="G30" s="18" t="s">
        <v>285</v>
      </c>
      <c r="H30" s="18" t="s">
        <v>293</v>
      </c>
    </row>
    <row r="31" spans="1:8">
      <c r="A31" s="18"/>
      <c r="B31" s="62"/>
      <c r="C31" s="6"/>
      <c r="D31" s="6"/>
      <c r="E31" s="6"/>
      <c r="F31" s="18"/>
      <c r="G31" s="18"/>
      <c r="H31" s="18"/>
    </row>
    <row r="32" spans="1:8">
      <c r="A32" s="57" t="s">
        <v>312</v>
      </c>
      <c r="B32" s="58">
        <v>56.1</v>
      </c>
      <c r="C32" s="59">
        <f>C30*(1-C33)</f>
        <v>87.300000000000011</v>
      </c>
      <c r="D32" s="59">
        <f>D30*(1-D33)</f>
        <v>115.00734807453415</v>
      </c>
      <c r="E32" s="59">
        <f>E30*(1-E33)</f>
        <v>139.28159231999999</v>
      </c>
      <c r="F32" s="18" t="s">
        <v>313</v>
      </c>
      <c r="G32" s="18" t="s">
        <v>285</v>
      </c>
      <c r="H32" s="18" t="s">
        <v>314</v>
      </c>
    </row>
    <row r="33" spans="1:8">
      <c r="A33" s="18" t="s">
        <v>315</v>
      </c>
      <c r="B33" s="60">
        <v>0.1576576576576576</v>
      </c>
      <c r="C33" s="61">
        <v>0.22468916518650084</v>
      </c>
      <c r="D33" s="61">
        <v>0.2228224172856178</v>
      </c>
      <c r="E33" s="61">
        <v>0.22</v>
      </c>
      <c r="F33" s="18" t="s">
        <v>288</v>
      </c>
      <c r="G33" s="18" t="s">
        <v>289</v>
      </c>
      <c r="H33" s="18" t="s">
        <v>316</v>
      </c>
    </row>
    <row r="34" spans="1:8">
      <c r="A34" s="18"/>
      <c r="B34" s="62"/>
      <c r="C34" s="6"/>
      <c r="D34" s="6"/>
      <c r="E34" s="6"/>
      <c r="F34" s="18"/>
      <c r="G34" s="18"/>
      <c r="H34" s="18"/>
    </row>
    <row r="35" spans="1:8">
      <c r="A35" s="18" t="s">
        <v>317</v>
      </c>
      <c r="B35" s="62">
        <v>20.452059788552681</v>
      </c>
      <c r="C35" s="63">
        <v>20.464135021097047</v>
      </c>
      <c r="D35" s="63">
        <v>20.469500266761514</v>
      </c>
      <c r="E35" s="63">
        <v>20.469500266761514</v>
      </c>
      <c r="F35" s="18" t="s">
        <v>288</v>
      </c>
      <c r="G35" s="18" t="s">
        <v>289</v>
      </c>
      <c r="H35" s="18" t="s">
        <v>318</v>
      </c>
    </row>
    <row r="36" spans="1:8">
      <c r="A36" s="57" t="s">
        <v>319</v>
      </c>
      <c r="B36" s="58">
        <v>2743</v>
      </c>
      <c r="C36" s="59">
        <f>C32*1000/C35</f>
        <v>4266.0000000000009</v>
      </c>
      <c r="D36" s="59">
        <f>D32*1000/D35</f>
        <v>5618.4736596273287</v>
      </c>
      <c r="E36" s="59">
        <f>E32*1000/E35</f>
        <v>6804.3474684218945</v>
      </c>
      <c r="F36" s="18" t="s">
        <v>320</v>
      </c>
      <c r="G36" s="18" t="s">
        <v>285</v>
      </c>
      <c r="H36" s="18" t="s">
        <v>321</v>
      </c>
    </row>
    <row r="37" spans="1:8">
      <c r="A37" s="10" t="s">
        <v>322</v>
      </c>
      <c r="B37" s="64"/>
      <c r="C37" s="25">
        <f>C36/B36-1</f>
        <v>0.55523149835946084</v>
      </c>
      <c r="D37" s="25">
        <f>D36/C36-1</f>
        <v>0.31703555077996426</v>
      </c>
      <c r="E37" s="25">
        <f>E36/D36-1</f>
        <v>0.21106689834926162</v>
      </c>
      <c r="F37" s="10" t="s">
        <v>323</v>
      </c>
      <c r="G37" s="10" t="s">
        <v>285</v>
      </c>
      <c r="H37" s="10" t="s">
        <v>324</v>
      </c>
    </row>
    <row r="38" spans="1:8">
      <c r="A38" s="12"/>
      <c r="B38" s="12"/>
      <c r="C38" s="12"/>
      <c r="D38" s="12"/>
      <c r="E38" s="12"/>
      <c r="F38" s="12"/>
      <c r="G38" s="12"/>
      <c r="H38" s="12"/>
    </row>
    <row r="39" spans="1:8">
      <c r="A39" s="12"/>
      <c r="B39" s="12"/>
      <c r="C39" s="12"/>
      <c r="D39" s="12"/>
      <c r="E39" s="12"/>
      <c r="F39" s="12"/>
      <c r="G39" s="12"/>
      <c r="H39" s="12"/>
    </row>
    <row r="40" spans="1:8">
      <c r="A40" s="128" t="s">
        <v>325</v>
      </c>
      <c r="B40" s="129" t="s">
        <v>325</v>
      </c>
      <c r="C40" s="129" t="s">
        <v>325</v>
      </c>
      <c r="D40" s="129" t="s">
        <v>325</v>
      </c>
      <c r="E40" s="129" t="s">
        <v>325</v>
      </c>
      <c r="F40" s="129" t="s">
        <v>325</v>
      </c>
      <c r="G40" s="129" t="s">
        <v>325</v>
      </c>
      <c r="H40" s="130" t="s">
        <v>325</v>
      </c>
    </row>
    <row r="41" spans="1:8">
      <c r="A41" s="13" t="s">
        <v>248</v>
      </c>
      <c r="B41" s="14" t="s">
        <v>251</v>
      </c>
      <c r="C41" s="14" t="s">
        <v>253</v>
      </c>
      <c r="D41" s="15" t="s">
        <v>326</v>
      </c>
      <c r="E41" s="12"/>
      <c r="F41" s="12"/>
      <c r="G41" s="12"/>
      <c r="H41" s="12"/>
    </row>
    <row r="42" spans="1:8">
      <c r="A42" s="2" t="s">
        <v>327</v>
      </c>
      <c r="B42" s="2">
        <f>C15-314.2</f>
        <v>0</v>
      </c>
      <c r="C42" s="2" t="str">
        <f>IF(ABS(B42)&lt;=0.1,"OK","CHECK")</f>
        <v>OK</v>
      </c>
      <c r="D42" s="2" t="s">
        <v>328</v>
      </c>
      <c r="E42" s="12"/>
      <c r="F42" s="12"/>
      <c r="G42" s="12"/>
      <c r="H42" s="12"/>
    </row>
    <row r="43" spans="1:8">
      <c r="A43" s="18" t="s">
        <v>329</v>
      </c>
      <c r="B43" s="18">
        <f>D15-402.5</f>
        <v>-0.32400000000001228</v>
      </c>
      <c r="C43" s="18" t="str">
        <f>IF(ABS(B43)&lt;=0.1,"OK","CHECK")</f>
        <v>CHECK</v>
      </c>
      <c r="D43" s="18" t="s">
        <v>330</v>
      </c>
      <c r="E43" s="12"/>
      <c r="F43" s="12"/>
      <c r="G43" s="12"/>
      <c r="H43" s="12"/>
    </row>
    <row r="44" spans="1:8">
      <c r="A44" s="18" t="s">
        <v>331</v>
      </c>
      <c r="B44" s="18">
        <f>C36-4266</f>
        <v>0</v>
      </c>
      <c r="C44" s="18" t="str">
        <f>IF(ABS(B44)&lt;=0.5,"OK","CHECK")</f>
        <v>OK</v>
      </c>
      <c r="D44" s="18" t="s">
        <v>332</v>
      </c>
      <c r="E44" s="12"/>
      <c r="F44" s="12"/>
      <c r="G44" s="12"/>
      <c r="H44" s="12"/>
    </row>
    <row r="45" spans="1:8">
      <c r="A45" s="10" t="s">
        <v>333</v>
      </c>
      <c r="B45" s="10">
        <f>D36-5623</f>
        <v>-4.5263403726712568</v>
      </c>
      <c r="C45" s="10" t="str">
        <f>IF(ABS(B45)&lt;=0.5,"OK","CHECK")</f>
        <v>CHECK</v>
      </c>
      <c r="D45" s="10" t="s">
        <v>334</v>
      </c>
      <c r="E45" s="12"/>
      <c r="F45" s="12"/>
      <c r="G45" s="12"/>
      <c r="H45" s="12"/>
    </row>
  </sheetData>
  <mergeCells count="7">
    <mergeCell ref="A13:H13"/>
    <mergeCell ref="A40:H40"/>
    <mergeCell ref="A1:H2"/>
    <mergeCell ref="A3:H3"/>
    <mergeCell ref="A4:H4"/>
    <mergeCell ref="A5:H5"/>
    <mergeCell ref="A11:H11"/>
  </mergeCells>
  <phoneticPr fontId="14" type="noConversion"/>
  <conditionalFormatting sqref="C42:C45">
    <cfRule type="containsText" dxfId="3" priority="1" operator="containsText" text="OK"/>
    <cfRule type="containsText" dxfId="2" priority="2" operator="containsText" text="CHECK"/>
  </conditionalFormatting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452A-20B1-4579-B1F5-D02C642D9C97}">
  <dimension ref="A1:H29"/>
  <sheetViews>
    <sheetView workbookViewId="0">
      <selection activeCell="B29" sqref="B29"/>
    </sheetView>
  </sheetViews>
  <sheetFormatPr defaultRowHeight="13.8"/>
  <cols>
    <col min="1" max="1" width="31" customWidth="1"/>
    <col min="2" max="5" width="15" customWidth="1"/>
    <col min="6" max="6" width="30" customWidth="1"/>
    <col min="7" max="7" width="13" customWidth="1"/>
    <col min="8" max="8" width="23" customWidth="1"/>
  </cols>
  <sheetData>
    <row r="1" spans="1:8">
      <c r="A1" s="123" t="s">
        <v>270</v>
      </c>
      <c r="B1" s="124" t="s">
        <v>270</v>
      </c>
      <c r="C1" s="124" t="s">
        <v>270</v>
      </c>
      <c r="D1" s="124" t="s">
        <v>270</v>
      </c>
      <c r="E1" s="124" t="s">
        <v>270</v>
      </c>
      <c r="F1" s="124" t="s">
        <v>270</v>
      </c>
      <c r="G1" s="124" t="s">
        <v>270</v>
      </c>
      <c r="H1" s="124" t="s">
        <v>270</v>
      </c>
    </row>
    <row r="2" spans="1:8">
      <c r="A2" s="124" t="s">
        <v>270</v>
      </c>
      <c r="B2" s="124" t="s">
        <v>270</v>
      </c>
      <c r="C2" s="124" t="s">
        <v>270</v>
      </c>
      <c r="D2" s="124" t="s">
        <v>270</v>
      </c>
      <c r="E2" s="124" t="s">
        <v>270</v>
      </c>
      <c r="F2" s="124" t="s">
        <v>270</v>
      </c>
      <c r="G2" s="124" t="s">
        <v>270</v>
      </c>
      <c r="H2" s="124" t="s">
        <v>270</v>
      </c>
    </row>
    <row r="3" spans="1:8">
      <c r="A3" s="125" t="s">
        <v>1</v>
      </c>
      <c r="B3" s="125"/>
      <c r="C3" s="125"/>
      <c r="D3" s="125"/>
      <c r="E3" s="125"/>
      <c r="F3" s="125"/>
      <c r="G3" s="125"/>
      <c r="H3" s="125"/>
    </row>
    <row r="4" spans="1:8">
      <c r="A4" s="126" t="s">
        <v>2</v>
      </c>
      <c r="B4" s="126"/>
      <c r="C4" s="126"/>
      <c r="D4" s="126"/>
      <c r="E4" s="126"/>
      <c r="F4" s="126"/>
      <c r="G4" s="126"/>
      <c r="H4" s="126"/>
    </row>
    <row r="5" spans="1:8">
      <c r="A5" s="12"/>
      <c r="B5" s="12"/>
      <c r="C5" s="12"/>
      <c r="D5" s="12"/>
      <c r="E5" s="12"/>
      <c r="F5" s="12"/>
      <c r="G5" s="12"/>
      <c r="H5" s="12"/>
    </row>
    <row r="6" spans="1:8">
      <c r="A6" s="136" t="s">
        <v>276</v>
      </c>
      <c r="B6" s="136"/>
      <c r="C6" s="136"/>
      <c r="D6" s="136"/>
      <c r="E6" s="136"/>
      <c r="F6" s="136"/>
      <c r="G6" s="136"/>
      <c r="H6" s="136"/>
    </row>
    <row r="7" spans="1:8">
      <c r="A7" s="12"/>
      <c r="B7" s="12"/>
      <c r="C7" s="12"/>
      <c r="D7" s="12"/>
      <c r="E7" s="12"/>
      <c r="F7" s="12"/>
      <c r="G7" s="12"/>
      <c r="H7" s="12"/>
    </row>
    <row r="8" spans="1:8">
      <c r="A8" s="128" t="s">
        <v>277</v>
      </c>
      <c r="B8" s="129" t="s">
        <v>277</v>
      </c>
      <c r="C8" s="129" t="s">
        <v>277</v>
      </c>
      <c r="D8" s="129" t="s">
        <v>277</v>
      </c>
      <c r="E8" s="129" t="s">
        <v>277</v>
      </c>
      <c r="F8" s="129" t="s">
        <v>277</v>
      </c>
      <c r="G8" s="129" t="s">
        <v>277</v>
      </c>
      <c r="H8" s="130" t="s">
        <v>277</v>
      </c>
    </row>
    <row r="9" spans="1:8">
      <c r="A9" s="13" t="s">
        <v>278</v>
      </c>
      <c r="B9" s="14" t="s">
        <v>279</v>
      </c>
      <c r="C9" s="14" t="s">
        <v>40</v>
      </c>
      <c r="D9" s="14" t="s">
        <v>41</v>
      </c>
      <c r="E9" s="14" t="s">
        <v>280</v>
      </c>
      <c r="F9" s="14"/>
      <c r="G9" s="14"/>
      <c r="H9" s="15"/>
    </row>
    <row r="10" spans="1:8">
      <c r="A10" s="57" t="s">
        <v>76</v>
      </c>
      <c r="B10" s="58">
        <v>220.2</v>
      </c>
      <c r="C10" s="59">
        <f>B10*(1+C11)</f>
        <v>314.2</v>
      </c>
      <c r="D10" s="59">
        <f>C10*(1+D11)</f>
        <v>402.17599999999999</v>
      </c>
      <c r="E10" s="59">
        <f>D10*(1+E11)</f>
        <v>482.61119999999994</v>
      </c>
      <c r="F10" s="2"/>
      <c r="G10" s="2"/>
      <c r="H10" s="2"/>
    </row>
    <row r="11" spans="1:8">
      <c r="A11" s="18" t="s">
        <v>287</v>
      </c>
      <c r="B11" s="60"/>
      <c r="C11" s="61">
        <v>0.42688465031789291</v>
      </c>
      <c r="D11" s="61">
        <v>0.28000000000000003</v>
      </c>
      <c r="E11" s="61">
        <v>0.2</v>
      </c>
      <c r="F11" s="18"/>
      <c r="G11" s="18"/>
      <c r="H11" s="18"/>
    </row>
    <row r="12" spans="1:8">
      <c r="A12" s="18" t="s">
        <v>291</v>
      </c>
      <c r="B12" s="62">
        <v>122.5</v>
      </c>
      <c r="C12" s="6">
        <f>C10*C13</f>
        <v>166.2</v>
      </c>
      <c r="D12" s="6">
        <f>D10*D13</f>
        <v>211.72942708074535</v>
      </c>
      <c r="E12" s="6">
        <f>E10*E13</f>
        <v>253.37087999999997</v>
      </c>
      <c r="F12" s="18"/>
      <c r="G12" s="18"/>
      <c r="H12" s="18"/>
    </row>
    <row r="13" spans="1:8">
      <c r="A13" s="18" t="s">
        <v>294</v>
      </c>
      <c r="B13" s="60">
        <v>0.55631244323342421</v>
      </c>
      <c r="C13" s="61">
        <v>0.52896244430299166</v>
      </c>
      <c r="D13" s="61">
        <v>0.5264596273291926</v>
      </c>
      <c r="E13" s="61">
        <v>0.52500000000000002</v>
      </c>
      <c r="F13" s="18"/>
      <c r="G13" s="18"/>
      <c r="H13" s="18"/>
    </row>
    <row r="14" spans="1:8">
      <c r="A14" s="57" t="s">
        <v>296</v>
      </c>
      <c r="B14" s="58">
        <f>B10-B12</f>
        <v>97.699999999999989</v>
      </c>
      <c r="C14" s="59">
        <f>C10-C12</f>
        <v>148</v>
      </c>
      <c r="D14" s="59">
        <f>D10-D12</f>
        <v>190.44657291925463</v>
      </c>
      <c r="E14" s="59">
        <f>E10-E12</f>
        <v>229.24031999999997</v>
      </c>
      <c r="F14" s="18"/>
      <c r="G14" s="18"/>
      <c r="H14" s="18"/>
    </row>
    <row r="15" spans="1:8">
      <c r="A15" s="18" t="s">
        <v>54</v>
      </c>
      <c r="B15" s="60">
        <f>B14/B10</f>
        <v>0.44368755676657579</v>
      </c>
      <c r="C15" s="23">
        <f>C14/C10</f>
        <v>0.47103755569700828</v>
      </c>
      <c r="D15" s="23">
        <f>D14/D10</f>
        <v>0.4735403726708074</v>
      </c>
      <c r="E15" s="23">
        <f>E14/E10</f>
        <v>0.47499999999999998</v>
      </c>
      <c r="F15" s="18"/>
      <c r="G15" s="18"/>
      <c r="H15" s="18"/>
    </row>
    <row r="16" spans="1:8">
      <c r="A16" s="18" t="s">
        <v>300</v>
      </c>
      <c r="B16" s="62">
        <v>37.700000000000003</v>
      </c>
      <c r="C16" s="6">
        <f>C10*C17</f>
        <v>47.599999999999994</v>
      </c>
      <c r="D16" s="6">
        <f>D10*D17</f>
        <v>53.756692670807446</v>
      </c>
      <c r="E16" s="6">
        <f>E10*E17</f>
        <v>62.739455999999997</v>
      </c>
      <c r="F16" s="18"/>
      <c r="G16" s="18"/>
      <c r="H16" s="18"/>
    </row>
    <row r="17" spans="1:8">
      <c r="A17" s="18" t="s">
        <v>302</v>
      </c>
      <c r="B17" s="60">
        <v>0.17120799273387832</v>
      </c>
      <c r="C17" s="61">
        <v>0.15149586250795671</v>
      </c>
      <c r="D17" s="61">
        <v>0.13366459627329191</v>
      </c>
      <c r="E17" s="61">
        <v>0.13</v>
      </c>
      <c r="F17" s="18"/>
      <c r="G17" s="18"/>
      <c r="H17" s="18"/>
    </row>
    <row r="18" spans="1:8">
      <c r="A18" s="57" t="s">
        <v>78</v>
      </c>
      <c r="B18" s="58">
        <v>60.1</v>
      </c>
      <c r="C18" s="59">
        <f>C14-C16</f>
        <v>100.4</v>
      </c>
      <c r="D18" s="59">
        <f>D14-D16</f>
        <v>136.6898802484472</v>
      </c>
      <c r="E18" s="59">
        <f>E14-E16</f>
        <v>166.50086399999998</v>
      </c>
      <c r="F18" s="18"/>
      <c r="G18" s="18"/>
      <c r="H18" s="18"/>
    </row>
    <row r="19" spans="1:8">
      <c r="A19" s="18" t="s">
        <v>57</v>
      </c>
      <c r="B19" s="60">
        <f>B18/B10</f>
        <v>0.27293369663941874</v>
      </c>
      <c r="C19" s="23">
        <f>C18/C10</f>
        <v>0.31954169318905157</v>
      </c>
      <c r="D19" s="23">
        <f>D18/D10</f>
        <v>0.33987577639751554</v>
      </c>
      <c r="E19" s="23">
        <f>E18/E10</f>
        <v>0.34499999999999997</v>
      </c>
      <c r="F19" s="18"/>
      <c r="G19" s="18"/>
      <c r="H19" s="18"/>
    </row>
    <row r="20" spans="1:8">
      <c r="A20" s="18" t="s">
        <v>306</v>
      </c>
      <c r="B20" s="62">
        <v>6.5</v>
      </c>
      <c r="C20" s="6">
        <f>C10*C21</f>
        <v>12.2</v>
      </c>
      <c r="D20" s="6">
        <f>D10*D21</f>
        <v>11.290903850931677</v>
      </c>
      <c r="E20" s="6">
        <f>E10*E21</f>
        <v>12.06528</v>
      </c>
      <c r="F20" s="18"/>
      <c r="G20" s="18"/>
      <c r="H20" s="18"/>
    </row>
    <row r="21" spans="1:8">
      <c r="A21" s="18" t="s">
        <v>308</v>
      </c>
      <c r="B21" s="60">
        <v>2.951861943687557E-2</v>
      </c>
      <c r="C21" s="61">
        <v>3.8828771483131762E-2</v>
      </c>
      <c r="D21" s="61">
        <v>2.8074534161490684E-2</v>
      </c>
      <c r="E21" s="61">
        <v>2.5000000000000001E-2</v>
      </c>
      <c r="F21" s="18"/>
      <c r="G21" s="18"/>
      <c r="H21" s="18"/>
    </row>
    <row r="22" spans="1:8">
      <c r="A22" s="57" t="s">
        <v>310</v>
      </c>
      <c r="B22" s="58">
        <v>66.599999999999994</v>
      </c>
      <c r="C22" s="59">
        <f>C18+C20</f>
        <v>112.60000000000001</v>
      </c>
      <c r="D22" s="59">
        <f>D18+D20</f>
        <v>147.98078409937887</v>
      </c>
      <c r="E22" s="59">
        <f>E18+E20</f>
        <v>178.56614399999998</v>
      </c>
      <c r="F22" s="18"/>
      <c r="G22" s="18"/>
      <c r="H22" s="18"/>
    </row>
    <row r="23" spans="1:8">
      <c r="A23" s="57" t="s">
        <v>312</v>
      </c>
      <c r="B23" s="58">
        <v>56.1</v>
      </c>
      <c r="C23" s="59">
        <f>C22*(1-C24)</f>
        <v>87.300000000000011</v>
      </c>
      <c r="D23" s="59">
        <f>D22*(1-D24)</f>
        <v>115.00734807453415</v>
      </c>
      <c r="E23" s="59">
        <f>E22*(1-E24)</f>
        <v>139.28159231999999</v>
      </c>
      <c r="F23" s="18"/>
      <c r="G23" s="18"/>
      <c r="H23" s="18"/>
    </row>
    <row r="24" spans="1:8">
      <c r="A24" s="18" t="s">
        <v>315</v>
      </c>
      <c r="B24" s="60">
        <v>0.1576576576576576</v>
      </c>
      <c r="C24" s="61">
        <v>0.22468916518650084</v>
      </c>
      <c r="D24" s="61">
        <v>0.2228224172856178</v>
      </c>
      <c r="E24" s="61">
        <v>0.22</v>
      </c>
      <c r="F24" s="18"/>
      <c r="G24" s="18"/>
      <c r="H24" s="18"/>
    </row>
    <row r="25" spans="1:8">
      <c r="A25" s="18" t="s">
        <v>317</v>
      </c>
      <c r="B25" s="62">
        <v>20.452059788552681</v>
      </c>
      <c r="C25" s="63">
        <v>20.464135021097047</v>
      </c>
      <c r="D25" s="63">
        <v>20.469500266761514</v>
      </c>
      <c r="E25" s="63">
        <v>20.469500266761514</v>
      </c>
      <c r="F25" s="18"/>
      <c r="G25" s="18"/>
      <c r="H25" s="18"/>
    </row>
    <row r="26" spans="1:8">
      <c r="A26" s="100" t="s">
        <v>319</v>
      </c>
      <c r="B26" s="101">
        <v>2743</v>
      </c>
      <c r="C26" s="102">
        <f>C23*1000/C25</f>
        <v>4266.0000000000009</v>
      </c>
      <c r="D26" s="102">
        <f>D23*1000/D25</f>
        <v>5618.4736596273287</v>
      </c>
      <c r="E26" s="102">
        <f>E23*1000/E25</f>
        <v>6804.3474684218945</v>
      </c>
      <c r="F26" s="18"/>
      <c r="G26" s="18"/>
      <c r="H26" s="18"/>
    </row>
    <row r="27" spans="1:8">
      <c r="A27" s="103" t="s">
        <v>322</v>
      </c>
      <c r="B27" s="104"/>
      <c r="C27" s="105">
        <f>C26/B26-1</f>
        <v>0.55523149835946084</v>
      </c>
      <c r="D27" s="105">
        <f>D26/C26-1</f>
        <v>0.31703555077996426</v>
      </c>
      <c r="E27" s="105">
        <f>E26/D26-1</f>
        <v>0.21106689834926162</v>
      </c>
      <c r="F27" s="10"/>
      <c r="G27" s="10"/>
      <c r="H27" s="10"/>
    </row>
    <row r="28" spans="1:8">
      <c r="A28" s="12"/>
      <c r="B28" s="12"/>
      <c r="C28" s="12"/>
      <c r="D28" s="12"/>
      <c r="E28" s="12"/>
      <c r="F28" s="12"/>
      <c r="G28" s="12"/>
      <c r="H28" s="12"/>
    </row>
    <row r="29" spans="1:8">
      <c r="A29" s="12"/>
      <c r="B29" s="12"/>
      <c r="C29" s="12"/>
      <c r="D29" s="12"/>
      <c r="E29" s="12"/>
      <c r="F29" s="12"/>
      <c r="G29" s="12"/>
      <c r="H29" s="12"/>
    </row>
  </sheetData>
  <mergeCells count="5">
    <mergeCell ref="A1:H2"/>
    <mergeCell ref="A3:H3"/>
    <mergeCell ref="A4:H4"/>
    <mergeCell ref="A6:H6"/>
    <mergeCell ref="A8:H8"/>
  </mergeCells>
  <phoneticPr fontId="14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0"/>
  <sheetViews>
    <sheetView showGridLines="0" topLeftCell="A4" workbookViewId="0">
      <selection activeCell="D9" sqref="D9:I9"/>
    </sheetView>
  </sheetViews>
  <sheetFormatPr defaultRowHeight="13.8"/>
  <cols>
    <col min="1" max="1" width="25" customWidth="1"/>
    <col min="2" max="2" width="20" customWidth="1"/>
    <col min="3" max="3" width="29" customWidth="1"/>
    <col min="4" max="7" width="16" customWidth="1"/>
    <col min="8" max="9" width="25" customWidth="1"/>
  </cols>
  <sheetData>
    <row r="1" spans="1:9">
      <c r="A1" s="123" t="s">
        <v>335</v>
      </c>
      <c r="B1" s="124" t="s">
        <v>335</v>
      </c>
      <c r="C1" s="124" t="s">
        <v>335</v>
      </c>
      <c r="D1" s="124" t="s">
        <v>335</v>
      </c>
      <c r="E1" s="124" t="s">
        <v>335</v>
      </c>
      <c r="F1" s="124" t="s">
        <v>335</v>
      </c>
      <c r="G1" s="124" t="s">
        <v>335</v>
      </c>
      <c r="H1" s="124" t="s">
        <v>335</v>
      </c>
      <c r="I1" s="124" t="s">
        <v>335</v>
      </c>
    </row>
    <row r="2" spans="1:9">
      <c r="A2" s="124" t="s">
        <v>335</v>
      </c>
      <c r="B2" s="124" t="s">
        <v>335</v>
      </c>
      <c r="C2" s="124" t="s">
        <v>335</v>
      </c>
      <c r="D2" s="124" t="s">
        <v>335</v>
      </c>
      <c r="E2" s="124" t="s">
        <v>335</v>
      </c>
      <c r="F2" s="124" t="s">
        <v>335</v>
      </c>
      <c r="G2" s="124" t="s">
        <v>335</v>
      </c>
      <c r="H2" s="124" t="s">
        <v>335</v>
      </c>
      <c r="I2" s="124" t="s">
        <v>335</v>
      </c>
    </row>
    <row r="3" spans="1:9">
      <c r="A3" s="125" t="s">
        <v>1</v>
      </c>
      <c r="B3" s="125"/>
      <c r="C3" s="125"/>
      <c r="D3" s="125"/>
      <c r="E3" s="125"/>
      <c r="F3" s="125"/>
      <c r="G3" s="125"/>
      <c r="H3" s="125"/>
      <c r="I3" s="125"/>
    </row>
    <row r="4" spans="1:9">
      <c r="A4" s="126" t="s">
        <v>2</v>
      </c>
      <c r="B4" s="126"/>
      <c r="C4" s="126"/>
      <c r="D4" s="126"/>
      <c r="E4" s="126"/>
      <c r="F4" s="126"/>
      <c r="G4" s="126"/>
      <c r="H4" s="126"/>
      <c r="I4" s="126"/>
    </row>
    <row r="5" spans="1:9">
      <c r="A5" s="128" t="s">
        <v>336</v>
      </c>
      <c r="B5" s="129" t="s">
        <v>336</v>
      </c>
      <c r="C5" s="129" t="s">
        <v>336</v>
      </c>
      <c r="D5" s="129" t="s">
        <v>336</v>
      </c>
      <c r="E5" s="129" t="s">
        <v>336</v>
      </c>
      <c r="F5" s="129" t="s">
        <v>336</v>
      </c>
      <c r="G5" s="129" t="s">
        <v>336</v>
      </c>
      <c r="H5" s="129" t="s">
        <v>336</v>
      </c>
      <c r="I5" s="130" t="s">
        <v>336</v>
      </c>
    </row>
    <row r="6" spans="1:9">
      <c r="A6" s="1" t="s">
        <v>337</v>
      </c>
      <c r="B6" s="65" t="s">
        <v>338</v>
      </c>
      <c r="C6" s="12"/>
      <c r="D6" s="131" t="s">
        <v>339</v>
      </c>
      <c r="E6" s="131"/>
      <c r="F6" s="131"/>
      <c r="G6" s="131"/>
      <c r="H6" s="131"/>
      <c r="I6" s="131"/>
    </row>
    <row r="7" spans="1:9">
      <c r="A7" s="4" t="s">
        <v>340</v>
      </c>
      <c r="B7" s="5">
        <f>'08_Forward_EPS'!D36</f>
        <v>5618.4736596273287</v>
      </c>
      <c r="C7" s="12"/>
      <c r="D7" s="131" t="s">
        <v>341</v>
      </c>
      <c r="E7" s="131"/>
      <c r="F7" s="131"/>
      <c r="G7" s="131"/>
      <c r="H7" s="131"/>
      <c r="I7" s="131"/>
    </row>
    <row r="8" spans="1:9">
      <c r="A8" s="4" t="s">
        <v>342</v>
      </c>
      <c r="B8" s="66" t="s">
        <v>343</v>
      </c>
      <c r="C8" s="12"/>
      <c r="D8" s="131" t="s">
        <v>344</v>
      </c>
      <c r="E8" s="131"/>
      <c r="F8" s="131"/>
      <c r="G8" s="131"/>
      <c r="H8" s="131"/>
      <c r="I8" s="131"/>
    </row>
    <row r="9" spans="1:9">
      <c r="A9" s="4" t="s">
        <v>345</v>
      </c>
      <c r="B9" s="99">
        <f>INDEX(D22:D26,MATCH(B8,A22:A26,0))</f>
        <v>88.920505067999997</v>
      </c>
      <c r="C9" s="12"/>
      <c r="D9" s="131" t="s">
        <v>346</v>
      </c>
      <c r="E9" s="131"/>
      <c r="F9" s="131"/>
      <c r="G9" s="131"/>
      <c r="H9" s="131"/>
      <c r="I9" s="131"/>
    </row>
    <row r="10" spans="1:9">
      <c r="A10" s="4" t="s">
        <v>347</v>
      </c>
      <c r="B10" s="61">
        <v>-0.4</v>
      </c>
      <c r="C10" s="12"/>
      <c r="D10" s="12"/>
      <c r="E10" s="12"/>
      <c r="F10" s="12"/>
      <c r="G10" s="12"/>
      <c r="H10" s="12"/>
      <c r="I10" s="12"/>
    </row>
    <row r="11" spans="1:9">
      <c r="A11" s="4" t="s">
        <v>348</v>
      </c>
      <c r="B11" s="28">
        <f>AVERAGE(G22:G26)</f>
        <v>26.439999999999998</v>
      </c>
      <c r="C11" s="12"/>
      <c r="D11" s="12"/>
      <c r="E11" s="12"/>
      <c r="F11" s="12"/>
      <c r="G11" s="12"/>
      <c r="H11" s="12"/>
      <c r="I11" s="12"/>
    </row>
    <row r="12" spans="1:9">
      <c r="A12" s="4" t="s">
        <v>349</v>
      </c>
      <c r="B12" s="28">
        <f>MEDIAN(G22:G26)</f>
        <v>25.384999999999998</v>
      </c>
      <c r="C12" s="12"/>
      <c r="D12" s="12"/>
      <c r="E12" s="12"/>
      <c r="F12" s="12"/>
      <c r="G12" s="12"/>
      <c r="H12" s="12"/>
      <c r="I12" s="12"/>
    </row>
    <row r="13" spans="1:9">
      <c r="A13" s="4" t="s">
        <v>350</v>
      </c>
      <c r="B13" s="67">
        <v>53.352303040999999</v>
      </c>
      <c r="C13" s="12"/>
      <c r="D13" s="12"/>
      <c r="E13" s="12"/>
      <c r="F13" s="12"/>
      <c r="G13" s="12"/>
      <c r="H13" s="12"/>
      <c r="I13" s="12"/>
    </row>
    <row r="14" spans="1:9">
      <c r="A14" s="4" t="s">
        <v>351</v>
      </c>
      <c r="B14" s="68">
        <f>IF(B6="특정 피어 조정",B9*(1+B10),IF(B6="피어 평균",B11,IF(B6="피어 중앙값",B12,B13)))</f>
        <v>53.352303040799995</v>
      </c>
      <c r="C14" s="12"/>
      <c r="D14" s="12"/>
      <c r="E14" s="12"/>
      <c r="F14" s="12"/>
      <c r="G14" s="12"/>
      <c r="H14" s="12"/>
      <c r="I14" s="12"/>
    </row>
    <row r="15" spans="1:9">
      <c r="A15" s="4" t="s">
        <v>7</v>
      </c>
      <c r="B15" s="69">
        <f>ROUND(B7*B14,-3)</f>
        <v>300000</v>
      </c>
      <c r="C15" s="12"/>
      <c r="D15" s="12"/>
      <c r="E15" s="12"/>
      <c r="F15" s="12"/>
      <c r="G15" s="12"/>
      <c r="H15" s="12"/>
      <c r="I15" s="12"/>
    </row>
    <row r="16" spans="1:9">
      <c r="A16" s="4" t="s">
        <v>9</v>
      </c>
      <c r="B16" s="70">
        <v>240500</v>
      </c>
      <c r="C16" s="12"/>
      <c r="D16" s="12"/>
      <c r="E16" s="12"/>
      <c r="F16" s="12"/>
      <c r="G16" s="12"/>
      <c r="H16" s="12"/>
      <c r="I16" s="12"/>
    </row>
    <row r="17" spans="1:9">
      <c r="A17" s="9" t="s">
        <v>11</v>
      </c>
      <c r="B17" s="71">
        <f>B15/B16-1</f>
        <v>0.24740124740124747</v>
      </c>
      <c r="C17" s="12"/>
      <c r="D17" s="12"/>
      <c r="E17" s="12"/>
      <c r="F17" s="12"/>
      <c r="G17" s="12"/>
      <c r="H17" s="12"/>
      <c r="I17" s="12"/>
    </row>
    <row r="18" spans="1:9">
      <c r="A18" s="12"/>
      <c r="B18" s="12"/>
      <c r="C18" s="12"/>
      <c r="D18" s="12"/>
      <c r="E18" s="12"/>
      <c r="F18" s="12"/>
      <c r="G18" s="12"/>
      <c r="H18" s="12"/>
      <c r="I18" s="12"/>
    </row>
    <row r="19" spans="1:9">
      <c r="A19" s="12"/>
      <c r="B19" s="12"/>
      <c r="C19" s="12"/>
      <c r="D19" s="12"/>
      <c r="E19" s="12"/>
      <c r="F19" s="12"/>
      <c r="G19" s="12"/>
      <c r="H19" s="12"/>
      <c r="I19" s="12"/>
    </row>
    <row r="20" spans="1:9">
      <c r="A20" s="128" t="s">
        <v>352</v>
      </c>
      <c r="B20" s="129" t="s">
        <v>352</v>
      </c>
      <c r="C20" s="129" t="s">
        <v>352</v>
      </c>
      <c r="D20" s="129" t="s">
        <v>352</v>
      </c>
      <c r="E20" s="129" t="s">
        <v>352</v>
      </c>
      <c r="F20" s="129" t="s">
        <v>352</v>
      </c>
      <c r="G20" s="129" t="s">
        <v>352</v>
      </c>
      <c r="H20" s="129" t="s">
        <v>352</v>
      </c>
      <c r="I20" s="130" t="s">
        <v>352</v>
      </c>
    </row>
    <row r="21" spans="1:9">
      <c r="A21" s="13" t="s">
        <v>107</v>
      </c>
      <c r="B21" s="14" t="s">
        <v>108</v>
      </c>
      <c r="C21" s="14" t="s">
        <v>109</v>
      </c>
      <c r="D21" s="14" t="s">
        <v>353</v>
      </c>
      <c r="E21" s="14" t="s">
        <v>114</v>
      </c>
      <c r="F21" s="14" t="s">
        <v>354</v>
      </c>
      <c r="G21" s="14" t="s">
        <v>134</v>
      </c>
      <c r="H21" s="14" t="s">
        <v>133</v>
      </c>
      <c r="I21" s="15" t="s">
        <v>84</v>
      </c>
    </row>
    <row r="22" spans="1:9">
      <c r="A22" s="2" t="s">
        <v>343</v>
      </c>
      <c r="B22" s="2" t="s">
        <v>355</v>
      </c>
      <c r="C22" s="2" t="s">
        <v>356</v>
      </c>
      <c r="D22" s="84">
        <v>88.920505067999997</v>
      </c>
      <c r="E22" s="90" t="s">
        <v>357</v>
      </c>
      <c r="F22" s="97">
        <v>-0.4</v>
      </c>
      <c r="G22" s="34" t="str">
        <f>IF(E22="Y",D22*(1+F22),"")</f>
        <v/>
      </c>
      <c r="H22" s="2" t="s">
        <v>358</v>
      </c>
      <c r="I22" s="2" t="s">
        <v>359</v>
      </c>
    </row>
    <row r="23" spans="1:9">
      <c r="A23" s="18" t="s">
        <v>116</v>
      </c>
      <c r="B23" s="18" t="s">
        <v>117</v>
      </c>
      <c r="C23" s="18" t="s">
        <v>118</v>
      </c>
      <c r="D23" s="67">
        <v>28.3</v>
      </c>
      <c r="E23" s="66" t="s">
        <v>119</v>
      </c>
      <c r="F23" s="61">
        <v>0</v>
      </c>
      <c r="G23" s="28">
        <f>IF(E23="Y",D23*(1+F23),"")</f>
        <v>28.3</v>
      </c>
      <c r="H23" s="18" t="s">
        <v>135</v>
      </c>
      <c r="I23" s="18" t="s">
        <v>360</v>
      </c>
    </row>
    <row r="24" spans="1:9">
      <c r="A24" s="18" t="s">
        <v>121</v>
      </c>
      <c r="B24" s="18" t="s">
        <v>117</v>
      </c>
      <c r="C24" s="18" t="s">
        <v>122</v>
      </c>
      <c r="D24" s="67">
        <v>22.47</v>
      </c>
      <c r="E24" s="66" t="s">
        <v>119</v>
      </c>
      <c r="F24" s="61">
        <v>0</v>
      </c>
      <c r="G24" s="28">
        <f>IF(E24="Y",D24*(1+F24),"")</f>
        <v>22.47</v>
      </c>
      <c r="H24" s="18" t="s">
        <v>135</v>
      </c>
      <c r="I24" s="18" t="s">
        <v>360</v>
      </c>
    </row>
    <row r="25" spans="1:9">
      <c r="A25" s="18" t="s">
        <v>124</v>
      </c>
      <c r="B25" s="18" t="s">
        <v>117</v>
      </c>
      <c r="C25" s="18" t="s">
        <v>125</v>
      </c>
      <c r="D25" s="67">
        <v>15.68</v>
      </c>
      <c r="E25" s="66" t="s">
        <v>119</v>
      </c>
      <c r="F25" s="61">
        <v>0</v>
      </c>
      <c r="G25" s="28">
        <f>IF(E25="Y",D25*(1+F25),"")</f>
        <v>15.68</v>
      </c>
      <c r="H25" s="18" t="s">
        <v>135</v>
      </c>
      <c r="I25" s="18" t="s">
        <v>360</v>
      </c>
    </row>
    <row r="26" spans="1:9">
      <c r="A26" s="10" t="s">
        <v>127</v>
      </c>
      <c r="B26" s="10" t="s">
        <v>117</v>
      </c>
      <c r="C26" s="10" t="s">
        <v>128</v>
      </c>
      <c r="D26" s="86">
        <v>39.31</v>
      </c>
      <c r="E26" s="91" t="s">
        <v>119</v>
      </c>
      <c r="F26" s="98">
        <v>0</v>
      </c>
      <c r="G26" s="35">
        <f>IF(E26="Y",D26*(1+F26),"")</f>
        <v>39.31</v>
      </c>
      <c r="H26" s="10" t="s">
        <v>135</v>
      </c>
      <c r="I26" s="10" t="s">
        <v>360</v>
      </c>
    </row>
    <row r="27" spans="1:9">
      <c r="A27" s="12"/>
      <c r="B27" s="12"/>
      <c r="C27" s="12"/>
      <c r="D27" s="12"/>
      <c r="E27" s="12"/>
      <c r="F27" s="12"/>
      <c r="G27" s="12"/>
      <c r="H27" s="12"/>
      <c r="I27" s="12"/>
    </row>
    <row r="28" spans="1:9">
      <c r="A28" s="12"/>
      <c r="B28" s="12"/>
      <c r="C28" s="12"/>
      <c r="D28" s="12"/>
      <c r="E28" s="12"/>
      <c r="F28" s="12"/>
      <c r="G28" s="12"/>
      <c r="H28" s="12"/>
      <c r="I28" s="12"/>
    </row>
    <row r="29" spans="1:9">
      <c r="A29" s="128" t="s">
        <v>361</v>
      </c>
      <c r="B29" s="129" t="s">
        <v>361</v>
      </c>
      <c r="C29" s="129" t="s">
        <v>361</v>
      </c>
      <c r="D29" s="129" t="s">
        <v>361</v>
      </c>
      <c r="E29" s="129" t="s">
        <v>361</v>
      </c>
      <c r="F29" s="129" t="s">
        <v>361</v>
      </c>
      <c r="G29" s="129" t="s">
        <v>361</v>
      </c>
      <c r="H29" s="129" t="s">
        <v>361</v>
      </c>
      <c r="I29" s="130" t="s">
        <v>361</v>
      </c>
    </row>
    <row r="30" spans="1:9">
      <c r="A30" s="131" t="s">
        <v>362</v>
      </c>
      <c r="B30" s="131"/>
      <c r="C30" s="131"/>
      <c r="D30" s="131"/>
      <c r="E30" s="131"/>
      <c r="F30" s="131"/>
      <c r="G30" s="131"/>
      <c r="H30" s="131"/>
      <c r="I30" s="131"/>
    </row>
    <row r="31" spans="1:9">
      <c r="A31" s="131" t="s">
        <v>363</v>
      </c>
      <c r="B31" s="131"/>
      <c r="C31" s="131"/>
      <c r="D31" s="131"/>
      <c r="E31" s="131"/>
      <c r="F31" s="131"/>
      <c r="G31" s="131"/>
      <c r="H31" s="131"/>
      <c r="I31" s="131"/>
    </row>
    <row r="32" spans="1:9">
      <c r="A32" s="131" t="s">
        <v>364</v>
      </c>
      <c r="B32" s="131"/>
      <c r="C32" s="131"/>
      <c r="D32" s="131"/>
      <c r="E32" s="131"/>
      <c r="F32" s="131"/>
      <c r="G32" s="131"/>
      <c r="H32" s="131"/>
      <c r="I32" s="131"/>
    </row>
    <row r="33" spans="1:9">
      <c r="A33" s="131" t="s">
        <v>365</v>
      </c>
      <c r="B33" s="131"/>
      <c r="C33" s="131"/>
      <c r="D33" s="131"/>
      <c r="E33" s="131"/>
      <c r="F33" s="131"/>
      <c r="G33" s="131"/>
      <c r="H33" s="131"/>
      <c r="I33" s="131"/>
    </row>
    <row r="34" spans="1:9">
      <c r="A34" s="12"/>
      <c r="B34" s="12"/>
      <c r="C34" s="12"/>
      <c r="D34" s="12"/>
      <c r="E34" s="12"/>
      <c r="F34" s="12"/>
      <c r="G34" s="12"/>
      <c r="H34" s="12"/>
      <c r="I34" s="12"/>
    </row>
    <row r="35" spans="1:9">
      <c r="A35" s="12"/>
      <c r="B35" s="12"/>
      <c r="C35" s="12"/>
      <c r="D35" s="12"/>
      <c r="E35" s="12"/>
      <c r="F35" s="12"/>
      <c r="G35" s="12"/>
      <c r="H35" s="12"/>
      <c r="I35" s="12"/>
    </row>
    <row r="36" spans="1:9">
      <c r="A36" s="128" t="s">
        <v>366</v>
      </c>
      <c r="B36" s="129" t="s">
        <v>366</v>
      </c>
      <c r="C36" s="129" t="s">
        <v>366</v>
      </c>
      <c r="D36" s="129" t="s">
        <v>366</v>
      </c>
      <c r="E36" s="129" t="s">
        <v>366</v>
      </c>
      <c r="F36" s="129" t="s">
        <v>366</v>
      </c>
      <c r="G36" s="129" t="s">
        <v>366</v>
      </c>
      <c r="H36" s="129" t="s">
        <v>366</v>
      </c>
      <c r="I36" s="130" t="s">
        <v>366</v>
      </c>
    </row>
    <row r="37" spans="1:9">
      <c r="A37" s="13" t="s">
        <v>248</v>
      </c>
      <c r="B37" s="14" t="s">
        <v>249</v>
      </c>
      <c r="C37" s="14" t="s">
        <v>250</v>
      </c>
      <c r="D37" s="14" t="s">
        <v>251</v>
      </c>
      <c r="E37" s="14" t="s">
        <v>253</v>
      </c>
      <c r="F37" s="15" t="s">
        <v>326</v>
      </c>
      <c r="G37" s="12"/>
      <c r="H37" s="12"/>
      <c r="I37" s="12"/>
    </row>
    <row r="38" spans="1:9">
      <c r="A38" s="2" t="s">
        <v>367</v>
      </c>
      <c r="B38" s="3">
        <f>B7</f>
        <v>5618.4736596273287</v>
      </c>
      <c r="C38" s="3">
        <v>5623</v>
      </c>
      <c r="D38" s="3">
        <f>B38-C38</f>
        <v>-4.5263403726712568</v>
      </c>
      <c r="E38" s="2" t="str">
        <f>IF(ABS(D38)&lt;=0.5,"OK","CHECK")</f>
        <v>CHECK</v>
      </c>
      <c r="F38" s="2" t="s">
        <v>368</v>
      </c>
      <c r="G38" s="12"/>
      <c r="H38" s="12"/>
      <c r="I38" s="12"/>
    </row>
    <row r="39" spans="1:9">
      <c r="A39" s="18" t="s">
        <v>369</v>
      </c>
      <c r="B39" s="6">
        <f>B14</f>
        <v>53.352303040799995</v>
      </c>
      <c r="C39" s="6">
        <v>53.352303040999999</v>
      </c>
      <c r="D39" s="6">
        <f>B39-C39</f>
        <v>-2.00003569261753E-10</v>
      </c>
      <c r="E39" s="18" t="str">
        <f>IF(ABS(D39)&lt;=0.001,"OK","CHECK")</f>
        <v>OK</v>
      </c>
      <c r="F39" s="18" t="s">
        <v>370</v>
      </c>
      <c r="G39" s="12"/>
      <c r="H39" s="12"/>
      <c r="I39" s="12"/>
    </row>
    <row r="40" spans="1:9">
      <c r="A40" s="10" t="s">
        <v>77</v>
      </c>
      <c r="B40" s="56">
        <f>B15</f>
        <v>300000</v>
      </c>
      <c r="C40" s="56">
        <v>300000</v>
      </c>
      <c r="D40" s="56">
        <f>B40-C40</f>
        <v>0</v>
      </c>
      <c r="E40" s="10" t="str">
        <f>IF(ABS(D40)&lt;=1,"OK","CHECK")</f>
        <v>OK</v>
      </c>
      <c r="F40" s="10" t="s">
        <v>94</v>
      </c>
      <c r="G40" s="12"/>
      <c r="H40" s="12"/>
      <c r="I40" s="12"/>
    </row>
  </sheetData>
  <mergeCells count="15">
    <mergeCell ref="A30:I30"/>
    <mergeCell ref="A31:I31"/>
    <mergeCell ref="A32:I32"/>
    <mergeCell ref="A33:I33"/>
    <mergeCell ref="A36:I36"/>
    <mergeCell ref="D7:I7"/>
    <mergeCell ref="D8:I8"/>
    <mergeCell ref="D9:I9"/>
    <mergeCell ref="A20:I20"/>
    <mergeCell ref="A29:I29"/>
    <mergeCell ref="A1:I2"/>
    <mergeCell ref="A3:I3"/>
    <mergeCell ref="A4:I4"/>
    <mergeCell ref="A5:I5"/>
    <mergeCell ref="D6:I6"/>
  </mergeCells>
  <phoneticPr fontId="14" type="noConversion"/>
  <conditionalFormatting sqref="E38:E40">
    <cfRule type="containsText" dxfId="1" priority="1" operator="containsText" text="OK"/>
    <cfRule type="containsText" dxfId="0" priority="2" operator="containsText" text="CHECK"/>
  </conditionalFormatting>
  <dataValidations count="3">
    <dataValidation type="list" sqref="B6" xr:uid="{00000000-0002-0000-0900-000000000000}">
      <formula1>"특정 피어 조정,피어 평균,피어 중앙값,직접 입력"</formula1>
    </dataValidation>
    <dataValidation type="list" sqref="B8" xr:uid="{00000000-0002-0000-0900-000001000000}">
      <formula1>"WinWay,리노공업,티에스이,테크윙,두산테스나"</formula1>
    </dataValidation>
    <dataValidation type="list" sqref="E22:E26" xr:uid="{00000000-0002-0000-0900-000002000000}">
      <formula1>"Y,N"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Forward EPS</vt:lpstr>
      <vt:lpstr>Target PER</vt:lpstr>
      <vt:lpstr>00_요약</vt:lpstr>
      <vt:lpstr>01_실적추이</vt:lpstr>
      <vt:lpstr>02_추정변경</vt:lpstr>
      <vt:lpstr>03_목표주가</vt:lpstr>
      <vt:lpstr>04_피어실적</vt:lpstr>
      <vt:lpstr>06_재무요약</vt:lpstr>
      <vt:lpstr>05_피어밸류</vt:lpstr>
      <vt:lpstr>07_출처검증</vt:lpstr>
      <vt:lpstr>08_Forward_EPS</vt:lpstr>
      <vt:lpstr>08-01</vt:lpstr>
      <vt:lpstr>09_Target_PER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KDA 24</cp:lastModifiedBy>
  <dcterms:modified xsi:type="dcterms:W3CDTF">2026-07-21T01:49:38Z</dcterms:modified>
</cp:coreProperties>
</file>