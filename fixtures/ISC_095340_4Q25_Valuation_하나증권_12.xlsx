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17.xml.rels" ContentType="application/vnd.openxmlformats-package.relationships+xml"/>
  <Override PartName="/xl/worksheets/_rels/sheet29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ward EPS" sheetId="1" state="visible" r:id="rId3"/>
    <sheet name="Target PER" sheetId="2" state="visible" r:id="rId4"/>
    <sheet name="00_사용안내" sheetId="3" state="visible" r:id="rId5"/>
    <sheet name="M1_실적추정_모델" sheetId="4" state="visible" r:id="rId6"/>
    <sheet name="M2_목표주가_타겟멀티플" sheetId="5" state="visible" r:id="rId7"/>
    <sheet name="M3_민감도분석" sheetId="6" state="visible" r:id="rId8"/>
    <sheet name="01_p1_투자의견_KeyData" sheetId="7" state="visible" r:id="rId9"/>
    <sheet name="02_p1_Consensus" sheetId="8" state="visible" r:id="rId10"/>
    <sheet name="03_p1_주가추이" sheetId="9" state="visible" r:id="rId11"/>
    <sheet name="04_p1_FinancialData" sheetId="10" state="visible" r:id="rId12"/>
    <sheet name="05_도표1_Valuation" sheetId="11" state="visible" r:id="rId13"/>
    <sheet name="06_도표2_PER_Band" sheetId="12" state="visible" r:id="rId14"/>
    <sheet name="07_도표3_PBR_Band" sheetId="13" state="visible" r:id="rId15"/>
    <sheet name="08_도표4_분기실적_수정후" sheetId="14" state="visible" r:id="rId16"/>
    <sheet name="09_도표5_분기실적_수정전" sheetId="15" state="visible" r:id="rId17"/>
    <sheet name="10_도표6_사업개요_시너지" sheetId="16" state="visible" r:id="rId18"/>
    <sheet name="11_도표7_영업이익_시가총액" sheetId="17" state="visible" r:id="rId19"/>
    <sheet name="12_도표8_어플리케이션별_매출" sheetId="18" state="visible" r:id="rId20"/>
    <sheet name="13_도표9_연간실적추이" sheetId="19" state="visible" r:id="rId21"/>
    <sheet name="14_도표10_소켓_비소켓" sheetId="20" state="visible" r:id="rId22"/>
    <sheet name="15_p5_손익계산서" sheetId="21" state="visible" r:id="rId23"/>
    <sheet name="16_p5_대차대조표" sheetId="22" state="visible" r:id="rId24"/>
    <sheet name="17_p5_투자지표" sheetId="23" state="visible" r:id="rId25"/>
    <sheet name="18_p5_현금흐름표" sheetId="24" state="visible" r:id="rId26"/>
    <sheet name="19_p6_투자의견변동_괴리율" sheetId="25" state="visible" r:id="rId27"/>
    <sheet name="20_p6_투자등급_비율공시" sheetId="26" state="visible" r:id="rId28"/>
    <sheet name="D1_컨센서스_괴리율" sheetId="27" state="visible" r:id="rId29"/>
    <sheet name="D2_추정치_변경폭" sheetId="28" state="visible" r:id="rId30"/>
    <sheet name="D3_매출분해_대체분류" sheetId="29" state="visible" r:id="rId31"/>
    <sheet name="Z_출처_공시_리서치" sheetId="30" state="visible" r:id="rId3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도표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기준 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Noto Sans CJK SC"/>
            <family val="2"/>
          </rPr>
          <t xml:space="preserve">년 예상 </t>
        </r>
        <r>
          <rPr>
            <sz val="10"/>
            <rFont val="Arial"/>
            <family val="2"/>
          </rPr>
          <t xml:space="preserve">EPS 4,025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추정재무제표</t>
        </r>
        <r>
          <rPr>
            <sz val="10"/>
            <rFont val="Arial"/>
            <family val="2"/>
          </rPr>
          <t xml:space="preserve">(15_p5_</t>
        </r>
        <r>
          <rPr>
            <sz val="10"/>
            <rFont val="Noto Sans CJK SC"/>
            <family val="2"/>
          </rPr>
          <t xml:space="preserve">손익계산서 기준</t>
        </r>
        <r>
          <rPr>
            <sz val="10"/>
            <rFont val="Arial"/>
            <family val="2"/>
          </rPr>
          <t xml:space="preserve">) 2026F EPS 3,850</t>
        </r>
        <r>
          <rPr>
            <sz val="10"/>
            <rFont val="Noto Sans CJK SC"/>
            <family val="2"/>
          </rPr>
          <t xml:space="preserve">원과는 다르며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본 시트 ③ 블록에서 두 값을 비교했습니다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<sst xmlns="http://schemas.openxmlformats.org/spreadsheetml/2006/main" count="2031" uniqueCount="1156">
  <si>
    <r>
      <rPr>
        <b val="true"/>
        <sz val="16"/>
        <color rgb="FFFFFFFF"/>
        <rFont val="Noto Sans CJK SC"/>
        <family val="2"/>
      </rPr>
      <t xml:space="preserve">표 </t>
    </r>
    <r>
      <rPr>
        <b val="true"/>
        <sz val="16"/>
        <color rgb="FFFFFFFF"/>
        <rFont val="맑은 고딕"/>
        <family val="0"/>
        <charset val="1"/>
      </rPr>
      <t xml:space="preserve">1. ISC </t>
    </r>
    <r>
      <rPr>
        <b val="true"/>
        <sz val="16"/>
        <color rgb="FFFFFFFF"/>
        <rFont val="Noto Sans CJK SC"/>
        <family val="2"/>
      </rPr>
      <t xml:space="preserve">실적 추이 및 전망</t>
    </r>
  </si>
  <si>
    <r>
      <rPr>
        <sz val="9"/>
        <color rgb="FF595959"/>
        <rFont val="맑은 고딕"/>
        <family val="0"/>
        <charset val="1"/>
      </rPr>
      <t xml:space="preserve">ISC (095340) | </t>
    </r>
    <r>
      <rPr>
        <sz val="9"/>
        <color rgb="FF595959"/>
        <rFont val="Noto Sans CJK SC"/>
        <family val="2"/>
      </rPr>
      <t xml:space="preserve">리서치 기준일 </t>
    </r>
    <r>
      <rPr>
        <sz val="9"/>
        <color rgb="FF595959"/>
        <rFont val="맑은 고딕"/>
        <family val="0"/>
        <charset val="1"/>
      </rPr>
      <t xml:space="preserve">2026-02-04 | </t>
    </r>
    <r>
      <rPr>
        <sz val="9"/>
        <color rgb="FF595959"/>
        <rFont val="Noto Sans CJK SC"/>
        <family val="2"/>
      </rPr>
      <t xml:space="preserve">단위는 각 표에 표시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하나증권 </t>
    </r>
    <r>
      <rPr>
        <sz val="9"/>
        <color rgb="FF595959"/>
        <rFont val="맑은 고딕"/>
        <family val="0"/>
        <charset val="1"/>
      </rPr>
      <t xml:space="preserve">4Q25 Earnings Review </t>
    </r>
    <r>
      <rPr>
        <sz val="9"/>
        <color rgb="FF595959"/>
        <rFont val="Noto Sans CJK SC"/>
        <family val="2"/>
      </rPr>
      <t xml:space="preserve">기준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삼성증권</t>
    </r>
    <r>
      <rPr>
        <sz val="9"/>
        <color rgb="FF595959"/>
        <rFont val="맑은 고딕"/>
        <family val="0"/>
        <charset val="1"/>
      </rPr>
      <t xml:space="preserve">·IM</t>
    </r>
    <r>
      <rPr>
        <sz val="9"/>
        <color rgb="FF595959"/>
        <rFont val="Noto Sans CJK SC"/>
        <family val="2"/>
      </rPr>
      <t xml:space="preserve">증권 자료는 참고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</si>
  <si>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0000FF"/>
        <rFont val="Noto Sans CJK SC"/>
        <family val="2"/>
      </rPr>
      <t xml:space="preserve">입력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추정 가정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연노랑 배경 </t>
    </r>
    <r>
      <rPr>
        <sz val="9"/>
        <color rgb="FF0000FF"/>
        <rFont val="맑은 고딕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파란 글씨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공시 자동 수집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연청회색 배경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계산식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검은 글씨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다른 시트 연결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초록 글씨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미확보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진한 회색</t>
    </r>
  </si>
  <si>
    <t xml:space="preserve">항목</t>
  </si>
  <si>
    <t xml:space="preserve">1Q25</t>
  </si>
  <si>
    <t xml:space="preserve">2Q25</t>
  </si>
  <si>
    <t xml:space="preserve">3Q25</t>
  </si>
  <si>
    <t xml:space="preserve">4Q25</t>
  </si>
  <si>
    <t xml:space="preserve">1Q26E</t>
  </si>
  <si>
    <t xml:space="preserve">2Q26E</t>
  </si>
  <si>
    <t xml:space="preserve">3Q26E</t>
  </si>
  <si>
    <t xml:space="preserve">4Q26E</t>
  </si>
  <si>
    <t xml:space="preserve">2025</t>
  </si>
  <si>
    <t xml:space="preserve">2026E</t>
  </si>
  <si>
    <t xml:space="preserve">2027E</t>
  </si>
  <si>
    <t xml:space="preserve">매출액</t>
  </si>
  <si>
    <t xml:space="preserve">데이터센터</t>
  </si>
  <si>
    <t xml:space="preserve">스마트폰</t>
  </si>
  <si>
    <t xml:space="preserve">PC/Laptop</t>
  </si>
  <si>
    <t xml:space="preserve">오토모티브</t>
  </si>
  <si>
    <t xml:space="preserve">웨어러블</t>
  </si>
  <si>
    <t xml:space="preserve">LSI</t>
  </si>
  <si>
    <t xml:space="preserve">기타</t>
  </si>
  <si>
    <r>
      <rPr>
        <b val="true"/>
        <sz val="10"/>
        <color rgb="FF000000"/>
        <rFont val="Noto Sans CJK SC"/>
        <family val="2"/>
      </rPr>
      <t xml:space="preserve">매출액 </t>
    </r>
    <r>
      <rPr>
        <b val="true"/>
        <sz val="10"/>
        <color rgb="FF000000"/>
        <rFont val="맑은 고딕"/>
        <family val="0"/>
        <charset val="1"/>
      </rPr>
      <t xml:space="preserve">YoY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</si>
  <si>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QoQ</t>
    </r>
  </si>
  <si>
    <t xml:space="preserve">매출원가</t>
  </si>
  <si>
    <t xml:space="preserve">매출총이익</t>
  </si>
  <si>
    <t xml:space="preserve">매출총이익률</t>
  </si>
  <si>
    <t xml:space="preserve">판매 및 일반관리비</t>
  </si>
  <si>
    <t xml:space="preserve">영업이익</t>
  </si>
  <si>
    <t xml:space="preserve">영업이익률</t>
  </si>
  <si>
    <t xml:space="preserve">세전이익</t>
  </si>
  <si>
    <t xml:space="preserve">지배주주순이익</t>
  </si>
  <si>
    <t xml:space="preserve">지배주주순이익률</t>
  </si>
  <si>
    <r>
      <rPr>
        <b val="true"/>
        <sz val="10"/>
        <color rgb="FF000000"/>
        <rFont val="맑은 고딕"/>
        <family val="0"/>
        <charset val="1"/>
      </rPr>
      <t xml:space="preserve">EPS 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</si>
  <si>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EPS YoY</t>
  </si>
  <si>
    <t xml:space="preserve">EPS QoQ</t>
  </si>
  <si>
    <r>
      <rPr>
        <b val="true"/>
        <sz val="10"/>
        <color rgb="FF000000"/>
        <rFont val="Noto Sans CJK SC"/>
        <family val="2"/>
      </rPr>
      <t xml:space="preserve">밸류에이션 적용 </t>
    </r>
    <r>
      <rPr>
        <b val="true"/>
        <sz val="10"/>
        <color rgb="FF000000"/>
        <rFont val="맑은 고딕"/>
        <family val="0"/>
        <charset val="1"/>
      </rPr>
      <t xml:space="preserve">EPS 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</si>
  <si>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전년 동기 비교 기준 — </t>
    </r>
    <r>
      <rPr>
        <b val="true"/>
        <sz val="10"/>
        <color rgb="FFFFFFFF"/>
        <rFont val="맑은 고딕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년 분기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연간 확정치 </t>
    </r>
    <r>
      <rPr>
        <b val="true"/>
        <sz val="10"/>
        <color rgb="FFFFFFFF"/>
        <rFont val="맑은 고딕"/>
        <family val="0"/>
        <charset val="1"/>
      </rPr>
      <t xml:space="preserve">(DART </t>
    </r>
    <r>
      <rPr>
        <b val="true"/>
        <sz val="10"/>
        <color rgb="FFFFFFFF"/>
        <rFont val="Noto Sans CJK SC"/>
        <family val="2"/>
      </rPr>
      <t xml:space="preserve">연결 손익계산서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</si>
  <si>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(2024)</t>
    </r>
  </si>
  <si>
    <r>
      <rPr>
        <sz val="10"/>
        <color rgb="FF000000"/>
        <rFont val="맑은 고딕"/>
        <family val="0"/>
        <charset val="1"/>
      </rPr>
      <t xml:space="preserve">EPS (2024, 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</si>
  <si>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(2024)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</si>
  <si>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ISC, </t>
    </r>
    <r>
      <rPr>
        <i val="true"/>
        <sz val="9"/>
        <color rgb="FF595959"/>
        <rFont val="Noto Sans CJK SC"/>
        <family val="2"/>
      </rPr>
      <t xml:space="preserve">하나증권 </t>
    </r>
    <r>
      <rPr>
        <i val="true"/>
        <sz val="9"/>
        <color rgb="FF595959"/>
        <rFont val="맑은 고딕"/>
        <family val="0"/>
        <charset val="1"/>
      </rPr>
      <t xml:space="preserve">4Q25 Earnings Review (2026.02.04), DART </t>
    </r>
    <r>
      <rPr>
        <i val="true"/>
        <sz val="9"/>
        <color rgb="FF595959"/>
        <rFont val="Noto Sans CJK SC"/>
        <family val="2"/>
      </rPr>
      <t xml:space="preserve">정기보고서 </t>
    </r>
    <r>
      <rPr>
        <i val="true"/>
        <sz val="9"/>
        <color rgb="FF595959"/>
        <rFont val="맑은 고딕"/>
        <family val="0"/>
        <charset val="1"/>
      </rPr>
      <t xml:space="preserve">| </t>
    </r>
    <r>
      <rPr>
        <i val="true"/>
        <sz val="9"/>
        <color rgb="FF595959"/>
        <rFont val="Noto Sans CJK SC"/>
        <family val="2"/>
      </rPr>
      <t xml:space="preserve">금액 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비율 단위</t>
    </r>
    <r>
      <rPr>
        <i val="true"/>
        <sz val="9"/>
        <color rgb="FF595959"/>
        <rFont val="맑은 고딕"/>
        <family val="0"/>
        <charset val="1"/>
      </rPr>
      <t xml:space="preserve">: %, EPS: </t>
    </r>
    <r>
      <rPr>
        <i val="true"/>
        <sz val="9"/>
        <color rgb="FF595959"/>
        <rFont val="Noto Sans CJK SC"/>
        <family val="2"/>
      </rPr>
      <t xml:space="preserve">원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</si>
  <si>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시점 가정은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분기 실적 리뷰를 쓰는 시점</t>
    </r>
    <r>
      <rPr>
        <i val="true"/>
        <sz val="9"/>
        <color rgb="FF595959"/>
        <rFont val="맑은 고딕"/>
        <family val="0"/>
        <charset val="1"/>
      </rPr>
      <t xml:space="preserve">(2026.02.04)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따라서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년까지는 전부 확정치이고 </t>
    </r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Noto Sans CJK SC"/>
        <family val="2"/>
      </rPr>
      <t xml:space="preserve">년 네 개 분기와 </t>
    </r>
    <r>
      <rPr>
        <i val="true"/>
        <sz val="9"/>
        <color rgb="FF595959"/>
        <rFont val="맑은 고딕"/>
        <family val="0"/>
        <charset val="1"/>
      </rPr>
      <t xml:space="preserve">2027</t>
    </r>
    <r>
      <rPr>
        <i val="true"/>
        <sz val="9"/>
        <color rgb="FF595959"/>
        <rFont val="Noto Sans CJK SC"/>
        <family val="2"/>
      </rPr>
      <t xml:space="preserve">년은 전부 애널리스트 추정 입력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연노랑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</si>
  <si>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이 시트가 추정치의 유일한 입력 원천입니다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다른 시트를 참조하지 않으며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반대로 </t>
    </r>
    <r>
      <rPr>
        <i val="true"/>
        <sz val="9"/>
        <color rgb="FF595959"/>
        <rFont val="맑은 고딕"/>
        <family val="0"/>
        <charset val="1"/>
      </rPr>
      <t xml:space="preserve">M1_</t>
    </r>
    <r>
      <rPr>
        <i val="true"/>
        <sz val="9"/>
        <color rgb="FF595959"/>
        <rFont val="Noto Sans CJK SC"/>
        <family val="2"/>
      </rPr>
      <t xml:space="preserve">실적추정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모델 </t>
    </r>
    <r>
      <rPr>
        <i val="true"/>
        <sz val="9"/>
        <color rgb="FF595959"/>
        <rFont val="맑은 고딕"/>
        <family val="0"/>
        <charset val="1"/>
      </rPr>
      <t xml:space="preserve">· 15_p5_</t>
    </r>
    <r>
      <rPr>
        <i val="true"/>
        <sz val="9"/>
        <color rgb="FF595959"/>
        <rFont val="Noto Sans CJK SC"/>
        <family val="2"/>
      </rPr>
      <t xml:space="preserve">손익계산서의 </t>
    </r>
    <r>
      <rPr>
        <i val="true"/>
        <sz val="9"/>
        <color rgb="FF595959"/>
        <rFont val="맑은 고딕"/>
        <family val="0"/>
        <charset val="1"/>
      </rPr>
      <t xml:space="preserve">2025F~2027F </t>
    </r>
    <r>
      <rPr>
        <i val="true"/>
        <sz val="9"/>
        <color rgb="FF595959"/>
        <rFont val="Noto Sans CJK SC"/>
        <family val="2"/>
      </rPr>
      <t xml:space="preserve">열 </t>
    </r>
    <r>
      <rPr>
        <i val="true"/>
        <sz val="9"/>
        <color rgb="FF595959"/>
        <rFont val="맑은 고딕"/>
        <family val="0"/>
        <charset val="1"/>
      </rPr>
      <t xml:space="preserve">· Target PER </t>
    </r>
    <r>
      <rPr>
        <i val="true"/>
        <sz val="9"/>
        <color rgb="FF595959"/>
        <rFont val="Noto Sans CJK SC"/>
        <family val="2"/>
      </rPr>
      <t xml:space="preserve">이 이 시트의 값을 받아갑니다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</si>
  <si>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2025</t>
    </r>
    <r>
      <rPr>
        <i val="true"/>
        <sz val="9"/>
        <color rgb="FF595959"/>
        <rFont val="Noto Sans CJK SC"/>
        <family val="2"/>
      </rPr>
      <t xml:space="preserve">년 확정치는 </t>
    </r>
    <r>
      <rPr>
        <i val="true"/>
        <sz val="9"/>
        <color rgb="FF595959"/>
        <rFont val="맑은 고딕"/>
        <family val="0"/>
        <charset val="1"/>
      </rPr>
      <t xml:space="preserve">1Q25 </t>
    </r>
    <r>
      <rPr>
        <i val="true"/>
        <sz val="9"/>
        <color rgb="FF595959"/>
        <rFont val="Noto Sans CJK SC"/>
        <family val="2"/>
      </rPr>
      <t xml:space="preserve">분기보고서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반기보고서</t>
    </r>
    <r>
      <rPr>
        <i val="true"/>
        <sz val="9"/>
        <color rgb="FF595959"/>
        <rFont val="맑은 고딕"/>
        <family val="0"/>
        <charset val="1"/>
      </rPr>
      <t xml:space="preserve">·3</t>
    </r>
    <r>
      <rPr>
        <i val="true"/>
        <sz val="9"/>
        <color rgb="FF595959"/>
        <rFont val="Noto Sans CJK SC"/>
        <family val="2"/>
      </rPr>
      <t xml:space="preserve">분기보고서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사업보고서의 연결 손익계산서에서 가져왔습니다 </t>
    </r>
    <r>
      <rPr>
        <i val="true"/>
        <sz val="9"/>
        <color rgb="FF595959"/>
        <rFont val="맑은 고딕"/>
        <family val="0"/>
        <charset val="1"/>
      </rPr>
      <t xml:space="preserve">(4Q25 = </t>
    </r>
    <r>
      <rPr>
        <i val="true"/>
        <sz val="9"/>
        <color rgb="FF595959"/>
        <rFont val="Noto Sans CJK SC"/>
        <family val="2"/>
      </rPr>
      <t xml:space="preserve">연간 −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분기 누적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분기 합계가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 연간 확정치와 소수점까지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</si>
  <si>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2026</t>
    </r>
    <r>
      <rPr>
        <i val="true"/>
        <sz val="9"/>
        <color rgb="FF595959"/>
        <rFont val="Noto Sans CJK SC"/>
        <family val="2"/>
      </rPr>
      <t xml:space="preserve">년 입력 기본값은 하나증권 도표 </t>
    </r>
    <r>
      <rPr>
        <i val="true"/>
        <sz val="9"/>
        <color rgb="FF595959"/>
        <rFont val="맑은 고딕"/>
        <family val="0"/>
        <charset val="1"/>
      </rPr>
      <t xml:space="preserve">4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1Q26F~4Q26F </t>
    </r>
    <r>
      <rPr>
        <i val="true"/>
        <sz val="9"/>
        <color rgb="FF595959"/>
        <rFont val="Noto Sans CJK SC"/>
        <family val="2"/>
      </rPr>
      <t xml:space="preserve">추정치 그대로입니다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어플리케이션별 매출을 더한 연간 합계가 </t>
    </r>
    <r>
      <rPr>
        <i val="true"/>
        <sz val="9"/>
        <color rgb="FF595959"/>
        <rFont val="맑은 고딕"/>
        <family val="0"/>
        <charset val="1"/>
      </rPr>
      <t xml:space="preserve">302.9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영업이익 합계가 </t>
    </r>
    <r>
      <rPr>
        <i val="true"/>
        <sz val="9"/>
        <color rgb="FF595959"/>
        <rFont val="맑은 고딕"/>
        <family val="0"/>
        <charset val="1"/>
      </rPr>
      <t xml:space="preserve">93.7</t>
    </r>
    <r>
      <rPr>
        <i val="true"/>
        <sz val="9"/>
        <color rgb="FF595959"/>
        <rFont val="Noto Sans CJK SC"/>
        <family val="2"/>
      </rPr>
      <t xml:space="preserve">십억원으로 리포트 원문 추정 재무제표와 정확히 일치합니다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매출원가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세전이익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지배주주순이익의 분기 배분은 연간 원문값</t>
    </r>
    <r>
      <rPr>
        <i val="true"/>
        <sz val="9"/>
        <color rgb="FF595959"/>
        <rFont val="맑은 고딕"/>
        <family val="0"/>
        <charset val="1"/>
      </rPr>
      <t xml:space="preserve">(160.3 / 100.4 / 81.6)</t>
    </r>
    <r>
      <rPr>
        <i val="true"/>
        <sz val="9"/>
        <color rgb="FF595959"/>
        <rFont val="Noto Sans CJK SC"/>
        <family val="2"/>
      </rPr>
      <t xml:space="preserve">을 매출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 비중으로 나눈 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</si>
  <si>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매출액은 어플리케이션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개 항목의 합입니다</t>
    </r>
    <r>
      <rPr>
        <i val="true"/>
        <sz val="9"/>
        <color rgb="FF595959"/>
        <rFont val="맑은 고딕"/>
        <family val="0"/>
        <charset val="1"/>
      </rPr>
      <t xml:space="preserve">. 2025</t>
    </r>
    <r>
      <rPr>
        <i val="true"/>
        <sz val="9"/>
        <color rgb="FF595959"/>
        <rFont val="Noto Sans CJK SC"/>
        <family val="2"/>
      </rPr>
      <t xml:space="preserve">년 확정 구간만 공시 매출을 직접 넣었습니다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4 </t>
    </r>
    <r>
      <rPr>
        <i val="true"/>
        <sz val="9"/>
        <color rgb="FF595959"/>
        <rFont val="Noto Sans CJK SC"/>
        <family val="2"/>
      </rPr>
      <t xml:space="preserve">의 어플리케이션 반올림 합과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이내 차이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</si>
  <si>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판매 및 일반관리비는 「매출총이익 − 영업이익」 수식입니다</t>
    </r>
    <r>
      <rPr>
        <i val="true"/>
        <sz val="9"/>
        <color rgb="FF595959"/>
        <rFont val="맑은 고딕"/>
        <family val="0"/>
        <charset val="1"/>
      </rPr>
      <t xml:space="preserve">. 2025</t>
    </r>
    <r>
      <rPr>
        <i val="true"/>
        <sz val="9"/>
        <color rgb="FF595959"/>
        <rFont val="Noto Sans CJK SC"/>
        <family val="2"/>
      </rPr>
      <t xml:space="preserve">년 확정 구간에서 이 값이 공시 판관비</t>
    </r>
    <r>
      <rPr>
        <i val="true"/>
        <sz val="9"/>
        <color rgb="FF595959"/>
        <rFont val="맑은 고딕"/>
        <family val="0"/>
        <charset val="1"/>
      </rPr>
      <t xml:space="preserve">(7.25 / 8.84 / 10.18 / 11.42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와 정확히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</si>
  <si>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리포트 발간 이후 실제로 발표된 </t>
    </r>
    <r>
      <rPr>
        <i val="true"/>
        <sz val="9"/>
        <color rgb="FF595959"/>
        <rFont val="맑은 고딕"/>
        <family val="0"/>
        <charset val="1"/>
      </rPr>
      <t xml:space="preserve">1Q26 </t>
    </r>
    <r>
      <rPr>
        <i val="true"/>
        <sz val="9"/>
        <color rgb="FF595959"/>
        <rFont val="Noto Sans CJK SC"/>
        <family val="2"/>
      </rPr>
      <t xml:space="preserve">실적은 매출 </t>
    </r>
    <r>
      <rPr>
        <i val="true"/>
        <sz val="9"/>
        <color rgb="FF595959"/>
        <rFont val="맑은 고딕"/>
        <family val="0"/>
        <charset val="1"/>
      </rPr>
      <t xml:space="preserve">68.27 ·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23.62 · </t>
    </r>
    <r>
      <rPr>
        <i val="true"/>
        <sz val="9"/>
        <color rgb="FF595959"/>
        <rFont val="Noto Sans CJK SC"/>
        <family val="2"/>
      </rPr>
      <t xml:space="preserve">지배주주순이익 </t>
    </r>
    <r>
      <rPr>
        <i val="true"/>
        <sz val="9"/>
        <color rgb="FF595959"/>
        <rFont val="맑은 고딕"/>
        <family val="0"/>
        <charset val="1"/>
      </rPr>
      <t xml:space="preserve">20.47</t>
    </r>
    <r>
      <rPr>
        <i val="true"/>
        <sz val="9"/>
        <color rgb="FF595959"/>
        <rFont val="Noto Sans CJK SC"/>
        <family val="2"/>
      </rPr>
      <t xml:space="preserve">십억원입니다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잠정실적 공시 </t>
    </r>
    <r>
      <rPr>
        <i val="true"/>
        <sz val="9"/>
        <color rgb="FF595959"/>
        <rFont val="맑은 고딕"/>
        <family val="0"/>
        <charset val="1"/>
      </rPr>
      <t xml:space="preserve">2026.04.27 </t>
    </r>
    <r>
      <rPr>
        <i val="true"/>
        <sz val="9"/>
        <color rgb="FF595959"/>
        <rFont val="Noto Sans CJK SC"/>
        <family val="2"/>
      </rPr>
      <t xml:space="preserve">및 </t>
    </r>
    <r>
      <rPr>
        <i val="true"/>
        <sz val="9"/>
        <color rgb="FF595959"/>
        <rFont val="맑은 고딕"/>
        <family val="0"/>
        <charset val="1"/>
      </rPr>
      <t xml:space="preserve">1Q26 </t>
    </r>
    <r>
      <rPr>
        <i val="true"/>
        <sz val="9"/>
        <color rgb="FF595959"/>
        <rFont val="Noto Sans CJK SC"/>
        <family val="2"/>
      </rPr>
      <t xml:space="preserve">분기보고서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리뷰 작성 시점 가정을 지키려고 이 시트에는 반영하지 않았고</t>
    </r>
    <r>
      <rPr>
        <i val="true"/>
        <sz val="9"/>
        <color rgb="FF595959"/>
        <rFont val="맑은 고딕"/>
        <family val="0"/>
        <charset val="1"/>
      </rPr>
      <t xml:space="preserve">, 11_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7_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시가총액 시트에서 확정치로 확인할 수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</si>
  <si>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밸류에이션 적용 </t>
    </r>
    <r>
      <rPr>
        <i val="true"/>
        <sz val="9"/>
        <color rgb="FF595959"/>
        <rFont val="맑은 고딕"/>
        <family val="0"/>
        <charset val="1"/>
      </rPr>
      <t xml:space="preserve">EPS 4,025</t>
    </r>
    <r>
      <rPr>
        <i val="true"/>
        <sz val="9"/>
        <color rgb="FF595959"/>
        <rFont val="Noto Sans CJK SC"/>
        <family val="2"/>
      </rPr>
      <t xml:space="preserve">원은 하나증권 도표 </t>
    </r>
    <r>
      <rPr>
        <i val="true"/>
        <sz val="9"/>
        <color rgb="FF595959"/>
        <rFont val="맑은 고딕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기준값이며 </t>
    </r>
    <r>
      <rPr>
        <i val="true"/>
        <sz val="9"/>
        <color rgb="FF595959"/>
        <rFont val="맑은 고딕"/>
        <family val="0"/>
        <charset val="1"/>
      </rPr>
      <t xml:space="preserve">Target PER </t>
    </r>
    <r>
      <rPr>
        <i val="true"/>
        <sz val="9"/>
        <color rgb="FF595959"/>
        <rFont val="Noto Sans CJK SC"/>
        <family val="2"/>
      </rPr>
      <t xml:space="preserve">시트가 이 칸을 받아갑니다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모델이 산출한 </t>
    </r>
    <r>
      <rPr>
        <i val="true"/>
        <sz val="9"/>
        <color rgb="FF595959"/>
        <rFont val="맑은 고딕"/>
        <family val="0"/>
        <charset val="1"/>
      </rPr>
      <t xml:space="preserve">2026E EPS(3,850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와 다른 것은 리포트가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개월 선행 기준을 쓰기 때문입니다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</si>
  <si>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참조 모델과 같이 비율은 </t>
    </r>
    <r>
      <rPr>
        <i val="true"/>
        <sz val="9"/>
        <color rgb="FF595959"/>
        <rFont val="맑은 고딕"/>
        <family val="0"/>
        <charset val="1"/>
      </rPr>
      <t xml:space="preserve">% </t>
    </r>
    <r>
      <rPr>
        <i val="true"/>
        <sz val="9"/>
        <color rgb="FF595959"/>
        <rFont val="Noto Sans CJK SC"/>
        <family val="2"/>
      </rPr>
      <t xml:space="preserve">기호 없는 숫자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맑은 고딕"/>
        <family val="0"/>
        <charset val="1"/>
      </rPr>
      <t xml:space="preserve">: 44.9 = 44.9%)</t>
    </r>
    <r>
      <rPr>
        <i val="true"/>
        <sz val="9"/>
        <color rgb="FF595959"/>
        <rFont val="Noto Sans CJK SC"/>
        <family val="2"/>
      </rPr>
      <t xml:space="preserve">로 저장했습니다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</si>
  <si>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6"/>
        <color rgb="FFFFFFFF"/>
        <rFont val="맑은 고딕"/>
        <family val="0"/>
        <charset val="1"/>
      </rPr>
      <t xml:space="preserve">Target PER </t>
    </r>
    <r>
      <rPr>
        <b val="true"/>
        <sz val="16"/>
        <color rgb="FFFFFFFF"/>
        <rFont val="Noto Sans CJK SC"/>
        <family val="2"/>
      </rPr>
      <t xml:space="preserve">선정 및 목표주가 모델</t>
    </r>
  </si>
  <si>
    <r>
      <rPr>
        <b val="true"/>
        <sz val="10"/>
        <color rgb="FFFFFFFF"/>
        <rFont val="맑은 고딕"/>
        <family val="0"/>
        <charset val="1"/>
      </rPr>
      <t xml:space="preserve">Target PER </t>
    </r>
    <r>
      <rPr>
        <b val="true"/>
        <sz val="10"/>
        <color rgb="FFFFFFFF"/>
        <rFont val="Noto Sans CJK SC"/>
        <family val="2"/>
      </rPr>
      <t xml:space="preserve">선택 로직</t>
    </r>
  </si>
  <si>
    <t xml:space="preserve">선정 방식</t>
  </si>
  <si>
    <t xml:space="preserve">특정 피어 조정</t>
  </si>
  <si>
    <r>
      <rPr>
        <sz val="9"/>
        <color rgb="FF595959"/>
        <rFont val="Noto Sans CJK SC"/>
        <family val="2"/>
      </rPr>
      <t xml:space="preserve">드롭다운에서 선택하세요 — 특정 피어 조정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피어 평균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피어 중앙값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직접 입력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현재</t>
    </r>
    <r>
      <rPr>
        <sz val="9"/>
        <color rgb="FF595959"/>
        <rFont val="맑은 고딕"/>
        <family val="0"/>
        <charset val="1"/>
      </rPr>
      <t xml:space="preserve">: WinWay 62.6</t>
    </r>
    <r>
      <rPr>
        <sz val="9"/>
        <color rgb="FF595959"/>
        <rFont val="Noto Sans CJK SC"/>
        <family val="2"/>
      </rPr>
      <t xml:space="preserve">배에서 </t>
    </r>
    <r>
      <rPr>
        <sz val="9"/>
        <color rgb="FF595959"/>
        <rFont val="맑은 고딕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할인 → </t>
    </r>
    <r>
      <rPr>
        <sz val="9"/>
        <color rgb="FF595959"/>
        <rFont val="맑은 고딕"/>
        <family val="0"/>
        <charset val="1"/>
      </rPr>
      <t xml:space="preserve">Target P/E 43.82</t>
    </r>
    <r>
      <rPr>
        <sz val="9"/>
        <color rgb="FF595959"/>
        <rFont val="Noto Sans CJK SC"/>
        <family val="2"/>
      </rPr>
      <t xml:space="preserve">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하나증권 도표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과 동일</t>
    </r>
    <r>
      <rPr>
        <sz val="9"/>
        <color rgb="FF595959"/>
        <rFont val="맑은 고딕"/>
        <family val="0"/>
        <charset val="1"/>
      </rPr>
      <t xml:space="preserve">)</t>
    </r>
  </si>
  <si>
    <t xml:space="preserve">Forward EPS</t>
  </si>
  <si>
    <r>
      <rPr>
        <sz val="9"/>
        <color rgb="FF595959"/>
        <rFont val="맑은 고딕"/>
        <family val="0"/>
        <charset val="1"/>
      </rPr>
      <t xml:space="preserve">Forward EPS </t>
    </r>
    <r>
      <rPr>
        <sz val="9"/>
        <color rgb="FF595959"/>
        <rFont val="Noto Sans CJK SC"/>
        <family val="2"/>
      </rPr>
      <t xml:space="preserve">시트의 「밸류에이션 적용 </t>
    </r>
    <r>
      <rPr>
        <sz val="9"/>
        <color rgb="FF595959"/>
        <rFont val="맑은 고딕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」 칸을 그대로 받아옵니다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기본 </t>
    </r>
    <r>
      <rPr>
        <sz val="9"/>
        <color rgb="FF595959"/>
        <rFont val="맑은 고딕"/>
        <family val="0"/>
        <charset val="1"/>
      </rPr>
      <t xml:space="preserve">4,025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).</t>
    </r>
  </si>
  <si>
    <t xml:space="preserve">선택 피어</t>
  </si>
  <si>
    <t xml:space="preserve">WinWay</t>
  </si>
  <si>
    <r>
      <rPr>
        <sz val="9"/>
        <color rgb="FF595959"/>
        <rFont val="Noto Sans CJK SC"/>
        <family val="2"/>
      </rPr>
      <t xml:space="preserve">드롭다운에서 아래 피어 표의 기업 중 선택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선정 방식이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특정 피어 조정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일 때만 쓰입니다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</si>
  <si>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선택 피어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</si>
  <si>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 62.6</t>
    </r>
    <r>
      <rPr>
        <sz val="9"/>
        <color rgb="FF595959"/>
        <rFont val="Noto Sans CJK SC"/>
        <family val="2"/>
      </rPr>
      <t xml:space="preserve">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하나증권 기준일 </t>
    </r>
    <r>
      <rPr>
        <sz val="9"/>
        <color rgb="FF595959"/>
        <rFont val="맑은 고딕"/>
        <family val="0"/>
        <charset val="1"/>
      </rPr>
      <t xml:space="preserve">2026.02.04)</t>
    </r>
  </si>
  <si>
    <r>
      <rPr>
        <b val="true"/>
        <sz val="10"/>
        <color rgb="FF000000"/>
        <rFont val="Noto Sans CJK SC"/>
        <family val="2"/>
      </rPr>
      <t xml:space="preserve">할인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프리미엄</t>
    </r>
  </si>
  <si>
    <r>
      <rPr>
        <sz val="9"/>
        <color rgb="FF595959"/>
        <rFont val="Noto Sans CJK SC"/>
        <family val="2"/>
      </rPr>
      <t xml:space="preserve">하나증권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최근 주가 급등 및 사업 포트폴리오 차이를 감안해 </t>
    </r>
    <r>
      <rPr>
        <sz val="9"/>
        <color rgb="FF595959"/>
        <rFont val="맑은 고딕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할인</t>
    </r>
  </si>
  <si>
    <r>
      <rPr>
        <b val="true"/>
        <sz val="10"/>
        <color rgb="FF000000"/>
        <rFont val="Noto Sans CJK SC"/>
        <family val="2"/>
      </rPr>
      <t xml:space="preserve">피어 평균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</si>
  <si>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맑은 고딕"/>
        <family val="0"/>
        <charset val="1"/>
      </rPr>
      <t xml:space="preserve">Include = Y </t>
    </r>
    <r>
      <rPr>
        <sz val="9"/>
        <color rgb="FF595959"/>
        <rFont val="Noto Sans CJK SC"/>
        <family val="2"/>
      </rPr>
      <t xml:space="preserve">인 피어만 평균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국내 피어 </t>
    </r>
    <r>
      <rPr>
        <sz val="9"/>
        <color rgb="FF595959"/>
        <rFont val="맑은 고딕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개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</si>
  <si>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피어 중앙값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</si>
  <si>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b val="true"/>
        <sz val="10"/>
        <color rgb="FF000000"/>
        <rFont val="Noto Sans CJK SC"/>
        <family val="2"/>
      </rPr>
      <t xml:space="preserve">직접 입력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</si>
  <si>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선정 방식을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직접 입력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으로 바꿀 때 쓰는 값</t>
    </r>
  </si>
  <si>
    <r>
      <rPr>
        <b val="true"/>
        <sz val="10"/>
        <color rgb="FF000000"/>
        <rFont val="Noto Sans CJK SC"/>
        <family val="2"/>
      </rPr>
      <t xml:space="preserve">도출 </t>
    </r>
    <r>
      <rPr>
        <b val="true"/>
        <sz val="10"/>
        <color rgb="FF000000"/>
        <rFont val="맑은 고딕"/>
        <family val="0"/>
        <charset val="1"/>
      </rPr>
      <t xml:space="preserve">Target P/E</t>
    </r>
  </si>
  <si>
    <t xml:space="preserve">선정 방식에 따라 자동 분기</t>
  </si>
  <si>
    <r>
      <rPr>
        <b val="true"/>
        <sz val="10"/>
        <color rgb="FF000000"/>
        <rFont val="Noto Sans CJK SC"/>
        <family val="2"/>
      </rPr>
      <t xml:space="preserve">목표주가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</si>
  <si>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하나증권과 동일하게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만원 단위 반올림 →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</t>
    </r>
  </si>
  <si>
    <r>
      <rPr>
        <b val="true"/>
        <sz val="10"/>
        <color rgb="FF000000"/>
        <rFont val="Noto Sans CJK SC"/>
        <family val="2"/>
      </rPr>
      <t xml:space="preserve">현재주가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</si>
  <si>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2026.02.04 </t>
    </r>
    <r>
      <rPr>
        <sz val="9"/>
        <color rgb="FF595959"/>
        <rFont val="Noto Sans CJK SC"/>
        <family val="2"/>
      </rPr>
      <t xml:space="preserve">종가 — 시장 데이터에서 자동 수집</t>
    </r>
  </si>
  <si>
    <t xml:space="preserve">상승여력</t>
  </si>
  <si>
    <r>
      <rPr>
        <sz val="9"/>
        <color rgb="FF595959"/>
        <rFont val="Noto Sans CJK SC"/>
        <family val="2"/>
      </rPr>
      <t xml:space="preserve">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현재주가 − </t>
    </r>
    <r>
      <rPr>
        <sz val="9"/>
        <color rgb="FF595959"/>
        <rFont val="맑은 고딕"/>
        <family val="0"/>
        <charset val="1"/>
      </rPr>
      <t xml:space="preserve">1</t>
    </r>
  </si>
  <si>
    <t xml:space="preserve">피어 정보 및 참고 멀티플</t>
  </si>
  <si>
    <t xml:space="preserve">기업명</t>
  </si>
  <si>
    <t xml:space="preserve">시장</t>
  </si>
  <si>
    <r>
      <rPr>
        <b val="true"/>
        <sz val="10"/>
        <color rgb="FF000000"/>
        <rFont val="Noto Sans CJK SC"/>
        <family val="2"/>
      </rPr>
      <t xml:space="preserve">기준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</si>
  <si>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t xml:space="preserve">Include</t>
  </si>
  <si>
    <t xml:space="preserve">조정률</t>
  </si>
  <si>
    <r>
      <rPr>
        <b val="true"/>
        <sz val="10"/>
        <color rgb="FF000000"/>
        <rFont val="Noto Sans CJK SC"/>
        <family val="2"/>
      </rPr>
      <t xml:space="preserve">적용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</si>
  <si>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t xml:space="preserve">TWSE</t>
  </si>
  <si>
    <t xml:space="preserve">N</t>
  </si>
  <si>
    <r>
      <rPr>
        <sz val="9"/>
        <color rgb="FF595959"/>
        <rFont val="Noto Sans CJK SC"/>
        <family val="2"/>
      </rPr>
      <t xml:space="preserve">하나증권 도표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의 </t>
    </r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</t>
    </r>
  </si>
  <si>
    <t xml:space="preserve">리노공업</t>
  </si>
  <si>
    <t xml:space="preserve">KOSDAQ</t>
  </si>
  <si>
    <t xml:space="preserve">Y</t>
  </si>
  <si>
    <r>
      <rPr>
        <sz val="9"/>
        <color rgb="FF595959"/>
        <rFont val="Noto Sans CJK SC"/>
        <family val="2"/>
      </rPr>
      <t xml:space="preserve">삼성증권 </t>
    </r>
    <r>
      <rPr>
        <sz val="9"/>
        <color rgb="FF595959"/>
        <rFont val="맑은 고딕"/>
        <family val="0"/>
        <charset val="1"/>
      </rPr>
      <t xml:space="preserve">2026.04.28 </t>
    </r>
    <r>
      <rPr>
        <sz val="9"/>
        <color rgb="FF595959"/>
        <rFont val="Noto Sans CJK SC"/>
        <family val="2"/>
      </rPr>
      <t xml:space="preserve">리포트 참고값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기준일 상이</t>
    </r>
    <r>
      <rPr>
        <sz val="9"/>
        <color rgb="FF595959"/>
        <rFont val="맑은 고딕"/>
        <family val="0"/>
        <charset val="1"/>
      </rPr>
      <t xml:space="preserve">)</t>
    </r>
  </si>
  <si>
    <t xml:space="preserve">티에스이</t>
  </si>
  <si>
    <r>
      <rPr>
        <sz val="9"/>
        <color rgb="FF595959"/>
        <rFont val="Noto Sans CJK SC"/>
        <family val="2"/>
      </rPr>
      <t xml:space="preserve">삼성증권 </t>
    </r>
    <r>
      <rPr>
        <sz val="9"/>
        <color rgb="FF595959"/>
        <rFont val="맑은 고딕"/>
        <family val="0"/>
        <charset val="1"/>
      </rPr>
      <t xml:space="preserve">2026.04.28 </t>
    </r>
    <r>
      <rPr>
        <sz val="9"/>
        <color rgb="FF595959"/>
        <rFont val="Noto Sans CJK SC"/>
        <family val="2"/>
      </rPr>
      <t xml:space="preserve">리포트 참고값</t>
    </r>
  </si>
  <si>
    <t xml:space="preserve">테크윙</t>
  </si>
  <si>
    <t xml:space="preserve">두산테스나</t>
  </si>
  <si>
    <t xml:space="preserve">정합성 체크 — 하나증권 원문 대조</t>
  </si>
  <si>
    <t xml:space="preserve">모델 산출</t>
  </si>
  <si>
    <t xml:space="preserve">원문값</t>
  </si>
  <si>
    <t xml:space="preserve">차이</t>
  </si>
  <si>
    <t xml:space="preserve">Target P/E</t>
  </si>
  <si>
    <r>
      <rPr>
        <sz val="10"/>
        <color rgb="FF000000"/>
        <rFont val="Noto Sans CJK SC"/>
        <family val="2"/>
      </rPr>
      <t xml:space="preserve">목표주가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</si>
  <si>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ISC, </t>
    </r>
    <r>
      <rPr>
        <i val="true"/>
        <sz val="9"/>
        <color rgb="FF595959"/>
        <rFont val="Noto Sans CJK SC"/>
        <family val="2"/>
      </rPr>
      <t xml:space="preserve">하나증권 </t>
    </r>
    <r>
      <rPr>
        <i val="true"/>
        <sz val="9"/>
        <color rgb="FF595959"/>
        <rFont val="맑은 고딕"/>
        <family val="0"/>
        <charset val="1"/>
      </rPr>
      <t xml:space="preserve">4Q25 Earnings Review (2026.02.04) | </t>
    </r>
    <r>
      <rPr>
        <i val="true"/>
        <sz val="9"/>
        <color rgb="FF595959"/>
        <rFont val="Noto Sans CJK SC"/>
        <family val="2"/>
      </rPr>
      <t xml:space="preserve">국내 피어 </t>
    </r>
    <r>
      <rPr>
        <i val="true"/>
        <sz val="9"/>
        <color rgb="FF595959"/>
        <rFont val="맑은 고딕"/>
        <family val="0"/>
        <charset val="1"/>
      </rPr>
      <t xml:space="preserve">P/E </t>
    </r>
    <r>
      <rPr>
        <i val="true"/>
        <sz val="9"/>
        <color rgb="FF595959"/>
        <rFont val="Noto Sans CJK SC"/>
        <family val="2"/>
      </rPr>
      <t xml:space="preserve">는 삼성증권 </t>
    </r>
    <r>
      <rPr>
        <i val="true"/>
        <sz val="9"/>
        <color rgb="FF595959"/>
        <rFont val="맑은 고딕"/>
        <family val="0"/>
        <charset val="1"/>
      </rPr>
      <t xml:space="preserve">2026.04.28 </t>
    </r>
    <r>
      <rPr>
        <i val="true"/>
        <sz val="9"/>
        <color rgb="FF595959"/>
        <rFont val="Noto Sans CJK SC"/>
        <family val="2"/>
      </rPr>
      <t xml:space="preserve">리포트 참고값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</si>
  <si>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선정 방식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선택 피어</t>
    </r>
    <r>
      <rPr>
        <i val="true"/>
        <sz val="9"/>
        <color rgb="FF595959"/>
        <rFont val="맑은 고딕"/>
        <family val="0"/>
        <charset val="1"/>
      </rPr>
      <t xml:space="preserve">·Include </t>
    </r>
    <r>
      <rPr>
        <i val="true"/>
        <sz val="9"/>
        <color rgb="FF595959"/>
        <rFont val="Noto Sans CJK SC"/>
        <family val="2"/>
      </rPr>
      <t xml:space="preserve">는 드롭다운으로 고르게 해 두었습니다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방식을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피어 평균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또는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피어 중앙값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바꾸면 아래 피어 표에서 </t>
    </r>
    <r>
      <rPr>
        <i val="true"/>
        <sz val="9"/>
        <color rgb="FF595959"/>
        <rFont val="맑은 고딕"/>
        <family val="0"/>
        <charset val="1"/>
      </rPr>
      <t xml:space="preserve">Include = Y </t>
    </r>
    <r>
      <rPr>
        <i val="true"/>
        <sz val="9"/>
        <color rgb="FF595959"/>
        <rFont val="Noto Sans CJK SC"/>
        <family val="2"/>
      </rPr>
      <t xml:space="preserve">인 기업들의 적용 </t>
    </r>
    <r>
      <rPr>
        <i val="true"/>
        <sz val="9"/>
        <color rgb="FF595959"/>
        <rFont val="맑은 고딕"/>
        <family val="0"/>
        <charset val="1"/>
      </rPr>
      <t xml:space="preserve">P/E </t>
    </r>
    <r>
      <rPr>
        <i val="true"/>
        <sz val="9"/>
        <color rgb="FF595959"/>
        <rFont val="Noto Sans CJK SC"/>
        <family val="2"/>
      </rPr>
      <t xml:space="preserve">평균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중앙값이 그대로 </t>
    </r>
    <r>
      <rPr>
        <i val="true"/>
        <sz val="9"/>
        <color rgb="FF595959"/>
        <rFont val="맑은 고딕"/>
        <family val="0"/>
        <charset val="1"/>
      </rPr>
      <t xml:space="preserve">Target P/E </t>
    </r>
    <r>
      <rPr>
        <i val="true"/>
        <sz val="9"/>
        <color rgb="FF595959"/>
        <rFont val="Noto Sans CJK SC"/>
        <family val="2"/>
      </rPr>
      <t xml:space="preserve">가 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리포트는 </t>
    </r>
    <r>
      <rPr>
        <i val="true"/>
        <sz val="9"/>
        <color rgb="FF595959"/>
        <rFont val="맑은 고딕"/>
        <family val="0"/>
        <charset val="1"/>
      </rPr>
      <t xml:space="preserve">WinWay </t>
    </r>
    <r>
      <rPr>
        <i val="true"/>
        <sz val="9"/>
        <color rgb="FF595959"/>
        <rFont val="Noto Sans CJK SC"/>
        <family val="2"/>
      </rPr>
      <t xml:space="preserve">단일 피어에 </t>
    </r>
    <r>
      <rPr>
        <i val="true"/>
        <sz val="9"/>
        <color rgb="FF595959"/>
        <rFont val="맑은 고딕"/>
        <family val="0"/>
        <charset val="1"/>
      </rPr>
      <t xml:space="preserve">30% </t>
    </r>
    <r>
      <rPr>
        <i val="true"/>
        <sz val="9"/>
        <color rgb="FF595959"/>
        <rFont val="Noto Sans CJK SC"/>
        <family val="2"/>
      </rPr>
      <t xml:space="preserve">할인을 적용하는 방식입니다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기본 설정을 그대로 두면 원문 목표주가 </t>
    </r>
    <r>
      <rPr>
        <i val="true"/>
        <sz val="9"/>
        <color rgb="FF595959"/>
        <rFont val="맑은 고딕"/>
        <family val="0"/>
        <charset val="1"/>
      </rPr>
      <t xml:space="preserve">180,000</t>
    </r>
    <r>
      <rPr>
        <i val="true"/>
        <sz val="9"/>
        <color rgb="FF595959"/>
        <rFont val="Noto Sans CJK SC"/>
        <family val="2"/>
      </rPr>
      <t xml:space="preserve">원과 상승여력 </t>
    </r>
    <r>
      <rPr>
        <i val="true"/>
        <sz val="9"/>
        <color rgb="FF595959"/>
        <rFont val="맑은 고딕"/>
        <family val="0"/>
        <charset val="1"/>
      </rPr>
      <t xml:space="preserve">26%(</t>
    </r>
    <r>
      <rPr>
        <i val="true"/>
        <sz val="9"/>
        <color rgb="FF595959"/>
        <rFont val="Noto Sans CJK SC"/>
        <family val="2"/>
      </rPr>
      <t xml:space="preserve">반올림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가 재현됩니다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</si>
  <si>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국내 피어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개는 하나증권 리포트에 없어 삼성증권 </t>
    </r>
    <r>
      <rPr>
        <i val="true"/>
        <sz val="9"/>
        <color rgb="FF595959"/>
        <rFont val="맑은 고딕"/>
        <family val="0"/>
        <charset val="1"/>
      </rPr>
      <t xml:space="preserve">2026.04.28 </t>
    </r>
    <r>
      <rPr>
        <i val="true"/>
        <sz val="9"/>
        <color rgb="FF595959"/>
        <rFont val="Noto Sans CJK SC"/>
        <family val="2"/>
      </rPr>
      <t xml:space="preserve">리포트의 값을 참고로 넣었습니다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기준일이 달라 하나증권 기준일</t>
    </r>
    <r>
      <rPr>
        <i val="true"/>
        <sz val="9"/>
        <color rgb="FF595959"/>
        <rFont val="맑은 고딕"/>
        <family val="0"/>
        <charset val="1"/>
      </rPr>
      <t xml:space="preserve">(2026.02.04) </t>
    </r>
    <r>
      <rPr>
        <i val="true"/>
        <sz val="9"/>
        <color rgb="FF595959"/>
        <rFont val="Noto Sans CJK SC"/>
        <family val="2"/>
      </rPr>
      <t xml:space="preserve">수치와 직접 비교되지 않으므로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선정 방식을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피어 평균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중앙값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바꿀 때는 </t>
    </r>
    <r>
      <rPr>
        <i val="true"/>
        <sz val="9"/>
        <color rgb="FF595959"/>
        <rFont val="맑은 고딕"/>
        <family val="0"/>
        <charset val="1"/>
      </rPr>
      <t xml:space="preserve">P/E</t>
    </r>
    <r>
      <rPr>
        <i val="true"/>
        <sz val="9"/>
        <color rgb="FF595959"/>
        <rFont val="Noto Sans CJK SC"/>
        <family val="2"/>
      </rPr>
      <t xml:space="preserve">를 같은 기준일로 갱신해 주세요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</si>
  <si>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WinWay 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Include = N </t>
    </r>
    <r>
      <rPr>
        <i val="true"/>
        <sz val="9"/>
        <color rgb="FF595959"/>
        <rFont val="Noto Sans CJK SC"/>
        <family val="2"/>
      </rPr>
      <t xml:space="preserve">으로 두어 피어 평균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중앙값 계산에서 제외했습니다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대만 상장사이며 밸류에이션 수준이 국내 피어와 크게 다름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</si>
  <si>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ISC (095340) Valuation Workbook</t>
  </si>
  <si>
    <r>
      <rPr>
        <sz val="10"/>
        <color rgb="FF595959"/>
        <rFont val="Noto Sans CJK SC"/>
        <family val="2"/>
      </rPr>
      <t xml:space="preserve">원자료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하나증권 「</t>
    </r>
    <r>
      <rPr>
        <sz val="10"/>
        <color rgb="FF595959"/>
        <rFont val="맑은 고딕"/>
        <family val="0"/>
        <charset val="1"/>
      </rPr>
      <t xml:space="preserve">ISC (095340) — </t>
    </r>
    <r>
      <rPr>
        <sz val="10"/>
        <color rgb="FF595959"/>
        <rFont val="Noto Sans CJK SC"/>
        <family val="2"/>
      </rPr>
      <t xml:space="preserve">이유 없는 증설은 없다」 </t>
    </r>
    <r>
      <rPr>
        <sz val="10"/>
        <color rgb="FF595959"/>
        <rFont val="맑은 고딕"/>
        <family val="0"/>
        <charset val="1"/>
      </rPr>
      <t xml:space="preserve">4Q25 Earnings Review, 2026.02.04, Analyst </t>
    </r>
    <r>
      <rPr>
        <sz val="10"/>
        <color rgb="FF595959"/>
        <rFont val="Noto Sans CJK SC"/>
        <family val="2"/>
      </rPr>
      <t xml:space="preserve">김민경</t>
    </r>
  </si>
  <si>
    <r>
      <rPr>
        <b val="true"/>
        <sz val="10"/>
        <color rgb="FF1F6E6A"/>
        <rFont val="맑은 고딕"/>
        <family val="0"/>
        <charset val="1"/>
      </rPr>
      <t xml:space="preserve">  1. </t>
    </r>
    <r>
      <rPr>
        <b val="true"/>
        <sz val="10"/>
        <color rgb="FF1F6E6A"/>
        <rFont val="Noto Sans CJK SC"/>
        <family val="2"/>
      </rPr>
      <t xml:space="preserve">서식 규칙 </t>
    </r>
    <r>
      <rPr>
        <b val="true"/>
        <sz val="10"/>
        <color rgb="FF1F6E6A"/>
        <rFont val="맑은 고딕"/>
        <family val="0"/>
        <charset val="1"/>
      </rPr>
      <t xml:space="preserve">(Formatting convention)</t>
    </r>
  </si>
  <si>
    <t xml:space="preserve">구분</t>
  </si>
  <si>
    <t xml:space="preserve">서식</t>
  </si>
  <si>
    <t xml:space="preserve">설명</t>
  </si>
  <si>
    <t xml:space="preserve">애널리스트 입력 칸</t>
  </si>
  <si>
    <r>
      <rPr>
        <b val="true"/>
        <sz val="10"/>
        <color rgb="FF0000FF"/>
        <rFont val="Noto Sans CJK SC"/>
        <family val="2"/>
      </rPr>
      <t xml:space="preserve">연노랑 바탕 </t>
    </r>
    <r>
      <rPr>
        <b val="true"/>
        <sz val="10"/>
        <color rgb="FF0000FF"/>
        <rFont val="맑은 고딕"/>
        <family val="0"/>
        <charset val="1"/>
      </rPr>
      <t xml:space="preserve">+ </t>
    </r>
    <r>
      <rPr>
        <b val="true"/>
        <sz val="10"/>
        <color rgb="FF0000FF"/>
        <rFont val="Noto Sans CJK SC"/>
        <family val="2"/>
      </rPr>
      <t xml:space="preserve">파란 글씨</t>
    </r>
  </si>
  <si>
    <r>
      <rPr>
        <sz val="10"/>
        <color rgb="FF000000"/>
        <rFont val="Noto Sans CJK SC"/>
        <family val="2"/>
      </rPr>
      <t xml:space="preserve">서비스가 사용자에게 입력받을 칸입니다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다음 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연도 추정치와 밸류에이션 가정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P/E·</t>
    </r>
    <r>
      <rPr>
        <sz val="10"/>
        <color rgb="FF000000"/>
        <rFont val="Noto Sans CJK SC"/>
        <family val="2"/>
      </rPr>
      <t xml:space="preserve">할인율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타겟 멀티플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가중치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만 여기에 들어갑니다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여기만 고치면 실적 추정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목표주가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상승여력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민감도가 전부 다시 계산됩니다</t>
    </r>
    <r>
      <rPr>
        <sz val="10"/>
        <color rgb="FF000000"/>
        <rFont val="맑은 고딕"/>
        <family val="0"/>
        <charset val="1"/>
      </rPr>
      <t xml:space="preserve">. (01·02·08</t>
    </r>
    <r>
      <rPr>
        <sz val="10"/>
        <color rgb="FF000000"/>
        <rFont val="Noto Sans CJK SC"/>
        <family val="2"/>
      </rPr>
      <t xml:space="preserve">번 시트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</si>
  <si>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공시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시장 자동 수집값</t>
    </r>
  </si>
  <si>
    <r>
      <rPr>
        <sz val="10"/>
        <color rgb="FF0000FF"/>
        <rFont val="Noto Sans CJK SC"/>
        <family val="2"/>
      </rPr>
      <t xml:space="preserve">연청회색 바탕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파란 글씨</t>
    </r>
  </si>
  <si>
    <r>
      <rPr>
        <sz val="10"/>
        <color rgb="FF000000"/>
        <rFont val="Noto Sans CJK SC"/>
        <family val="2"/>
      </rPr>
      <t xml:space="preserve">과거 확정 실적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발행주식수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현재주가처럼 서비스가 공시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시장 데이터에서 알아서 끌어오는 값입니다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형식상 하드코딩이지만 사용자 입력 대상이 아니므로 노란 칸과 구분해 두었습니다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</si>
  <si>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보고서 원문 전사값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</si>
  <si>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바탕 없음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</si>
  <si>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하나증권 보고서에 인쇄된 숫자를 그대로 옮긴 값입니다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대조용 참조 시트</t>
    </r>
    <r>
      <rPr>
        <sz val="10"/>
        <color rgb="FF000000"/>
        <rFont val="맑은 고딕"/>
        <family val="0"/>
        <charset val="1"/>
      </rPr>
      <t xml:space="preserve">(04</t>
    </r>
    <r>
      <rPr>
        <sz val="10"/>
        <color rgb="FF000000"/>
        <rFont val="Noto Sans CJK SC"/>
        <family val="2"/>
      </rPr>
      <t xml:space="preserve">번 이후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쓰였습니다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</si>
  <si>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수식 계산값</t>
  </si>
  <si>
    <t xml:space="preserve">검정 글씨</t>
  </si>
  <si>
    <r>
      <rPr>
        <sz val="10"/>
        <color rgb="FF000000"/>
        <rFont val="Noto Sans CJK SC"/>
        <family val="2"/>
      </rPr>
      <t xml:space="preserve">같은 시트 안의 값으로 계산된 결과입니다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</si>
  <si>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다른 시트 참조값</t>
  </si>
  <si>
    <t xml:space="preserve">초록 글씨</t>
  </si>
  <si>
    <r>
      <rPr>
        <sz val="10"/>
        <color rgb="FF000000"/>
        <rFont val="Noto Sans CJK SC"/>
        <family val="2"/>
      </rPr>
      <t xml:space="preserve">다른 시트를 참조해 계산된 결과입니다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</si>
  <si>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확보하지 못한 구간</t>
  </si>
  <si>
    <t xml:space="preserve">진한 회색 바탕</t>
  </si>
  <si>
    <r>
      <rPr>
        <sz val="10"/>
        <color rgb="FF000000"/>
        <rFont val="Noto Sans CJK SC"/>
        <family val="2"/>
      </rPr>
      <t xml:space="preserve">어느 공개 자료에서도 값을 찾지 못한 칸입니다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임의로 추정해 넣지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</si>
  <si>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맑은 고딕"/>
        <family val="0"/>
        <charset val="1"/>
      </rPr>
      <t xml:space="preserve">  2. </t>
    </r>
    <r>
      <rPr>
        <b val="true"/>
        <sz val="10"/>
        <color rgb="FF1F6E6A"/>
        <rFont val="Noto Sans CJK SC"/>
        <family val="2"/>
      </rPr>
      <t xml:space="preserve">시트 구성</t>
    </r>
  </si>
  <si>
    <t xml:space="preserve">시트</t>
  </si>
  <si>
    <t xml:space="preserve">원문 위치</t>
  </si>
  <si>
    <t xml:space="preserve">내용</t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</si>
  <si>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서비스 화면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</si>
  <si>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실적 추정 및 </t>
    </r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계산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분기별로 구분되어 있고 </t>
    </r>
    <r>
      <rPr>
        <sz val="10"/>
        <color rgb="FF000000"/>
        <rFont val="맑은 고딕"/>
        <family val="0"/>
        <charset val="1"/>
      </rPr>
      <t xml:space="preserve">2Q26E~4Q26E </t>
    </r>
    <r>
      <rPr>
        <sz val="10"/>
        <color rgb="FF000000"/>
        <rFont val="Noto Sans CJK SC"/>
        <family val="2"/>
      </rPr>
      <t xml:space="preserve">세 열만 사용자 입력을 받습니다</t>
    </r>
  </si>
  <si>
    <t xml:space="preserve">Target PER</t>
  </si>
  <si>
    <r>
      <rPr>
        <sz val="10"/>
        <color rgb="FF000000"/>
        <rFont val="Noto Sans CJK SC"/>
        <family val="2"/>
      </rPr>
      <t xml:space="preserve">멀티플 설정 및 목표주가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선정 방식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피어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할인율을 수정받아 </t>
    </r>
    <r>
      <rPr>
        <sz val="10"/>
        <color rgb="FF000000"/>
        <rFont val="맑은 고딕"/>
        <family val="0"/>
        <charset val="1"/>
      </rPr>
      <t xml:space="preserve">Target P/E → </t>
    </r>
    <r>
      <rPr>
        <sz val="10"/>
        <color rgb="FF000000"/>
        <rFont val="Noto Sans CJK SC"/>
        <family val="2"/>
      </rPr>
      <t xml:space="preserve">목표주가 → 상승여력 산출</t>
    </r>
  </si>
  <si>
    <r>
      <rPr>
        <sz val="10"/>
        <color rgb="FF000000"/>
        <rFont val="맑은 고딕"/>
        <family val="0"/>
        <charset val="1"/>
      </rPr>
      <t xml:space="preserve">M1_</t>
    </r>
    <r>
      <rPr>
        <sz val="10"/>
        <color rgb="FF000000"/>
        <rFont val="Noto Sans CJK SC"/>
        <family val="2"/>
      </rPr>
      <t xml:space="preserve">실적추정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모델</t>
    </r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</si>
  <si>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분석용 파생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</si>
  <si>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어플리케이션별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분기 영업이익 → 연간 손익 → </t>
    </r>
    <r>
      <rPr>
        <sz val="10"/>
        <color rgb="FF000000"/>
        <rFont val="맑은 고딕"/>
        <family val="0"/>
        <charset val="1"/>
      </rPr>
      <t xml:space="preserve">EPS·BPS·EBITDA </t>
    </r>
    <r>
      <rPr>
        <sz val="10"/>
        <color rgb="FF000000"/>
        <rFont val="Noto Sans CJK SC"/>
        <family val="2"/>
      </rPr>
      <t xml:space="preserve">상세 모델</t>
    </r>
  </si>
  <si>
    <r>
      <rPr>
        <sz val="10"/>
        <color rgb="FF000000"/>
        <rFont val="맑은 고딕"/>
        <family val="0"/>
        <charset val="1"/>
      </rPr>
      <t xml:space="preserve">M2_</t>
    </r>
    <r>
      <rPr>
        <sz val="10"/>
        <color rgb="FF000000"/>
        <rFont val="Noto Sans CJK SC"/>
        <family val="2"/>
      </rPr>
      <t xml:space="preserve">목표주가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타겟멀티플</t>
    </r>
  </si>
  <si>
    <r>
      <rPr>
        <sz val="10"/>
        <color rgb="FF000000"/>
        <rFont val="맑은 고딕"/>
        <family val="0"/>
        <charset val="1"/>
      </rPr>
      <t xml:space="preserve">PER·PBR·EV/EBITDA </t>
    </r>
    <r>
      <rPr>
        <sz val="10"/>
        <color rgb="FF000000"/>
        <rFont val="Noto Sans CJK SC"/>
        <family val="2"/>
      </rPr>
      <t xml:space="preserve">세 방식 목표주가와 가중평균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투자의견 자동 판정</t>
    </r>
  </si>
  <si>
    <r>
      <rPr>
        <sz val="10"/>
        <color rgb="FF000000"/>
        <rFont val="맑은 고딕"/>
        <family val="0"/>
        <charset val="1"/>
      </rPr>
      <t xml:space="preserve">M3_</t>
    </r>
    <r>
      <rPr>
        <sz val="10"/>
        <color rgb="FF000000"/>
        <rFont val="Noto Sans CJK SC"/>
        <family val="2"/>
      </rPr>
      <t xml:space="preserve">민감도분석</t>
    </r>
  </si>
  <si>
    <r>
      <rPr>
        <sz val="10"/>
        <color rgb="FF000000"/>
        <rFont val="Noto Sans CJK SC"/>
        <family val="2"/>
      </rPr>
      <t xml:space="preserve">할인율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 </t>
    </r>
    <r>
      <rPr>
        <sz val="10"/>
        <color rgb="FF000000"/>
        <rFont val="Noto Sans CJK SC"/>
        <family val="2"/>
      </rPr>
      <t xml:space="preserve">조합별 목표주가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상승여력 민감도</t>
    </r>
  </si>
  <si>
    <r>
      <rPr>
        <sz val="10"/>
        <color rgb="FF000000"/>
        <rFont val="맑은 고딕"/>
        <family val="0"/>
        <charset val="1"/>
      </rPr>
      <t xml:space="preserve">01_p1_</t>
    </r>
    <r>
      <rPr>
        <sz val="10"/>
        <color rgb="FF000000"/>
        <rFont val="Noto Sans CJK SC"/>
        <family val="2"/>
      </rPr>
      <t xml:space="preserve">투자의견</t>
    </r>
    <r>
      <rPr>
        <sz val="10"/>
        <color rgb="FF000000"/>
        <rFont val="맑은 고딕"/>
        <family val="0"/>
        <charset val="1"/>
      </rPr>
      <t xml:space="preserve">_KeyData</t>
    </r>
  </si>
  <si>
    <r>
      <rPr>
        <sz val="10"/>
        <color rgb="FF595959"/>
        <rFont val="맑은 고딕"/>
        <family val="0"/>
        <charset val="1"/>
      </rPr>
      <t xml:space="preserve">p.1 </t>
    </r>
    <r>
      <rPr>
        <sz val="10"/>
        <color rgb="FF595959"/>
        <rFont val="Noto Sans CJK SC"/>
        <family val="2"/>
      </rPr>
      <t xml:space="preserve">표지</t>
    </r>
  </si>
  <si>
    <r>
      <rPr>
        <sz val="10"/>
        <color rgb="FF000000"/>
        <rFont val="Noto Sans CJK SC"/>
        <family val="2"/>
      </rPr>
      <t xml:space="preserve">투자의견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목표주가</t>
    </r>
    <r>
      <rPr>
        <sz val="10"/>
        <color rgb="FF000000"/>
        <rFont val="맑은 고딕"/>
        <family val="0"/>
        <charset val="1"/>
      </rPr>
      <t xml:space="preserve">·Key Data (</t>
    </r>
    <r>
      <rPr>
        <sz val="10"/>
        <color rgb="FF000000"/>
        <rFont val="Noto Sans CJK SC"/>
        <family val="2"/>
      </rPr>
      <t xml:space="preserve">원문 행 순서 그대로</t>
    </r>
    <r>
      <rPr>
        <sz val="10"/>
        <color rgb="FF000000"/>
        <rFont val="맑은 고딕"/>
        <family val="0"/>
        <charset val="1"/>
      </rPr>
      <t xml:space="preserve">, 52</t>
    </r>
    <r>
      <rPr>
        <sz val="10"/>
        <color rgb="FF000000"/>
        <rFont val="Noto Sans CJK SC"/>
        <family val="2"/>
      </rPr>
      <t xml:space="preserve">주 최고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최저도 원문처럼 한 행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</si>
  <si>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02_p1_Consensus</t>
  </si>
  <si>
    <t xml:space="preserve">p.1 Consensus Data</t>
  </si>
  <si>
    <r>
      <rPr>
        <sz val="10"/>
        <color rgb="FF000000"/>
        <rFont val="Noto Sans CJK SC"/>
        <family val="2"/>
      </rPr>
      <t xml:space="preserve">시장 컨센서스 </t>
    </r>
    <r>
      <rPr>
        <sz val="10"/>
        <color rgb="FF000000"/>
        <rFont val="맑은 고딕"/>
        <family val="0"/>
        <charset val="1"/>
      </rPr>
      <t xml:space="preserve">(2025·2026)</t>
    </r>
  </si>
  <si>
    <r>
      <rPr>
        <sz val="10"/>
        <color rgb="FF000000"/>
        <rFont val="맑은 고딕"/>
        <family val="0"/>
        <charset val="1"/>
      </rPr>
      <t xml:space="preserve">03_p1_</t>
    </r>
    <r>
      <rPr>
        <sz val="10"/>
        <color rgb="FF000000"/>
        <rFont val="Noto Sans CJK SC"/>
        <family val="2"/>
      </rPr>
      <t xml:space="preserve">주가추이</t>
    </r>
  </si>
  <si>
    <t xml:space="preserve">p.1 Stock Price</t>
  </si>
  <si>
    <r>
      <rPr>
        <sz val="10"/>
        <color rgb="FF000000"/>
        <rFont val="Noto Sans CJK SC"/>
        <family val="2"/>
      </rPr>
      <t xml:space="preserve">표지 주가 차트 대체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분기말 종가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시가총액 </t>
    </r>
    <r>
      <rPr>
        <sz val="10"/>
        <color rgb="FF000000"/>
        <rFont val="맑은 고딕"/>
        <family val="0"/>
        <charset val="1"/>
      </rPr>
      <t xml:space="preserve">(1Q22~2Q26)</t>
    </r>
  </si>
  <si>
    <t xml:space="preserve">04_p1_FinancialData</t>
  </si>
  <si>
    <t xml:space="preserve">p.1 Financial Data</t>
  </si>
  <si>
    <r>
      <rPr>
        <sz val="10"/>
        <color rgb="FF000000"/>
        <rFont val="Noto Sans CJK SC"/>
        <family val="2"/>
      </rPr>
      <t xml:space="preserve">요약 투자지표 </t>
    </r>
    <r>
      <rPr>
        <sz val="10"/>
        <color rgb="FF000000"/>
        <rFont val="맑은 고딕"/>
        <family val="0"/>
        <charset val="1"/>
      </rPr>
      <t xml:space="preserve">(2023~2026F)</t>
    </r>
  </si>
  <si>
    <r>
      <rPr>
        <sz val="10"/>
        <color rgb="FF000000"/>
        <rFont val="맑은 고딕"/>
        <family val="0"/>
        <charset val="1"/>
      </rPr>
      <t xml:space="preserve">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</si>
  <si>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</si>
  <si>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밸류에이션</t>
    </r>
    <r>
      <rPr>
        <sz val="10"/>
        <color rgb="FF000000"/>
        <rFont val="맑은 고딕"/>
        <family val="0"/>
        <charset val="1"/>
      </rPr>
      <t xml:space="preserve">. EPS·</t>
    </r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P/E·</t>
    </r>
    <r>
      <rPr>
        <sz val="10"/>
        <color rgb="FF000000"/>
        <rFont val="Noto Sans CJK SC"/>
        <family val="2"/>
      </rPr>
      <t xml:space="preserve">할인율 → </t>
    </r>
    <r>
      <rPr>
        <sz val="10"/>
        <color rgb="FF000000"/>
        <rFont val="맑은 고딕"/>
        <family val="0"/>
        <charset val="1"/>
      </rPr>
      <t xml:space="preserve">Target P/E·</t>
    </r>
    <r>
      <rPr>
        <sz val="10"/>
        <color rgb="FF000000"/>
        <rFont val="Noto Sans CJK SC"/>
        <family val="2"/>
      </rPr>
      <t xml:space="preserve">목표주가</t>
    </r>
  </si>
  <si>
    <r>
      <rPr>
        <sz val="10"/>
        <color rgb="FF000000"/>
        <rFont val="맑은 고딕"/>
        <family val="0"/>
        <charset val="1"/>
      </rPr>
      <t xml:space="preserve">06_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2_PER_Band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</si>
  <si>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2</t>
    </r>
  </si>
  <si>
    <r>
      <rPr>
        <sz val="10"/>
        <color rgb="FF000000"/>
        <rFont val="맑은 고딕"/>
        <family val="0"/>
        <charset val="1"/>
      </rPr>
      <t xml:space="preserve">12MF P/E Band </t>
    </r>
    <r>
      <rPr>
        <sz val="10"/>
        <color rgb="FF000000"/>
        <rFont val="Noto Sans CJK SC"/>
        <family val="2"/>
      </rPr>
      <t xml:space="preserve">배수</t>
    </r>
  </si>
  <si>
    <r>
      <rPr>
        <sz val="10"/>
        <color rgb="FF000000"/>
        <rFont val="맑은 고딕"/>
        <family val="0"/>
        <charset val="1"/>
      </rPr>
      <t xml:space="preserve">07_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3_PBR_Band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</si>
  <si>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3</t>
    </r>
  </si>
  <si>
    <r>
      <rPr>
        <sz val="10"/>
        <color rgb="FF000000"/>
        <rFont val="맑은 고딕"/>
        <family val="0"/>
        <charset val="1"/>
      </rPr>
      <t xml:space="preserve">12MF P/B Band </t>
    </r>
    <r>
      <rPr>
        <sz val="10"/>
        <color rgb="FF000000"/>
        <rFont val="Noto Sans CJK SC"/>
        <family val="2"/>
      </rPr>
      <t xml:space="preserve">배수</t>
    </r>
  </si>
  <si>
    <r>
      <rPr>
        <sz val="10"/>
        <color rgb="FF000000"/>
        <rFont val="맑은 고딕"/>
        <family val="0"/>
        <charset val="1"/>
      </rPr>
      <t xml:space="preserve">08_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4_</t>
    </r>
    <r>
      <rPr>
        <sz val="10"/>
        <color rgb="FF000000"/>
        <rFont val="Noto Sans CJK SC"/>
        <family val="2"/>
      </rPr>
      <t xml:space="preserve">분기실적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수정후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</si>
  <si>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</si>
  <si>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분기별 실적 전망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</si>
  <si>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09_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5_</t>
    </r>
    <r>
      <rPr>
        <sz val="10"/>
        <color rgb="FF000000"/>
        <rFont val="Noto Sans CJK SC"/>
        <family val="2"/>
      </rPr>
      <t xml:space="preserve">분기실적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수정전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</si>
  <si>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5</t>
    </r>
  </si>
  <si>
    <r>
      <rPr>
        <sz val="10"/>
        <color rgb="FF000000"/>
        <rFont val="Noto Sans CJK SC"/>
        <family val="2"/>
      </rPr>
      <t xml:space="preserve">분기별 실적 전망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</si>
  <si>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10_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6_</t>
    </r>
    <r>
      <rPr>
        <sz val="10"/>
        <color rgb="FF000000"/>
        <rFont val="Noto Sans CJK SC"/>
        <family val="2"/>
      </rPr>
      <t xml:space="preserve">사업개요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시너지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</si>
  <si>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6</t>
    </r>
  </si>
  <si>
    <r>
      <rPr>
        <sz val="10"/>
        <color rgb="FF000000"/>
        <rFont val="Noto Sans CJK SC"/>
        <family val="2"/>
      </rPr>
      <t xml:space="preserve">아이세미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테크드림 사업개요 및 </t>
    </r>
    <r>
      <rPr>
        <sz val="10"/>
        <color rgb="FF000000"/>
        <rFont val="맑은 고딕"/>
        <family val="0"/>
        <charset val="1"/>
      </rPr>
      <t xml:space="preserve">ISC </t>
    </r>
    <r>
      <rPr>
        <sz val="10"/>
        <color rgb="FF000000"/>
        <rFont val="Noto Sans CJK SC"/>
        <family val="2"/>
      </rPr>
      <t xml:space="preserve">시너지</t>
    </r>
  </si>
  <si>
    <r>
      <rPr>
        <sz val="10"/>
        <color rgb="FF000000"/>
        <rFont val="맑은 고딕"/>
        <family val="0"/>
        <charset val="1"/>
      </rPr>
      <t xml:space="preserve">11_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7_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시가총액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</si>
  <si>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7</t>
    </r>
  </si>
  <si>
    <r>
      <rPr>
        <sz val="10"/>
        <color rgb="FF000000"/>
        <rFont val="Noto Sans CJK SC"/>
        <family val="2"/>
      </rPr>
      <t xml:space="preserve">분기 영업이익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분기말 시가총액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</si>
  <si>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12_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8_</t>
    </r>
    <r>
      <rPr>
        <sz val="10"/>
        <color rgb="FF000000"/>
        <rFont val="Noto Sans CJK SC"/>
        <family val="2"/>
      </rPr>
      <t xml:space="preserve">어플리케이션별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매출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</si>
  <si>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</si>
  <si>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어플리케이션별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비중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</si>
  <si>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13_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9_</t>
    </r>
    <r>
      <rPr>
        <sz val="10"/>
        <color rgb="FF000000"/>
        <rFont val="Noto Sans CJK SC"/>
        <family val="2"/>
      </rPr>
      <t xml:space="preserve">연간실적추이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</si>
  <si>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9</t>
    </r>
  </si>
  <si>
    <r>
      <rPr>
        <sz val="10"/>
        <color rgb="FF000000"/>
        <rFont val="Noto Sans CJK SC"/>
        <family val="2"/>
      </rPr>
      <t xml:space="preserve">연간 매출액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·OPM (2018~2027F).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</si>
  <si>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14_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10_</t>
    </r>
    <r>
      <rPr>
        <sz val="10"/>
        <color rgb="FF000000"/>
        <rFont val="Noto Sans CJK SC"/>
        <family val="2"/>
      </rPr>
      <t xml:space="preserve">소켓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비소켓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</si>
  <si>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10</t>
    </r>
  </si>
  <si>
    <r>
      <rPr>
        <sz val="10"/>
        <color rgb="FF000000"/>
        <rFont val="맑은 고딕"/>
        <family val="0"/>
        <charset val="1"/>
      </rPr>
      <t xml:space="preserve">Socket / Non-socket </t>
    </r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연간 매출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</si>
  <si>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15_p5_</t>
    </r>
    <r>
      <rPr>
        <sz val="10"/>
        <color rgb="FF000000"/>
        <rFont val="Noto Sans CJK SC"/>
        <family val="2"/>
      </rPr>
      <t xml:space="preserve">손익계산서</t>
    </r>
  </si>
  <si>
    <r>
      <rPr>
        <sz val="10"/>
        <color rgb="FF595959"/>
        <rFont val="맑은 고딕"/>
        <family val="0"/>
        <charset val="1"/>
      </rPr>
      <t xml:space="preserve">p.5 </t>
    </r>
    <r>
      <rPr>
        <sz val="10"/>
        <color rgb="FF595959"/>
        <rFont val="Noto Sans CJK SC"/>
        <family val="2"/>
      </rPr>
      <t xml:space="preserve">추정재무제표</t>
    </r>
  </si>
  <si>
    <r>
      <rPr>
        <sz val="10"/>
        <color rgb="FF000000"/>
        <rFont val="Noto Sans CJK SC"/>
        <family val="2"/>
      </rPr>
      <t xml:space="preserve">손익계산서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성장성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수익성 지표</t>
    </r>
  </si>
  <si>
    <r>
      <rPr>
        <sz val="10"/>
        <color rgb="FF000000"/>
        <rFont val="맑은 고딕"/>
        <family val="0"/>
        <charset val="1"/>
      </rPr>
      <t xml:space="preserve">16_p5_</t>
    </r>
    <r>
      <rPr>
        <sz val="10"/>
        <color rgb="FF000000"/>
        <rFont val="Noto Sans CJK SC"/>
        <family val="2"/>
      </rPr>
      <t xml:space="preserve">대차대조표</t>
    </r>
  </si>
  <si>
    <t xml:space="preserve">대차대조표</t>
  </si>
  <si>
    <r>
      <rPr>
        <sz val="10"/>
        <color rgb="FF000000"/>
        <rFont val="맑은 고딕"/>
        <family val="0"/>
        <charset val="1"/>
      </rPr>
      <t xml:space="preserve">17_p5_</t>
    </r>
    <r>
      <rPr>
        <sz val="10"/>
        <color rgb="FF000000"/>
        <rFont val="Noto Sans CJK SC"/>
        <family val="2"/>
      </rPr>
      <t xml:space="preserve">투자지표</t>
    </r>
  </si>
  <si>
    <r>
      <rPr>
        <sz val="10"/>
        <color rgb="FF000000"/>
        <rFont val="Noto Sans CJK SC"/>
        <family val="2"/>
      </rPr>
      <t xml:space="preserve">주당지표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주가지표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재무비율</t>
    </r>
  </si>
  <si>
    <r>
      <rPr>
        <sz val="10"/>
        <color rgb="FF000000"/>
        <rFont val="맑은 고딕"/>
        <family val="0"/>
        <charset val="1"/>
      </rPr>
      <t xml:space="preserve">18_p5_</t>
    </r>
    <r>
      <rPr>
        <sz val="10"/>
        <color rgb="FF000000"/>
        <rFont val="Noto Sans CJK SC"/>
        <family val="2"/>
      </rPr>
      <t xml:space="preserve">현금흐름표</t>
    </r>
  </si>
  <si>
    <t xml:space="preserve">현금흐름표</t>
  </si>
  <si>
    <r>
      <rPr>
        <sz val="10"/>
        <color rgb="FF000000"/>
        <rFont val="맑은 고딕"/>
        <family val="0"/>
        <charset val="1"/>
      </rPr>
      <t xml:space="preserve">19_p6_</t>
    </r>
    <r>
      <rPr>
        <sz val="10"/>
        <color rgb="FF000000"/>
        <rFont val="Noto Sans CJK SC"/>
        <family val="2"/>
      </rPr>
      <t xml:space="preserve">투자의견변동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괴리율</t>
    </r>
  </si>
  <si>
    <t xml:space="preserve">p.6</t>
  </si>
  <si>
    <t xml:space="preserve">투자의견 변동 내역 및 목표주가 괴리율</t>
  </si>
  <si>
    <r>
      <rPr>
        <sz val="10"/>
        <color rgb="FF000000"/>
        <rFont val="맑은 고딕"/>
        <family val="0"/>
        <charset val="1"/>
      </rPr>
      <t xml:space="preserve">20_p6_</t>
    </r>
    <r>
      <rPr>
        <sz val="10"/>
        <color rgb="FF000000"/>
        <rFont val="Noto Sans CJK SC"/>
        <family val="2"/>
      </rPr>
      <t xml:space="preserve">투자등급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비율공시</t>
    </r>
  </si>
  <si>
    <t xml:space="preserve">투자등급 분류 기준 및 투자의견 비율공시</t>
  </si>
  <si>
    <r>
      <rPr>
        <sz val="10"/>
        <color rgb="FF000000"/>
        <rFont val="맑은 고딕"/>
        <family val="0"/>
        <charset val="1"/>
      </rPr>
      <t xml:space="preserve">D1_</t>
    </r>
    <r>
      <rPr>
        <sz val="10"/>
        <color rgb="FF000000"/>
        <rFont val="Noto Sans CJK SC"/>
        <family val="2"/>
      </rPr>
      <t xml:space="preserve">컨센서스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괴리율</t>
    </r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</si>
  <si>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파생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</si>
  <si>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하나증권 추정치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컨센서스 괴리율 — 원문에 없음</t>
    </r>
  </si>
  <si>
    <r>
      <rPr>
        <sz val="10"/>
        <color rgb="FF000000"/>
        <rFont val="맑은 고딕"/>
        <family val="0"/>
        <charset val="1"/>
      </rPr>
      <t xml:space="preserve">D2_</t>
    </r>
    <r>
      <rPr>
        <sz val="10"/>
        <color rgb="FF000000"/>
        <rFont val="Noto Sans CJK SC"/>
        <family val="2"/>
      </rPr>
      <t xml:space="preserve">추정치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변경폭</t>
    </r>
  </si>
  <si>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4 vs </t>
    </r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비교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추정치 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하향 폭 — 원문에 없음</t>
    </r>
  </si>
  <si>
    <r>
      <rPr>
        <sz val="10"/>
        <color rgb="FF000000"/>
        <rFont val="맑은 고딕"/>
        <family val="0"/>
        <charset val="1"/>
      </rPr>
      <t xml:space="preserve">D3_</t>
    </r>
    <r>
      <rPr>
        <sz val="10"/>
        <color rgb="FF000000"/>
        <rFont val="Noto Sans CJK SC"/>
        <family val="2"/>
      </rPr>
      <t xml:space="preserve">매출분해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대체분류</t>
    </r>
  </si>
  <si>
    <r>
      <rPr>
        <sz val="10"/>
        <color rgb="FF000000"/>
        <rFont val="Noto Sans CJK SC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비메모리</t>
    </r>
    <r>
      <rPr>
        <sz val="10"/>
        <color rgb="FF000000"/>
        <rFont val="맑은 고딕"/>
        <family val="0"/>
        <charset val="1"/>
      </rPr>
      <t xml:space="preserve">, AI/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 분해 — 원문에 없음</t>
    </r>
  </si>
  <si>
    <r>
      <rPr>
        <sz val="10"/>
        <color rgb="FF000000"/>
        <rFont val="맑은 고딕"/>
        <family val="0"/>
        <charset val="1"/>
      </rPr>
      <t xml:space="preserve">Z_</t>
    </r>
    <r>
      <rPr>
        <sz val="10"/>
        <color rgb="FF000000"/>
        <rFont val="Noto Sans CJK SC"/>
        <family val="2"/>
      </rPr>
      <t xml:space="preserve">출처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공시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리서치</t>
    </r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</si>
  <si>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부록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</si>
  <si>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외부에서 끌어온 수치의 출처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미확보 구간</t>
    </r>
    <r>
      <rPr>
        <sz val="10"/>
        <color rgb="FF000000"/>
        <rFont val="맑은 고딕"/>
        <family val="0"/>
        <charset val="1"/>
      </rPr>
      <t xml:space="preserve">, ISC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DART </t>
    </r>
    <r>
      <rPr>
        <sz val="10"/>
        <color rgb="FF000000"/>
        <rFont val="Noto Sans CJK SC"/>
        <family val="2"/>
      </rPr>
      <t xml:space="preserve">공시 정보</t>
    </r>
  </si>
  <si>
    <r>
      <rPr>
        <b val="true"/>
        <sz val="10"/>
        <color rgb="FF1F6E6A"/>
        <rFont val="맑은 고딕"/>
        <family val="0"/>
        <charset val="1"/>
      </rPr>
      <t xml:space="preserve">  3. </t>
    </r>
    <r>
      <rPr>
        <b val="true"/>
        <sz val="10"/>
        <color rgb="FF1F6E6A"/>
        <rFont val="Noto Sans CJK SC"/>
        <family val="2"/>
      </rPr>
      <t xml:space="preserve">읽을 때 유의사항</t>
    </r>
  </si>
  <si>
    <t xml:space="preserve">•</t>
  </si>
  <si>
    <r>
      <rPr>
        <sz val="10"/>
        <color rgb="FF000000"/>
        <rFont val="Noto Sans CJK SC"/>
        <family val="2"/>
      </rPr>
      <t xml:space="preserve">보고서 본문의 줄글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텍스트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요청에 따라 제외했고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표에 인쇄된 수치만 시트로 옮겼습니다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</si>
  <si>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탭 색으로 성격을 구분했습니다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노랑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서비스 화면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입력받는 시트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주황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분석용 파생 모델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청록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리포트 원문 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그래프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보라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원문에 없는 파생 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회색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안내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부록입니다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</si>
  <si>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리포트에 실린 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그래프는 하나당 시트 하나씩 들어가 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표 형태도 원문에 최대한 맞췄습니다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대조용 「정합성 체크」는 각 시트 맨 아래에 구분해서 붙였습니다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</si>
  <si>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시트 순서는 리포트에 나오는 순서를 따랐습니다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앞의 </t>
    </r>
    <r>
      <rPr>
        <sz val="10"/>
        <color rgb="FF000000"/>
        <rFont val="맑은 고딕"/>
        <family val="0"/>
        <charset val="1"/>
      </rPr>
      <t xml:space="preserve">01~03</t>
    </r>
    <r>
      <rPr>
        <sz val="10"/>
        <color rgb="FF000000"/>
        <rFont val="Noto Sans CJK SC"/>
        <family val="2"/>
      </rPr>
      <t xml:space="preserve">번만 예외로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실제로 값을 넣어 쓰는 모델이라 맨 앞에 뒀습니다</t>
    </r>
    <r>
      <rPr>
        <sz val="10"/>
        <color rgb="FF000000"/>
        <rFont val="맑은 고딕"/>
        <family val="0"/>
        <charset val="1"/>
      </rPr>
      <t xml:space="preserve">. 01</t>
    </r>
    <r>
      <rPr>
        <sz val="10"/>
        <color rgb="FF000000"/>
        <rFont val="Noto Sans CJK SC"/>
        <family val="2"/>
      </rPr>
      <t xml:space="preserve">에서 실적을 추정하면 그 </t>
    </r>
    <r>
      <rPr>
        <sz val="10"/>
        <color rgb="FF000000"/>
        <rFont val="맑은 고딕"/>
        <family val="0"/>
        <charset val="1"/>
      </rPr>
      <t xml:space="preserve">EPS·BPS·EBITDA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02</t>
    </r>
    <r>
      <rPr>
        <sz val="10"/>
        <color rgb="FF000000"/>
        <rFont val="Noto Sans CJK SC"/>
        <family val="2"/>
      </rPr>
      <t xml:space="preserve">로 넘어가 목표주가가 나옵니다 </t>
    </r>
    <r>
      <rPr>
        <sz val="10"/>
        <color rgb="FF000000"/>
        <rFont val="맑은 고딕"/>
        <family val="0"/>
        <charset val="1"/>
      </rPr>
      <t xml:space="preserve">(04</t>
    </r>
    <r>
      <rPr>
        <sz val="10"/>
        <color rgb="FF000000"/>
        <rFont val="Noto Sans CJK SC"/>
        <family val="2"/>
      </rPr>
      <t xml:space="preserve">번 이후 원문 시트와 내용이 일부 중복됩니다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</si>
  <si>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7~10</t>
    </r>
    <r>
      <rPr>
        <sz val="10"/>
        <color rgb="FF000000"/>
        <rFont val="Noto Sans CJK SC"/>
        <family val="2"/>
      </rPr>
      <t xml:space="preserve">은 각각 한 시트씩 독립되어 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리포트 표에 없는 수치는 공시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리서치 자료에서 확보해 파란 글씨로 채웠습니다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각 시트 하단에 셀 단위 출처 블록이 있고</t>
    </r>
    <r>
      <rPr>
        <sz val="10"/>
        <color rgb="FF000000"/>
        <rFont val="맑은 고딕"/>
        <family val="0"/>
        <charset val="1"/>
      </rPr>
      <t xml:space="preserve">, 24</t>
    </r>
    <r>
      <rPr>
        <sz val="10"/>
        <color rgb="FF000000"/>
        <rFont val="Noto Sans CJK SC"/>
        <family val="2"/>
      </rPr>
      <t xml:space="preserve">번 시트에 전체 출처와 미확보 구간을 정리했습니다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</si>
  <si>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각 표 시트 하단에는 「정합성 체크」 블록이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숫자를 수식으로 다시 계산해 원문과 대조하며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차이는 보고서 자체의 반올림 표기 차이입니다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년 매출 </t>
    </r>
    <r>
      <rPr>
        <sz val="10"/>
        <color rgb="FF000000"/>
        <rFont val="맑은 고딕"/>
        <family val="0"/>
        <charset val="1"/>
      </rPr>
      <t xml:space="preserve">220.1 vs </t>
    </r>
    <r>
      <rPr>
        <sz val="10"/>
        <color rgb="FF000000"/>
        <rFont val="Noto Sans CJK SC"/>
        <family val="2"/>
      </rPr>
      <t xml:space="preserve">분기 합 </t>
    </r>
    <r>
      <rPr>
        <sz val="10"/>
        <color rgb="FF000000"/>
        <rFont val="맑은 고딕"/>
        <family val="0"/>
        <charset val="1"/>
      </rPr>
      <t xml:space="preserve">220.2).</t>
    </r>
  </si>
  <si>
    <r>
      <rPr>
        <sz val="10"/>
        <color rgb="FF000000"/>
        <rFont val="Noto Sans CJK SC"/>
        <family val="2"/>
      </rPr>
      <t xml:space="preserve">밸류에이션에 쓰인 </t>
    </r>
    <r>
      <rPr>
        <sz val="10"/>
        <color rgb="FF000000"/>
        <rFont val="맑은 고딕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년 예상 </t>
    </r>
    <r>
      <rPr>
        <sz val="10"/>
        <color rgb="FF000000"/>
        <rFont val="맑은 고딕"/>
        <family val="0"/>
        <charset val="1"/>
      </rPr>
      <t xml:space="preserve">EPS 4,025</t>
    </r>
    <r>
      <rPr>
        <sz val="10"/>
        <color rgb="FF000000"/>
        <rFont val="Noto Sans CJK SC"/>
        <family val="2"/>
      </rPr>
      <t xml:space="preserve">원은 추정재무제표의 </t>
    </r>
    <r>
      <rPr>
        <sz val="10"/>
        <color rgb="FF000000"/>
        <rFont val="맑은 고딕"/>
        <family val="0"/>
        <charset val="1"/>
      </rPr>
      <t xml:space="preserve">2026F EPS 3,850</t>
    </r>
    <r>
      <rPr>
        <sz val="10"/>
        <color rgb="FF000000"/>
        <rFont val="Noto Sans CJK SC"/>
        <family val="2"/>
      </rPr>
      <t xml:space="preserve">원과 다릅니다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도표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의 값을 그대로 사용했으며</t>
    </r>
    <r>
      <rPr>
        <sz val="10"/>
        <color rgb="FF000000"/>
        <rFont val="맑은 고딕"/>
        <family val="0"/>
        <charset val="1"/>
      </rPr>
      <t xml:space="preserve">, 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 </t>
    </r>
    <r>
      <rPr>
        <sz val="10"/>
        <color rgb="FF000000"/>
        <rFont val="Noto Sans CJK SC"/>
        <family val="2"/>
      </rPr>
      <t xml:space="preserve">시트에서 두 값을 나란히 비교해 두었습니다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</si>
  <si>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백분율은 모두 소수</t>
    </r>
    <r>
      <rPr>
        <sz val="10"/>
        <color rgb="FF000000"/>
        <rFont val="맑은 고딕"/>
        <family val="0"/>
        <charset val="1"/>
      </rPr>
      <t xml:space="preserve">(0.26 = 26%)</t>
    </r>
    <r>
      <rPr>
        <sz val="10"/>
        <color rgb="FF000000"/>
        <rFont val="Noto Sans CJK SC"/>
        <family val="2"/>
      </rPr>
      <t xml:space="preserve">로 저장하고 표시 형식만 </t>
    </r>
    <r>
      <rPr>
        <sz val="10"/>
        <color rgb="FF000000"/>
        <rFont val="맑은 고딕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로 지정했습니다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수식에 바로 쓸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</si>
  <si>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음수는 회계 관례에 따라 괄호로</t>
    </r>
    <r>
      <rPr>
        <sz val="10"/>
        <color rgb="FF000000"/>
        <rFont val="맑은 고딕"/>
        <family val="0"/>
        <charset val="1"/>
      </rPr>
      <t xml:space="preserve">, 0</t>
    </r>
    <r>
      <rPr>
        <sz val="10"/>
        <color rgb="FF000000"/>
        <rFont val="Noto Sans CJK SC"/>
        <family val="2"/>
      </rPr>
      <t xml:space="preserve">은 「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」로 표시됩니다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</si>
  <si>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입력 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연노랑 </t>
    </r>
    <r>
      <rPr>
        <sz val="10"/>
        <color rgb="FF000000"/>
        <rFont val="맑은 고딕"/>
        <family val="0"/>
        <charset val="1"/>
      </rPr>
      <t xml:space="preserve">FFF2CC + </t>
    </r>
    <r>
      <rPr>
        <sz val="10"/>
        <color rgb="FF000000"/>
        <rFont val="Noto Sans CJK SC"/>
        <family val="2"/>
      </rPr>
      <t xml:space="preserve">파란 글씨 </t>
    </r>
    <r>
      <rPr>
        <sz val="10"/>
        <color rgb="FF000000"/>
        <rFont val="맑은 고딕"/>
        <family val="0"/>
        <charset val="1"/>
      </rPr>
      <t xml:space="preserve">0000FF)</t>
    </r>
    <r>
      <rPr>
        <sz val="10"/>
        <color rgb="FF000000"/>
        <rFont val="Noto Sans CJK SC"/>
        <family val="2"/>
      </rPr>
      <t xml:space="preserve">은 기존 모델링 파일과 같은 색상을 씁니다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연청회색 칸은 서비스가 공시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시장 데이터에서 자동으로 채울 과거 확정치이므로 사용자 입력 대상이 아닙니다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</si>
  <si>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2·3</t>
    </r>
    <r>
      <rPr>
        <sz val="10"/>
        <color rgb="FF000000"/>
        <rFont val="Noto Sans CJK SC"/>
        <family val="2"/>
      </rPr>
      <t xml:space="preserve">은 주가 시계열이 인쇄되지 않아 밴드 배수만 </t>
    </r>
    <r>
      <rPr>
        <sz val="10"/>
        <color rgb="FF000000"/>
        <rFont val="맑은 고딕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번 시트에 기록했습니다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회색으로 칠한 칸은 어느 공개 자료에서도 확보하지 못한 구간이라는 뜻이며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임의로 추정해 넣지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</si>
  <si>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본 파일은 하나증권 리서치 자료를 정리한 학습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분석용 자료이며 투자 권유가 아닙니다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</si>
  <si>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실적 추정 모델  </t>
    </r>
    <r>
      <rPr>
        <b val="true"/>
        <sz val="13"/>
        <color rgb="FF1F6E6A"/>
        <rFont val="맑은 고딕"/>
        <family val="0"/>
        <charset val="1"/>
      </rPr>
      <t xml:space="preserve">(Earnings Estimate)</t>
    </r>
  </si>
  <si>
    <r>
      <rPr>
        <i val="true"/>
        <sz val="9"/>
        <color rgb="FF595959"/>
        <rFont val="Noto Sans CJK SC"/>
        <family val="2"/>
      </rPr>
      <t xml:space="preserve">연노랑 칸만 애널리스트가 입력하는 다음 분기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연도 추정치입니다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연청회색 칸은 공시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시장 데이터에서 자동으로 채워지는 과거 확정치라 손댈 필요가 없습니다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노랑 칸을 바꾸면 연간 손익 → </t>
    </r>
    <r>
      <rPr>
        <i val="true"/>
        <sz val="9"/>
        <color rgb="FF595959"/>
        <rFont val="맑은 고딕"/>
        <family val="0"/>
        <charset val="1"/>
      </rPr>
      <t xml:space="preserve">EPS·BPS·EBITDA</t>
    </r>
    <r>
      <rPr>
        <i val="true"/>
        <sz val="9"/>
        <color rgb="FF595959"/>
        <rFont val="Noto Sans CJK SC"/>
        <family val="2"/>
      </rPr>
      <t xml:space="preserve">까지 다시 계산되고 </t>
    </r>
    <r>
      <rPr>
        <i val="true"/>
        <sz val="9"/>
        <color rgb="FF595959"/>
        <rFont val="맑은 고딕"/>
        <family val="0"/>
        <charset val="1"/>
      </rPr>
      <t xml:space="preserve">M2_</t>
    </r>
    <r>
      <rPr>
        <i val="true"/>
        <sz val="9"/>
        <color rgb="FF595959"/>
        <rFont val="Noto Sans CJK SC"/>
        <family val="2"/>
      </rPr>
      <t xml:space="preserve">목표주가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타겟멀티플 시트에 반영됩니다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</si>
  <si>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  ⓞ 공통 가정</t>
  </si>
  <si>
    <t xml:space="preserve">입력값</t>
  </si>
  <si>
    <t xml:space="preserve">단위</t>
  </si>
  <si>
    <t xml:space="preserve">비고</t>
  </si>
  <si>
    <t xml:space="preserve">발행주식수</t>
  </si>
  <si>
    <t xml:space="preserve">천주</t>
  </si>
  <si>
    <r>
      <rPr>
        <sz val="9"/>
        <color rgb="FF595959"/>
        <rFont val="Noto Sans CJK SC"/>
        <family val="2"/>
      </rPr>
      <t xml:space="preserve">공시 자동 수집값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사용자 입력 대상 아님</t>
    </r>
    <r>
      <rPr>
        <sz val="9"/>
        <color rgb="FF595959"/>
        <rFont val="맑은 고딕"/>
        <family val="0"/>
        <charset val="1"/>
      </rPr>
      <t xml:space="preserve">). 01_p1_</t>
    </r>
    <r>
      <rPr>
        <sz val="9"/>
        <color rgb="FF595959"/>
        <rFont val="Noto Sans CJK SC"/>
        <family val="2"/>
      </rPr>
      <t xml:space="preserve">투자의견</t>
    </r>
    <r>
      <rPr>
        <sz val="9"/>
        <color rgb="FF595959"/>
        <rFont val="맑은 고딕"/>
        <family val="0"/>
        <charset val="1"/>
      </rPr>
      <t xml:space="preserve">_KeyData </t>
    </r>
    <r>
      <rPr>
        <sz val="9"/>
        <color rgb="FF595959"/>
        <rFont val="Noto Sans CJK SC"/>
        <family val="2"/>
      </rPr>
      <t xml:space="preserve">시트의 발행주식수</t>
    </r>
    <r>
      <rPr>
        <sz val="9"/>
        <color rgb="FF595959"/>
        <rFont val="맑은 고딕"/>
        <family val="0"/>
        <charset val="1"/>
      </rPr>
      <t xml:space="preserve">, 2026.02.04 </t>
    </r>
    <r>
      <rPr>
        <sz val="9"/>
        <color rgb="FF595959"/>
        <rFont val="Noto Sans CJK SC"/>
        <family val="2"/>
      </rPr>
      <t xml:space="preserve">기준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주당지표 계산의 분모입니다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</si>
  <si>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분기 실적 </t>
    </r>
    <r>
      <rPr>
        <b val="true"/>
        <sz val="10"/>
        <color rgb="FF1F6E6A"/>
        <rFont val="맑은 고딕"/>
        <family val="0"/>
        <charset val="1"/>
      </rPr>
      <t xml:space="preserve">(Forward EPS </t>
    </r>
    <r>
      <rPr>
        <b val="true"/>
        <sz val="10"/>
        <color rgb="FF1F6E6A"/>
        <rFont val="Noto Sans CJK SC"/>
        <family val="2"/>
      </rPr>
      <t xml:space="preserve">시트 연동 — </t>
    </r>
    <r>
      <rPr>
        <b val="true"/>
        <sz val="10"/>
        <color rgb="FF1F6E6A"/>
        <rFont val="맑은 고딕"/>
        <family val="0"/>
        <charset val="1"/>
      </rPr>
      <t xml:space="preserve">2025</t>
    </r>
    <r>
      <rPr>
        <b val="true"/>
        <sz val="10"/>
        <color rgb="FF1F6E6A"/>
        <rFont val="Noto Sans CJK SC"/>
        <family val="2"/>
      </rPr>
      <t xml:space="preserve">년 확정 </t>
    </r>
    <r>
      <rPr>
        <b val="true"/>
        <sz val="10"/>
        <color rgb="FF1F6E6A"/>
        <rFont val="맑은 고딕"/>
        <family val="0"/>
        <charset val="1"/>
      </rPr>
      <t xml:space="preserve">/ 2026</t>
    </r>
    <r>
      <rPr>
        <b val="true"/>
        <sz val="10"/>
        <color rgb="FF1F6E6A"/>
        <rFont val="Noto Sans CJK SC"/>
        <family val="2"/>
      </rPr>
      <t xml:space="preserve">년 추정 입력 모두 </t>
    </r>
    <r>
      <rPr>
        <b val="true"/>
        <sz val="10"/>
        <color rgb="FF1F6E6A"/>
        <rFont val="맑은 고딕"/>
        <family val="0"/>
        <charset val="1"/>
      </rPr>
      <t xml:space="preserve">Forward EPS </t>
    </r>
    <r>
      <rPr>
        <b val="true"/>
        <sz val="10"/>
        <color rgb="FF1F6E6A"/>
        <rFont val="Noto Sans CJK SC"/>
        <family val="2"/>
      </rPr>
      <t xml:space="preserve">에서 받습니다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</si>
  <si>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1Q26F</t>
  </si>
  <si>
    <t xml:space="preserve">2Q26F</t>
  </si>
  <si>
    <t xml:space="preserve">3Q26F</t>
  </si>
  <si>
    <t xml:space="preserve">4Q26F</t>
  </si>
  <si>
    <t xml:space="preserve">2025F</t>
  </si>
  <si>
    <t xml:space="preserve">2026F</t>
  </si>
  <si>
    <t xml:space="preserve">십억원</t>
  </si>
  <si>
    <t xml:space="preserve">    YoY</t>
  </si>
  <si>
    <t xml:space="preserve">%</t>
  </si>
  <si>
    <t xml:space="preserve">    QoQ</t>
  </si>
  <si>
    <t xml:space="preserve">    OPM</t>
  </si>
  <si>
    <r>
      <rPr>
        <sz val="10"/>
        <color rgb="FF000000"/>
        <rFont val="Noto Sans CJK SC"/>
        <family val="2"/>
      </rPr>
      <t xml:space="preserve">    영업이익 </t>
    </r>
    <r>
      <rPr>
        <sz val="10"/>
        <color rgb="FF000000"/>
        <rFont val="맑은 고딕"/>
        <family val="0"/>
        <charset val="1"/>
      </rPr>
      <t xml:space="preserve">YoY</t>
    </r>
  </si>
  <si>
    <r>
      <rPr>
        <sz val="10"/>
        <color rgb="FF000000"/>
        <rFont val="Noto Sans CJK SC"/>
        <family val="2"/>
      </rPr>
      <t xml:space="preserve">  원문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4) </t>
    </r>
    <r>
      <rPr>
        <sz val="10"/>
        <color rgb="FF000000"/>
        <rFont val="Noto Sans CJK SC"/>
        <family val="2"/>
      </rPr>
      <t xml:space="preserve">매출액 대비 차이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</si>
  <si>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매출액은 어플리케이션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개 항목의 합으로 계산합니다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원문 도표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의 매출액과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내외 차이가 나는 것은 보고서가 각 항목을 소수 첫째자리로 반올림해 인쇄했기 때문입니다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</si>
  <si>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② 연간 실적 추정 → </t>
    </r>
    <r>
      <rPr>
        <b val="true"/>
        <sz val="10"/>
        <color rgb="FF1F6E6A"/>
        <rFont val="맑은 고딕"/>
        <family val="0"/>
        <charset val="1"/>
      </rPr>
      <t xml:space="preserve">EPS·BPS·EBITDA </t>
    </r>
    <r>
      <rPr>
        <b val="true"/>
        <sz val="10"/>
        <color rgb="FF1F6E6A"/>
        <rFont val="Noto Sans CJK SC"/>
        <family val="2"/>
      </rPr>
      <t xml:space="preserve">도출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연청회색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공시 확정치 </t>
    </r>
    <r>
      <rPr>
        <b val="true"/>
        <sz val="10"/>
        <color rgb="FF1F6E6A"/>
        <rFont val="맑은 고딕"/>
        <family val="0"/>
        <charset val="1"/>
      </rPr>
      <t xml:space="preserve">/ </t>
    </r>
    <r>
      <rPr>
        <b val="true"/>
        <sz val="10"/>
        <color rgb="FF1F6E6A"/>
        <rFont val="Noto Sans CJK SC"/>
        <family val="2"/>
      </rPr>
      <t xml:space="preserve">노랑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애널리스트 추정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</si>
  <si>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2023</t>
  </si>
  <si>
    <t xml:space="preserve">2024</t>
  </si>
  <si>
    <t xml:space="preserve">2027F</t>
  </si>
  <si>
    <r>
      <rPr>
        <sz val="9"/>
        <color rgb="FF595959"/>
        <rFont val="맑은 고딕"/>
        <family val="0"/>
        <charset val="1"/>
      </rPr>
      <t xml:space="preserve">2023·24</t>
    </r>
    <r>
      <rPr>
        <sz val="9"/>
        <color rgb="FF595959"/>
        <rFont val="Noto Sans CJK SC"/>
        <family val="2"/>
      </rPr>
      <t xml:space="preserve">는 </t>
    </r>
    <r>
      <rPr>
        <sz val="9"/>
        <color rgb="FF595959"/>
        <rFont val="맑은 고딕"/>
        <family val="0"/>
        <charset val="1"/>
      </rPr>
      <t xml:space="preserve">15_p5_</t>
    </r>
    <r>
      <rPr>
        <sz val="9"/>
        <color rgb="FF595959"/>
        <rFont val="Noto Sans CJK SC"/>
        <family val="2"/>
      </rPr>
      <t xml:space="preserve">손익계산서</t>
    </r>
    <r>
      <rPr>
        <sz val="9"/>
        <color rgb="FF595959"/>
        <rFont val="맑은 고딕"/>
        <family val="0"/>
        <charset val="1"/>
      </rPr>
      <t xml:space="preserve">, 2025F·26F</t>
    </r>
    <r>
      <rPr>
        <sz val="9"/>
        <color rgb="FF595959"/>
        <rFont val="Noto Sans CJK SC"/>
        <family val="2"/>
      </rPr>
      <t xml:space="preserve">는 ①의 분기 합계</t>
    </r>
    <r>
      <rPr>
        <sz val="9"/>
        <color rgb="FF595959"/>
        <rFont val="맑은 고딕"/>
        <family val="0"/>
        <charset val="1"/>
      </rPr>
      <t xml:space="preserve">, 2027F</t>
    </r>
    <r>
      <rPr>
        <sz val="9"/>
        <color rgb="FF595959"/>
        <rFont val="Noto Sans CJK SC"/>
        <family val="2"/>
      </rPr>
      <t xml:space="preserve">는 아래 성장률 적용</t>
    </r>
  </si>
  <si>
    <t xml:space="preserve">    매출 성장률</t>
  </si>
  <si>
    <t xml:space="preserve">n/a</t>
  </si>
  <si>
    <r>
      <rPr>
        <sz val="9"/>
        <color rgb="FF595959"/>
        <rFont val="맑은 고딕"/>
        <family val="0"/>
        <charset val="1"/>
      </rPr>
      <t xml:space="preserve">2027F</t>
    </r>
    <r>
      <rPr>
        <sz val="9"/>
        <color rgb="FF595959"/>
        <rFont val="Noto Sans CJK SC"/>
        <family val="2"/>
      </rPr>
      <t xml:space="preserve">만 입력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2027F </t>
    </r>
    <r>
      <rPr>
        <sz val="9"/>
        <color rgb="FF595959"/>
        <rFont val="Noto Sans CJK SC"/>
        <family val="2"/>
      </rPr>
      <t xml:space="preserve">매출 </t>
    </r>
    <r>
      <rPr>
        <sz val="9"/>
        <color rgb="FF595959"/>
        <rFont val="맑은 고딕"/>
        <family val="0"/>
        <charset val="1"/>
      </rPr>
      <t xml:space="preserve">373.1</t>
    </r>
    <r>
      <rPr>
        <sz val="9"/>
        <color rgb="FF595959"/>
        <rFont val="Noto Sans CJK SC"/>
        <family val="2"/>
      </rPr>
      <t xml:space="preserve">십억원에 해당하는 성장률</t>
    </r>
  </si>
  <si>
    <r>
      <rPr>
        <sz val="9"/>
        <color rgb="FF595959"/>
        <rFont val="맑은 고딕"/>
        <family val="0"/>
        <charset val="1"/>
      </rPr>
      <t xml:space="preserve">2027F</t>
    </r>
    <r>
      <rPr>
        <sz val="9"/>
        <color rgb="FF595959"/>
        <rFont val="Noto Sans CJK SC"/>
        <family val="2"/>
      </rPr>
      <t xml:space="preserve">만 입력</t>
    </r>
    <r>
      <rPr>
        <sz val="9"/>
        <color rgb="FF595959"/>
        <rFont val="맑은 고딕"/>
        <family val="0"/>
        <charset val="1"/>
      </rPr>
      <t xml:space="preserve">. 2025F·26F</t>
    </r>
    <r>
      <rPr>
        <sz val="9"/>
        <color rgb="FF595959"/>
        <rFont val="Noto Sans CJK SC"/>
        <family val="2"/>
      </rPr>
      <t xml:space="preserve">는 ①의 분기 합계 기준</t>
    </r>
  </si>
  <si>
    <r>
      <rPr>
        <sz val="9"/>
        <color rgb="FF595959"/>
        <rFont val="맑은 고딕"/>
        <family val="0"/>
        <charset val="1"/>
      </rPr>
      <t xml:space="preserve">2027F = </t>
    </r>
    <r>
      <rPr>
        <sz val="9"/>
        <color rgb="FF595959"/>
        <rFont val="Noto Sans CJK SC"/>
        <family val="2"/>
      </rPr>
      <t xml:space="preserve">매출액 </t>
    </r>
    <r>
      <rPr>
        <sz val="9"/>
        <color rgb="FF595959"/>
        <rFont val="맑은 고딕"/>
        <family val="0"/>
        <charset val="1"/>
      </rPr>
      <t xml:space="preserve">× OPM</t>
    </r>
  </si>
  <si>
    <t xml:space="preserve">영업외손익 합계</t>
  </si>
  <si>
    <r>
      <rPr>
        <sz val="9"/>
        <color rgb="FF595959"/>
        <rFont val="맑은 고딕"/>
        <family val="0"/>
        <charset val="1"/>
      </rPr>
      <t xml:space="preserve">2023·24</t>
    </r>
    <r>
      <rPr>
        <sz val="9"/>
        <color rgb="FF595959"/>
        <rFont val="Noto Sans CJK SC"/>
        <family val="2"/>
      </rPr>
      <t xml:space="preserve">는 공시 확정치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연청회색</t>
    </r>
    <r>
      <rPr>
        <sz val="9"/>
        <color rgb="FF595959"/>
        <rFont val="맑은 고딕"/>
        <family val="0"/>
        <charset val="1"/>
      </rPr>
      <t xml:space="preserve">), 2025F~</t>
    </r>
    <r>
      <rPr>
        <sz val="9"/>
        <color rgb="FF595959"/>
        <rFont val="Noto Sans CJK SC"/>
        <family val="2"/>
      </rPr>
      <t xml:space="preserve">는 애널리스트 추정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노랑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금융손익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종속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관계기업손익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기타영업외손익</t>
    </r>
  </si>
  <si>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영업외손익 합계</t>
    </r>
  </si>
  <si>
    <t xml:space="preserve">    유효법인세율</t>
  </si>
  <si>
    <r>
      <rPr>
        <sz val="9"/>
        <color rgb="FF595959"/>
        <rFont val="맑은 고딕"/>
        <family val="0"/>
        <charset val="1"/>
      </rPr>
      <t xml:space="preserve">2023·24</t>
    </r>
    <r>
      <rPr>
        <sz val="9"/>
        <color rgb="FF595959"/>
        <rFont val="Noto Sans CJK SC"/>
        <family val="2"/>
      </rPr>
      <t xml:space="preserve">는 공시 확정치에서 역산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연청회색</t>
    </r>
    <r>
      <rPr>
        <sz val="9"/>
        <color rgb="FF595959"/>
        <rFont val="맑은 고딕"/>
        <family val="0"/>
        <charset val="1"/>
      </rPr>
      <t xml:space="preserve">), 2025F~</t>
    </r>
    <r>
      <rPr>
        <sz val="9"/>
        <color rgb="FF595959"/>
        <rFont val="Noto Sans CJK SC"/>
        <family val="2"/>
      </rPr>
      <t xml:space="preserve">는 애널리스트 가정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노랑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</si>
  <si>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법인세</t>
  </si>
  <si>
    <r>
      <rPr>
        <sz val="9"/>
        <color rgb="FF595959"/>
        <rFont val="Noto Sans CJK SC"/>
        <family val="2"/>
      </rPr>
      <t xml:space="preserve">세전이익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유효법인세율</t>
    </r>
  </si>
  <si>
    <t xml:space="preserve">당기순이익</t>
  </si>
  <si>
    <t xml:space="preserve">세전이익 − 법인세</t>
  </si>
  <si>
    <t xml:space="preserve">    비지배주주지분율</t>
  </si>
  <si>
    <r>
      <rPr>
        <sz val="9"/>
        <color rgb="FF595959"/>
        <rFont val="Noto Sans CJK SC"/>
        <family val="2"/>
      </rPr>
      <t xml:space="preserve">당기순이익 </t>
    </r>
    <r>
      <rPr>
        <sz val="9"/>
        <color rgb="FF595959"/>
        <rFont val="맑은 고딕"/>
        <family val="0"/>
        <charset val="1"/>
      </rPr>
      <t xml:space="preserve">× (1 − </t>
    </r>
    <r>
      <rPr>
        <sz val="9"/>
        <color rgb="FF595959"/>
        <rFont val="Noto Sans CJK SC"/>
        <family val="2"/>
      </rPr>
      <t xml:space="preserve">비지배주주지분율</t>
    </r>
    <r>
      <rPr>
        <sz val="9"/>
        <color rgb="FF595959"/>
        <rFont val="맑은 고딕"/>
        <family val="0"/>
        <charset val="1"/>
      </rPr>
      <t xml:space="preserve">)</t>
    </r>
  </si>
  <si>
    <t xml:space="preserve">EPS</t>
  </si>
  <si>
    <t xml:space="preserve">원</t>
  </si>
  <si>
    <r>
      <rPr>
        <sz val="9"/>
        <color rgb="FF595959"/>
        <rFont val="Noto Sans CJK SC"/>
        <family val="2"/>
      </rPr>
      <t xml:space="preserve">지배주주순이익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발행주식수 → </t>
    </r>
    <r>
      <rPr>
        <sz val="9"/>
        <color rgb="FF595959"/>
        <rFont val="맑은 고딕"/>
        <family val="0"/>
        <charset val="1"/>
      </rPr>
      <t xml:space="preserve">02_</t>
    </r>
    <r>
      <rPr>
        <sz val="9"/>
        <color rgb="FF595959"/>
        <rFont val="Noto Sans CJK SC"/>
        <family val="2"/>
      </rPr>
      <t xml:space="preserve">목표주가 시트의 기준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</si>
  <si>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sz val="10"/>
        <color rgb="FF000000"/>
        <rFont val="Noto Sans CJK SC"/>
        <family val="2"/>
      </rPr>
      <t xml:space="preserve">지배주주지분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</si>
  <si>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16_p5_</t>
    </r>
    <r>
      <rPr>
        <sz val="9"/>
        <color rgb="FF595959"/>
        <rFont val="Noto Sans CJK SC"/>
        <family val="2"/>
      </rPr>
      <t xml:space="preserve">대차대조표 참조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자본은 별도 추정하지 않고 원문값 사용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</si>
  <si>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BPS</t>
  </si>
  <si>
    <r>
      <rPr>
        <sz val="9"/>
        <color rgb="FF595959"/>
        <rFont val="Noto Sans CJK SC"/>
        <family val="2"/>
      </rPr>
      <t xml:space="preserve">지배주주지분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발행주식수 → </t>
    </r>
    <r>
      <rPr>
        <sz val="9"/>
        <color rgb="FF595959"/>
        <rFont val="맑은 고딕"/>
        <family val="0"/>
        <charset val="1"/>
      </rPr>
      <t xml:space="preserve">02_</t>
    </r>
    <r>
      <rPr>
        <sz val="9"/>
        <color rgb="FF595959"/>
        <rFont val="Noto Sans CJK SC"/>
        <family val="2"/>
      </rPr>
      <t xml:space="preserve">목표주가 시트의 기준 </t>
    </r>
    <r>
      <rPr>
        <sz val="9"/>
        <color rgb="FF595959"/>
        <rFont val="맑은 고딕"/>
        <family val="0"/>
        <charset val="1"/>
      </rPr>
      <t xml:space="preserve">BPS</t>
    </r>
  </si>
  <si>
    <t xml:space="preserve">감가상각비</t>
  </si>
  <si>
    <r>
      <rPr>
        <sz val="9"/>
        <color rgb="FF595959"/>
        <rFont val="맑은 고딕"/>
        <family val="0"/>
        <charset val="1"/>
      </rPr>
      <t xml:space="preserve">18_p5_</t>
    </r>
    <r>
      <rPr>
        <sz val="9"/>
        <color rgb="FF595959"/>
        <rFont val="Noto Sans CJK SC"/>
        <family val="2"/>
      </rPr>
      <t xml:space="preserve">현금흐름표 참조</t>
    </r>
  </si>
  <si>
    <t xml:space="preserve">EBITDA</t>
  </si>
  <si>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감가상각비 → </t>
    </r>
    <r>
      <rPr>
        <sz val="9"/>
        <color rgb="FF595959"/>
        <rFont val="맑은 고딕"/>
        <family val="0"/>
        <charset val="1"/>
      </rPr>
      <t xml:space="preserve">02_</t>
    </r>
    <r>
      <rPr>
        <sz val="9"/>
        <color rgb="FF595959"/>
        <rFont val="Noto Sans CJK SC"/>
        <family val="2"/>
      </rPr>
      <t xml:space="preserve">목표주가 시트의 기준 </t>
    </r>
    <r>
      <rPr>
        <sz val="9"/>
        <color rgb="FF595959"/>
        <rFont val="맑은 고딕"/>
        <family val="0"/>
        <charset val="1"/>
      </rPr>
      <t xml:space="preserve">EBITDA</t>
    </r>
  </si>
  <si>
    <t xml:space="preserve">순현금</t>
  </si>
  <si>
    <r>
      <rPr>
        <sz val="9"/>
        <color rgb="FF595959"/>
        <rFont val="맑은 고딕"/>
        <family val="0"/>
        <charset val="1"/>
      </rPr>
      <t xml:space="preserve">16_p5_</t>
    </r>
    <r>
      <rPr>
        <sz val="9"/>
        <color rgb="FF595959"/>
        <rFont val="Noto Sans CJK SC"/>
        <family val="2"/>
      </rPr>
      <t xml:space="preserve">대차대조표 순금융부채의 부호를 뒤집은 값 </t>
    </r>
    <r>
      <rPr>
        <sz val="9"/>
        <color rgb="FF595959"/>
        <rFont val="맑은 고딕"/>
        <family val="0"/>
        <charset val="1"/>
      </rPr>
      <t xml:space="preserve">(EV </t>
    </r>
    <r>
      <rPr>
        <sz val="9"/>
        <color rgb="FF595959"/>
        <rFont val="Noto Sans CJK SC"/>
        <family val="2"/>
      </rPr>
      <t xml:space="preserve">계산용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</si>
  <si>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1F6E6A"/>
        <rFont val="Noto Sans CJK SC"/>
        <family val="2"/>
      </rPr>
      <t xml:space="preserve">  ③ 원문 대조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모델 산출값 </t>
    </r>
    <r>
      <rPr>
        <b val="true"/>
        <sz val="10"/>
        <color rgb="FF1F6E6A"/>
        <rFont val="맑은 고딕"/>
        <family val="0"/>
        <charset val="1"/>
      </rPr>
      <t xml:space="preserve">vs </t>
    </r>
    <r>
      <rPr>
        <b val="true"/>
        <sz val="10"/>
        <color rgb="FF1F6E6A"/>
        <rFont val="Noto Sans CJK SC"/>
        <family val="2"/>
      </rPr>
      <t xml:space="preserve">하나증권 원문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</si>
  <si>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체크 항목</t>
  </si>
  <si>
    <t xml:space="preserve">매출액 차이</t>
  </si>
  <si>
    <r>
      <rPr>
        <sz val="9"/>
        <color rgb="FF595959"/>
        <rFont val="Noto Sans CJK SC"/>
        <family val="2"/>
      </rPr>
      <t xml:space="preserve">모델 − 원문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십억원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</si>
  <si>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영업이익 차이</t>
  </si>
  <si>
    <t xml:space="preserve">지배주주순이익 차이</t>
  </si>
  <si>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차이 </t>
    </r>
    <r>
      <rPr>
        <sz val="10"/>
        <color rgb="FF000000"/>
        <rFont val="맑은 고딕"/>
        <family val="0"/>
        <charset val="1"/>
      </rPr>
      <t xml:space="preserve">(%)</t>
    </r>
  </si>
  <si>
    <r>
      <rPr>
        <sz val="9"/>
        <color rgb="FF595959"/>
        <rFont val="Noto Sans CJK SC"/>
        <family val="2"/>
      </rPr>
      <t xml:space="preserve">모델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원문 −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</si>
  <si>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sz val="10"/>
        <color rgb="FF000000"/>
        <rFont val="맑은 고딕"/>
        <family val="0"/>
        <charset val="1"/>
      </rPr>
      <t xml:space="preserve">BPS </t>
    </r>
    <r>
      <rPr>
        <sz val="10"/>
        <color rgb="FF000000"/>
        <rFont val="Noto Sans CJK SC"/>
        <family val="2"/>
      </rPr>
      <t xml:space="preserve">차이 </t>
    </r>
    <r>
      <rPr>
        <sz val="10"/>
        <color rgb="FF000000"/>
        <rFont val="맑은 고딕"/>
        <family val="0"/>
        <charset val="1"/>
      </rPr>
      <t xml:space="preserve">(%)</t>
    </r>
  </si>
  <si>
    <r>
      <rPr>
        <sz val="10"/>
        <color rgb="FF000000"/>
        <rFont val="맑은 고딕"/>
        <family val="0"/>
        <charset val="1"/>
      </rPr>
      <t xml:space="preserve">EBITDA </t>
    </r>
    <r>
      <rPr>
        <sz val="10"/>
        <color rgb="FF000000"/>
        <rFont val="Noto Sans CJK SC"/>
        <family val="2"/>
      </rPr>
      <t xml:space="preserve">차이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</si>
  <si>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ISC, </t>
    </r>
    <r>
      <rPr>
        <i val="true"/>
        <sz val="9"/>
        <color rgb="FF595959"/>
        <rFont val="Noto Sans CJK SC"/>
        <family val="2"/>
      </rPr>
      <t xml:space="preserve">하나증권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</si>
  <si>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색 구분 기준입니다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연청회색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공시에서 확정 확인이 되는 값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분기 매출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발행주식수</t>
    </r>
    <r>
      <rPr>
        <i val="true"/>
        <sz val="9"/>
        <color rgb="FF595959"/>
        <rFont val="맑은 고딕"/>
        <family val="0"/>
        <charset val="1"/>
      </rPr>
      <t xml:space="preserve">, 2023·2024</t>
    </r>
    <r>
      <rPr>
        <i val="true"/>
        <sz val="9"/>
        <color rgb="FF595959"/>
        <rFont val="Noto Sans CJK SC"/>
        <family val="2"/>
      </rPr>
      <t xml:space="preserve">년 손익 항목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이라 서비스가 자동으로 채웁니다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연노랑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아직 확정 공시가 없어 애널리스트가 넣어야 하는 값입니다</t>
    </r>
    <r>
      <rPr>
        <i val="true"/>
        <sz val="9"/>
        <color rgb="FF595959"/>
        <rFont val="맑은 고딕"/>
        <family val="0"/>
        <charset val="1"/>
      </rPr>
      <t xml:space="preserve">. 2025</t>
    </r>
    <r>
      <rPr>
        <i val="true"/>
        <sz val="9"/>
        <color rgb="FF595959"/>
        <rFont val="Noto Sans CJK SC"/>
        <family val="2"/>
      </rPr>
      <t xml:space="preserve">년 매출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영업이익은 잠정실적 공시로 확정됐지만 영업외손익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유효법인세율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비지배주주지분율은 사업보고서 확정 전이라 노랑으로 뒀습니다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</si>
  <si>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모델은 원문 표를 그대로 옮기는 대신 「매출 → 영업이익 → 세전 → 순이익 →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」 계산 사슬로 다시 조립한 것이므로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반올림된 입력값 때문에 원문과 </t>
    </r>
    <r>
      <rPr>
        <i val="true"/>
        <sz val="9"/>
        <color rgb="FF595959"/>
        <rFont val="맑은 고딕"/>
        <family val="0"/>
        <charset val="1"/>
      </rPr>
      <t xml:space="preserve">0.1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·0.1% </t>
    </r>
    <r>
      <rPr>
        <i val="true"/>
        <sz val="9"/>
        <color rgb="FF595959"/>
        <rFont val="Noto Sans CJK SC"/>
        <family val="2"/>
      </rPr>
      <t xml:space="preserve">수준의 차이가 남습니다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위 ③ 블록이 그 차이를 그대로 보여줍니다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</si>
  <si>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BPS</t>
    </r>
    <r>
      <rPr>
        <i val="true"/>
        <sz val="9"/>
        <color rgb="FF595959"/>
        <rFont val="Noto Sans CJK SC"/>
        <family val="2"/>
      </rPr>
      <t xml:space="preserve">는 지배주주지분을 현재 발행주식수로 나눈 값이라 원문 </t>
    </r>
    <r>
      <rPr>
        <i val="true"/>
        <sz val="9"/>
        <color rgb="FF595959"/>
        <rFont val="맑은 고딕"/>
        <family val="0"/>
        <charset val="1"/>
      </rPr>
      <t xml:space="preserve">BPS</t>
    </r>
    <r>
      <rPr>
        <i val="true"/>
        <sz val="9"/>
        <color rgb="FF595959"/>
        <rFont val="Noto Sans CJK SC"/>
        <family val="2"/>
      </rPr>
      <t xml:space="preserve">보다 낮게 나옵니다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원문은 자기주식을 제외한 유통주식수를 쓰는 것으로 추정됩니다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원문 </t>
    </r>
    <r>
      <rPr>
        <i val="true"/>
        <sz val="9"/>
        <color rgb="FF595959"/>
        <rFont val="맑은 고딕"/>
        <family val="0"/>
        <charset val="1"/>
      </rPr>
      <t xml:space="preserve">2026F BPS 29,159</t>
    </r>
    <r>
      <rPr>
        <i val="true"/>
        <sz val="9"/>
        <color rgb="FF595959"/>
        <rFont val="Noto Sans CJK SC"/>
        <family val="2"/>
      </rPr>
      <t xml:space="preserve">원 → 역산 주식수 약 </t>
    </r>
    <r>
      <rPr>
        <i val="true"/>
        <sz val="9"/>
        <color rgb="FF595959"/>
        <rFont val="맑은 고딕"/>
        <family val="0"/>
        <charset val="1"/>
      </rPr>
      <t xml:space="preserve">20,583</t>
    </r>
    <r>
      <rPr>
        <i val="true"/>
        <sz val="9"/>
        <color rgb="FF595959"/>
        <rFont val="Noto Sans CJK SC"/>
        <family val="2"/>
      </rPr>
      <t xml:space="preserve">천주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</si>
  <si>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목표주가 도출  —  타겟 멀티플 설정</t>
  </si>
  <si>
    <r>
      <rPr>
        <i val="true"/>
        <sz val="9"/>
        <color rgb="FF595959"/>
        <rFont val="맑은 고딕"/>
        <family val="0"/>
        <charset val="1"/>
      </rPr>
      <t xml:space="preserve">M1_</t>
    </r>
    <r>
      <rPr>
        <i val="true"/>
        <sz val="9"/>
        <color rgb="FF595959"/>
        <rFont val="Noto Sans CJK SC"/>
        <family val="2"/>
      </rPr>
      <t xml:space="preserve">실적추정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모델에서 넘어온 </t>
    </r>
    <r>
      <rPr>
        <i val="true"/>
        <sz val="9"/>
        <color rgb="FF595959"/>
        <rFont val="맑은 고딕"/>
        <family val="0"/>
        <charset val="1"/>
      </rPr>
      <t xml:space="preserve">EPS·BPS·EBITDA</t>
    </r>
    <r>
      <rPr>
        <i val="true"/>
        <sz val="9"/>
        <color rgb="FF595959"/>
        <rFont val="Noto Sans CJK SC"/>
        <family val="2"/>
      </rPr>
      <t xml:space="preserve">에 타겟 멀티플을 적용해 목표주가를 산출합니다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연노랑 칸이 애널리스트 입력값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연청회색 칸이 공시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시장 자동 수집값입니다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</si>
  <si>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기준 지표 </t>
    </r>
    <r>
      <rPr>
        <b val="true"/>
        <sz val="10"/>
        <color rgb="FF1F6E6A"/>
        <rFont val="맑은 고딕"/>
        <family val="0"/>
        <charset val="1"/>
      </rPr>
      <t xml:space="preserve">(2026F </t>
    </r>
    <r>
      <rPr>
        <b val="true"/>
        <sz val="10"/>
        <color rgb="FF1F6E6A"/>
        <rFont val="Noto Sans CJK SC"/>
        <family val="2"/>
      </rPr>
      <t xml:space="preserve">기준</t>
    </r>
    <r>
      <rPr>
        <b val="true"/>
        <sz val="10"/>
        <color rgb="FF1F6E6A"/>
        <rFont val="맑은 고딕"/>
        <family val="0"/>
        <charset val="1"/>
      </rPr>
      <t xml:space="preserve">, M1_</t>
    </r>
    <r>
      <rPr>
        <b val="true"/>
        <sz val="10"/>
        <color rgb="FF1F6E6A"/>
        <rFont val="Noto Sans CJK SC"/>
        <family val="2"/>
      </rPr>
      <t xml:space="preserve">실적추정</t>
    </r>
    <r>
      <rPr>
        <b val="true"/>
        <sz val="10"/>
        <color rgb="FF1F6E6A"/>
        <rFont val="맑은 고딕"/>
        <family val="0"/>
        <charset val="1"/>
      </rPr>
      <t xml:space="preserve">_</t>
    </r>
    <r>
      <rPr>
        <b val="true"/>
        <sz val="10"/>
        <color rgb="FF1F6E6A"/>
        <rFont val="Noto Sans CJK SC"/>
        <family val="2"/>
      </rPr>
      <t xml:space="preserve">모델에서 연동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</si>
  <si>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값</t>
  </si>
  <si>
    <t xml:space="preserve">연동</t>
  </si>
  <si>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EPS (2026F)</t>
    </r>
  </si>
  <si>
    <r>
      <rPr>
        <sz val="9"/>
        <color rgb="FF595959"/>
        <rFont val="맑은 고딕"/>
        <family val="0"/>
        <charset val="1"/>
      </rPr>
      <t xml:space="preserve">M1_</t>
    </r>
    <r>
      <rPr>
        <sz val="9"/>
        <color rgb="FF595959"/>
        <rFont val="Noto Sans CJK SC"/>
        <family val="2"/>
      </rPr>
      <t xml:space="preserve">실적추정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모델의 계산 사슬로 산출된 </t>
    </r>
    <r>
      <rPr>
        <sz val="9"/>
        <color rgb="FF595959"/>
        <rFont val="맑은 고딕"/>
        <family val="0"/>
        <charset val="1"/>
      </rPr>
      <t xml:space="preserve">EPS</t>
    </r>
  </si>
  <si>
    <t xml:space="preserve">자동</t>
  </si>
  <si>
    <r>
      <rPr>
        <sz val="10"/>
        <color rgb="FF000000"/>
        <rFont val="Noto Sans CJK SC"/>
        <family val="2"/>
      </rPr>
      <t xml:space="preserve">리포트 도표</t>
    </r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적용 </t>
    </r>
    <r>
      <rPr>
        <sz val="10"/>
        <color rgb="FF000000"/>
        <rFont val="맑은 고딕"/>
        <family val="0"/>
        <charset val="1"/>
      </rPr>
      <t xml:space="preserve">EPS</t>
    </r>
  </si>
  <si>
    <r>
      <rPr>
        <sz val="9"/>
        <color rgb="FF595959"/>
        <rFont val="Noto Sans CJK SC"/>
        <family val="2"/>
      </rPr>
      <t xml:space="preserve">하나증권 도표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에 인쇄된 </t>
    </r>
    <r>
      <rPr>
        <sz val="9"/>
        <color rgb="FF595959"/>
        <rFont val="맑은 고딕"/>
        <family val="0"/>
        <charset val="1"/>
      </rPr>
      <t xml:space="preserve">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EPS — </t>
    </r>
    <r>
      <rPr>
        <sz val="9"/>
        <color rgb="FF595959"/>
        <rFont val="Noto Sans CJK SC"/>
        <family val="2"/>
      </rPr>
      <t xml:space="preserve">리포트에서 자동 수집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사용자 입력 대상 아님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</si>
  <si>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입력</t>
  </si>
  <si>
    <r>
      <rPr>
        <sz val="10"/>
        <color rgb="FF000000"/>
        <rFont val="Noto Sans CJK SC"/>
        <family val="2"/>
      </rPr>
      <t xml:space="preserve">적용 </t>
    </r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선택 </t>
    </r>
    <r>
      <rPr>
        <sz val="10"/>
        <color rgb="FF000000"/>
        <rFont val="맑은 고딕"/>
        <family val="0"/>
        <charset val="1"/>
      </rPr>
      <t xml:space="preserve">(1=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, 2=</t>
    </r>
    <r>
      <rPr>
        <sz val="10"/>
        <color rgb="FF000000"/>
        <rFont val="Noto Sans CJK SC"/>
        <family val="2"/>
      </rPr>
      <t xml:space="preserve">원문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</si>
  <si>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-</t>
  </si>
  <si>
    <r>
      <rPr>
        <sz val="9"/>
        <color rgb="FF595959"/>
        <rFont val="Noto Sans CJK SC"/>
        <family val="2"/>
      </rPr>
      <t xml:space="preserve">기본값 </t>
    </r>
    <r>
      <rPr>
        <sz val="9"/>
        <color rgb="FF595959"/>
        <rFont val="맑은 고딕"/>
        <family val="0"/>
        <charset val="1"/>
      </rPr>
      <t xml:space="preserve">2 → </t>
    </r>
    <r>
      <rPr>
        <sz val="9"/>
        <color rgb="FF595959"/>
        <rFont val="Noto Sans CJK SC"/>
        <family val="2"/>
      </rPr>
      <t xml:space="preserve">원문 기준으로 목표주가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원이 재현됩니다</t>
    </r>
    <r>
      <rPr>
        <sz val="9"/>
        <color rgb="FF595959"/>
        <rFont val="맑은 고딕"/>
        <family val="0"/>
        <charset val="1"/>
      </rPr>
      <t xml:space="preserve">. 1</t>
    </r>
    <r>
      <rPr>
        <sz val="9"/>
        <color rgb="FF595959"/>
        <rFont val="Noto Sans CJK SC"/>
        <family val="2"/>
      </rPr>
      <t xml:space="preserve">로 바꾸면 모델 </t>
    </r>
    <r>
      <rPr>
        <sz val="9"/>
        <color rgb="FF595959"/>
        <rFont val="맑은 고딕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가 적용됩니다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</si>
  <si>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산출</t>
  </si>
  <si>
    <r>
      <rPr>
        <b val="true"/>
        <sz val="10"/>
        <color rgb="FF000000"/>
        <rFont val="Noto Sans CJK SC"/>
        <family val="2"/>
      </rPr>
      <t xml:space="preserve">적용 </t>
    </r>
    <r>
      <rPr>
        <b val="true"/>
        <sz val="10"/>
        <color rgb="FF000000"/>
        <rFont val="맑은 고딕"/>
        <family val="0"/>
        <charset val="1"/>
      </rPr>
      <t xml:space="preserve">EPS</t>
    </r>
  </si>
  <si>
    <t xml:space="preserve">위 선택값에 따라 결정</t>
  </si>
  <si>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BPS (2026F)</t>
    </r>
  </si>
  <si>
    <r>
      <rPr>
        <sz val="9"/>
        <color rgb="FF595959"/>
        <rFont val="맑은 고딕"/>
        <family val="0"/>
        <charset val="1"/>
      </rPr>
      <t xml:space="preserve">PBR </t>
    </r>
    <r>
      <rPr>
        <sz val="9"/>
        <color rgb="FF595959"/>
        <rFont val="Noto Sans CJK SC"/>
        <family val="2"/>
      </rPr>
      <t xml:space="preserve">방식의 기준 지표</t>
    </r>
  </si>
  <si>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EBITDA (2026F)</t>
    </r>
  </si>
  <si>
    <r>
      <rPr>
        <sz val="9"/>
        <color rgb="FF595959"/>
        <rFont val="맑은 고딕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방식의 기준 지표</t>
    </r>
  </si>
  <si>
    <r>
      <rPr>
        <sz val="10"/>
        <color rgb="FF000000"/>
        <rFont val="Noto Sans CJK SC"/>
        <family val="2"/>
      </rPr>
      <t xml:space="preserve">순현금 </t>
    </r>
    <r>
      <rPr>
        <sz val="10"/>
        <color rgb="FF000000"/>
        <rFont val="맑은 고딕"/>
        <family val="0"/>
        <charset val="1"/>
      </rPr>
      <t xml:space="preserve">(2026F)</t>
    </r>
  </si>
  <si>
    <r>
      <rPr>
        <sz val="9"/>
        <color rgb="FF595959"/>
        <rFont val="맑은 고딕"/>
        <family val="0"/>
        <charset val="1"/>
      </rPr>
      <t xml:space="preserve">EV → </t>
    </r>
    <r>
      <rPr>
        <sz val="9"/>
        <color rgb="FF595959"/>
        <rFont val="Noto Sans CJK SC"/>
        <family val="2"/>
      </rPr>
      <t xml:space="preserve">시가총액 환산에 사용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순현금이므로 </t>
    </r>
    <r>
      <rPr>
        <sz val="9"/>
        <color rgb="FF595959"/>
        <rFont val="맑은 고딕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에 더함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</si>
  <si>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M1_</t>
    </r>
    <r>
      <rPr>
        <sz val="9"/>
        <color rgb="FF595959"/>
        <rFont val="Noto Sans CJK SC"/>
        <family val="2"/>
      </rPr>
      <t xml:space="preserve">실적추정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모델 공통 가정</t>
    </r>
  </si>
  <si>
    <t xml:space="preserve">현재주가</t>
  </si>
  <si>
    <r>
      <rPr>
        <b val="true"/>
        <sz val="10"/>
        <color rgb="FF1F6E6A"/>
        <rFont val="Noto Sans CJK SC"/>
        <family val="2"/>
      </rPr>
      <t xml:space="preserve">  ② 타겟 멀티플 설정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전부 애널리스트 입력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</si>
  <si>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</t>
    </r>
  </si>
  <si>
    <t xml:space="preserve">배</t>
  </si>
  <si>
    <r>
      <rPr>
        <sz val="9"/>
        <color rgb="FF595959"/>
        <rFont val="Noto Sans CJK SC"/>
        <family val="2"/>
      </rPr>
      <t xml:space="preserve">글로벌 경쟁사 </t>
    </r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</t>
    </r>
  </si>
  <si>
    <t xml:space="preserve">할인율</t>
  </si>
  <si>
    <t xml:space="preserve">최근 주가 급등 및 사업 포트폴리오 차이에 따른 할인율</t>
  </si>
  <si>
    <r>
      <rPr>
        <sz val="9"/>
        <color rgb="FF595959"/>
        <rFont val="Noto Sans CJK SC"/>
        <family val="2"/>
      </rPr>
      <t xml:space="preserve">비교 </t>
    </r>
    <r>
      <rPr>
        <sz val="9"/>
        <color rgb="FF595959"/>
        <rFont val="맑은 고딕"/>
        <family val="0"/>
        <charset val="1"/>
      </rPr>
      <t xml:space="preserve">P/E × (1 − </t>
    </r>
    <r>
      <rPr>
        <sz val="9"/>
        <color rgb="FF595959"/>
        <rFont val="Noto Sans CJK SC"/>
        <family val="2"/>
      </rPr>
      <t xml:space="preserve">할인율</t>
    </r>
    <r>
      <rPr>
        <sz val="9"/>
        <color rgb="FF595959"/>
        <rFont val="맑은 고딕"/>
        <family val="0"/>
        <charset val="1"/>
      </rPr>
      <t xml:space="preserve">) → 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43.82</t>
    </r>
    <r>
      <rPr>
        <sz val="9"/>
        <color rgb="FF595959"/>
        <rFont val="Noto Sans CJK SC"/>
        <family val="2"/>
      </rPr>
      <t xml:space="preserve">배</t>
    </r>
  </si>
  <si>
    <t xml:space="preserve">Target P/B</t>
  </si>
  <si>
    <r>
      <rPr>
        <sz val="9"/>
        <color rgb="FF595959"/>
        <rFont val="Noto Sans CJK SC"/>
        <family val="2"/>
      </rPr>
      <t xml:space="preserve">참고 방식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기본값은 원문 목표주가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2026F BPS 29,159</t>
    </r>
    <r>
      <rPr>
        <sz val="9"/>
        <color rgb="FF595959"/>
        <rFont val="Noto Sans CJK SC"/>
        <family val="2"/>
      </rPr>
      <t xml:space="preserve">원으로 역산한 배수</t>
    </r>
  </si>
  <si>
    <t xml:space="preserve">Target EV/EBITDA</t>
  </si>
  <si>
    <r>
      <rPr>
        <sz val="9"/>
        <color rgb="FF595959"/>
        <rFont val="Noto Sans CJK SC"/>
        <family val="2"/>
      </rPr>
      <t xml:space="preserve">참고 방식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기본값은 원문 목표주가에서 역산한 배수</t>
    </r>
  </si>
  <si>
    <t xml:space="preserve">  ③ 방식별 목표주가</t>
  </si>
  <si>
    <t xml:space="preserve">방식</t>
  </si>
  <si>
    <r>
      <rPr>
        <b val="true"/>
        <sz val="10"/>
        <color rgb="FFFFFFFF"/>
        <rFont val="Noto Sans CJK SC"/>
        <family val="2"/>
      </rPr>
      <t xml:space="preserve">목표주가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</si>
  <si>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가중치</t>
  </si>
  <si>
    <r>
      <rPr>
        <b val="true"/>
        <sz val="10"/>
        <color rgb="FFFFFFFF"/>
        <rFont val="Noto Sans CJK SC"/>
        <family val="2"/>
      </rPr>
      <t xml:space="preserve">산식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</si>
  <si>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r>
      <rPr>
        <b val="true"/>
        <sz val="10"/>
        <color rgb="FF000000"/>
        <rFont val="맑은 고딕"/>
        <family val="0"/>
        <charset val="1"/>
      </rPr>
      <t xml:space="preserve">PER </t>
    </r>
    <r>
      <rPr>
        <b val="true"/>
        <sz val="10"/>
        <color rgb="FF000000"/>
        <rFont val="Noto Sans CJK SC"/>
        <family val="2"/>
      </rPr>
      <t xml:space="preserve">방식</t>
    </r>
  </si>
  <si>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 × Target P/E  ← </t>
    </r>
    <r>
      <rPr>
        <sz val="9"/>
        <color rgb="FF595959"/>
        <rFont val="Noto Sans CJK SC"/>
        <family val="2"/>
      </rPr>
      <t xml:space="preserve">하나증권 원문이 사용한 방식</t>
    </r>
  </si>
  <si>
    <r>
      <rPr>
        <b val="true"/>
        <sz val="10"/>
        <color rgb="FF000000"/>
        <rFont val="맑은 고딕"/>
        <family val="0"/>
        <charset val="1"/>
      </rPr>
      <t xml:space="preserve">PBR </t>
    </r>
    <r>
      <rPr>
        <b val="true"/>
        <sz val="10"/>
        <color rgb="FF000000"/>
        <rFont val="Noto Sans CJK SC"/>
        <family val="2"/>
      </rPr>
      <t xml:space="preserve">방식</t>
    </r>
  </si>
  <si>
    <r>
      <rPr>
        <sz val="9"/>
        <color rgb="FF595959"/>
        <rFont val="Noto Sans CJK SC"/>
        <family val="2"/>
      </rPr>
      <t xml:space="preserve">모델 </t>
    </r>
    <r>
      <rPr>
        <sz val="9"/>
        <color rgb="FF595959"/>
        <rFont val="맑은 고딕"/>
        <family val="0"/>
        <charset val="1"/>
      </rPr>
      <t xml:space="preserve">BPS × Target P/B</t>
    </r>
  </si>
  <si>
    <r>
      <rPr>
        <b val="true"/>
        <sz val="10"/>
        <color rgb="FF000000"/>
        <rFont val="맑은 고딕"/>
        <family val="0"/>
        <charset val="1"/>
      </rPr>
      <t xml:space="preserve">EV/EBITDA </t>
    </r>
    <r>
      <rPr>
        <b val="true"/>
        <sz val="10"/>
        <color rgb="FF000000"/>
        <rFont val="Noto Sans CJK SC"/>
        <family val="2"/>
      </rPr>
      <t xml:space="preserve">방식</t>
    </r>
  </si>
  <si>
    <r>
      <rPr>
        <sz val="9"/>
        <color rgb="FF595959"/>
        <rFont val="맑은 고딕"/>
        <family val="0"/>
        <charset val="1"/>
      </rPr>
      <t xml:space="preserve">(EBITDA × Target EV/EBITDA + </t>
    </r>
    <r>
      <rPr>
        <sz val="9"/>
        <color rgb="FF595959"/>
        <rFont val="Noto Sans CJK SC"/>
        <family val="2"/>
      </rPr>
      <t xml:space="preserve">순현금</t>
    </r>
    <r>
      <rPr>
        <sz val="9"/>
        <color rgb="FF595959"/>
        <rFont val="맑은 고딕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발행주식수</t>
    </r>
  </si>
  <si>
    <t xml:space="preserve">가중치 합계 검산</t>
  </si>
  <si>
    <r>
      <rPr>
        <sz val="9"/>
        <color rgb="FF595959"/>
        <rFont val="맑은 고딕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가 되어야 합니다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원문 재현 기준은 </t>
    </r>
    <r>
      <rPr>
        <sz val="9"/>
        <color rgb="FF595959"/>
        <rFont val="맑은 고딕"/>
        <family val="0"/>
        <charset val="1"/>
      </rPr>
      <t xml:space="preserve">PER 100%</t>
    </r>
    <r>
      <rPr>
        <sz val="9"/>
        <color rgb="FF595959"/>
        <rFont val="Noto Sans CJK SC"/>
        <family val="2"/>
      </rPr>
      <t xml:space="preserve">입니다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</si>
  <si>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  ④ 최종 목표주가</t>
  </si>
  <si>
    <t xml:space="preserve">가중평균 목표주가</t>
  </si>
  <si>
    <r>
      <rPr>
        <sz val="9"/>
        <color rgb="FF595959"/>
        <rFont val="Noto Sans CJK SC"/>
        <family val="2"/>
      </rPr>
      <t xml:space="preserve">방식별 목표주가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가중치의 합</t>
    </r>
  </si>
  <si>
    <t xml:space="preserve">반올림 단위</t>
  </si>
  <si>
    <t xml:space="preserve">제시 목표주가 라운딩 단위</t>
  </si>
  <si>
    <t xml:space="preserve">제시 목표주가</t>
  </si>
  <si>
    <t xml:space="preserve">가중평균 목표주가를 반올림 단위로 라운딩</t>
  </si>
  <si>
    <r>
      <rPr>
        <sz val="9"/>
        <color rgb="FF595959"/>
        <rFont val="Noto Sans CJK SC"/>
        <family val="2"/>
      </rPr>
      <t xml:space="preserve">제시 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현재주가 −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</si>
  <si>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b val="true"/>
        <sz val="10"/>
        <color rgb="FF000000"/>
        <rFont val="Noto Sans CJK SC"/>
        <family val="2"/>
      </rPr>
      <t xml:space="preserve">투자의견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하나증권 기준 자동 판정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</si>
  <si>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상승여력 </t>
    </r>
    <r>
      <rPr>
        <sz val="9"/>
        <color rgb="FF595959"/>
        <rFont val="맑은 고딕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이상 </t>
    </r>
    <r>
      <rPr>
        <sz val="9"/>
        <color rgb="FF595959"/>
        <rFont val="맑은 고딕"/>
        <family val="0"/>
        <charset val="1"/>
      </rPr>
      <t xml:space="preserve">BUY / −15%~15% Neutral / −15% </t>
    </r>
    <r>
      <rPr>
        <sz val="9"/>
        <color rgb="FF595959"/>
        <rFont val="Noto Sans CJK SC"/>
        <family val="2"/>
      </rPr>
      <t xml:space="preserve">이하 </t>
    </r>
    <r>
      <rPr>
        <sz val="9"/>
        <color rgb="FF595959"/>
        <rFont val="맑은 고딕"/>
        <family val="0"/>
        <charset val="1"/>
      </rPr>
      <t xml:space="preserve">Reduce (20_p6_</t>
    </r>
    <r>
      <rPr>
        <sz val="9"/>
        <color rgb="FF595959"/>
        <rFont val="Noto Sans CJK SC"/>
        <family val="2"/>
      </rPr>
      <t xml:space="preserve">투자등급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비율공시 기준</t>
    </r>
    <r>
      <rPr>
        <sz val="9"/>
        <color rgb="FF595959"/>
        <rFont val="맑은 고딕"/>
        <family val="0"/>
        <charset val="1"/>
      </rPr>
      <t xml:space="preserve">)</t>
    </r>
  </si>
  <si>
    <t xml:space="preserve">  ⑤ 원문 대조 및 내재 배수 검증</t>
  </si>
  <si>
    <t xml:space="preserve">대조</t>
  </si>
  <si>
    <r>
      <rPr>
        <sz val="9"/>
        <color rgb="FF595959"/>
        <rFont val="Noto Sans CJK SC"/>
        <family val="2"/>
      </rPr>
      <t xml:space="preserve">원문 도표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</si>
  <si>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원문 도표 </t>
    </r>
    <r>
      <rPr>
        <sz val="9"/>
        <color rgb="FF595959"/>
        <rFont val="맑은 고딕"/>
        <family val="0"/>
        <charset val="1"/>
      </rPr>
      <t xml:space="preserve">1 (</t>
    </r>
    <r>
      <rPr>
        <sz val="9"/>
        <color rgb="FF595959"/>
        <rFont val="Noto Sans CJK SC"/>
        <family val="2"/>
      </rPr>
      <t xml:space="preserve">반올림 표기</t>
    </r>
    <r>
      <rPr>
        <sz val="9"/>
        <color rgb="FF595959"/>
        <rFont val="맑은 고딕"/>
        <family val="0"/>
        <charset val="1"/>
      </rPr>
      <t xml:space="preserve">)</t>
    </r>
  </si>
  <si>
    <t xml:space="preserve">검증</t>
  </si>
  <si>
    <r>
      <rPr>
        <sz val="10"/>
        <color rgb="FF000000"/>
        <rFont val="Noto Sans CJK SC"/>
        <family val="2"/>
      </rPr>
      <t xml:space="preserve">제시 목표주가 내재 </t>
    </r>
    <r>
      <rPr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</si>
  <si>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제시 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</si>
  <si>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sz val="10"/>
        <color rgb="FF000000"/>
        <rFont val="Noto Sans CJK SC"/>
        <family val="2"/>
      </rPr>
      <t xml:space="preserve">제시 목표주가 내재 </t>
    </r>
    <r>
      <rPr>
        <sz val="10"/>
        <color rgb="FF000000"/>
        <rFont val="맑은 고딕"/>
        <family val="0"/>
        <charset val="1"/>
      </rPr>
      <t xml:space="preserve">P/B</t>
    </r>
  </si>
  <si>
    <r>
      <rPr>
        <sz val="9"/>
        <color rgb="FF595959"/>
        <rFont val="Noto Sans CJK SC"/>
        <family val="2"/>
      </rPr>
      <t xml:space="preserve">제시 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모델 </t>
    </r>
    <r>
      <rPr>
        <sz val="9"/>
        <color rgb="FF595959"/>
        <rFont val="맑은 고딕"/>
        <family val="0"/>
        <charset val="1"/>
      </rPr>
      <t xml:space="preserve">BPS</t>
    </r>
  </si>
  <si>
    <r>
      <rPr>
        <sz val="10"/>
        <color rgb="FF000000"/>
        <rFont val="Noto Sans CJK SC"/>
        <family val="2"/>
      </rPr>
      <t xml:space="preserve">제시 목표주가 내재 </t>
    </r>
    <r>
      <rPr>
        <sz val="10"/>
        <color rgb="FF000000"/>
        <rFont val="맑은 고딕"/>
        <family val="0"/>
        <charset val="1"/>
      </rPr>
      <t xml:space="preserve">EV/EBITDA</t>
    </r>
  </si>
  <si>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목표시가총액 − 순현금</t>
    </r>
    <r>
      <rPr>
        <sz val="9"/>
        <color rgb="FF595959"/>
        <rFont val="맑은 고딕"/>
        <family val="0"/>
        <charset val="1"/>
      </rPr>
      <t xml:space="preserve">) ÷ EBITDA</t>
    </r>
  </si>
  <si>
    <r>
      <rPr>
        <sz val="10"/>
        <color rgb="FF000000"/>
        <rFont val="Noto Sans CJK SC"/>
        <family val="2"/>
      </rPr>
      <t xml:space="preserve">현재주가 내재 </t>
    </r>
    <r>
      <rPr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</si>
  <si>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</si>
  <si>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하나증권 원문은 </t>
    </r>
    <r>
      <rPr>
        <i val="true"/>
        <sz val="9"/>
        <color rgb="FF595959"/>
        <rFont val="맑은 고딕"/>
        <family val="0"/>
        <charset val="1"/>
      </rPr>
      <t xml:space="preserve">PER </t>
    </r>
    <r>
      <rPr>
        <i val="true"/>
        <sz val="9"/>
        <color rgb="FF595959"/>
        <rFont val="Noto Sans CJK SC"/>
        <family val="2"/>
      </rPr>
      <t xml:space="preserve">단일 방식입니다</t>
    </r>
    <r>
      <rPr>
        <i val="true"/>
        <sz val="9"/>
        <color rgb="FF595959"/>
        <rFont val="맑은 고딕"/>
        <family val="0"/>
        <charset val="1"/>
      </rPr>
      <t xml:space="preserve">. PBR·EV/EBITDA </t>
    </r>
    <r>
      <rPr>
        <i val="true"/>
        <sz val="9"/>
        <color rgb="FF595959"/>
        <rFont val="Noto Sans CJK SC"/>
        <family val="2"/>
      </rPr>
      <t xml:space="preserve">방식은 교차 검증용으로 덧붙인 것이며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기본 가중치를 </t>
    </r>
    <r>
      <rPr>
        <i val="true"/>
        <sz val="9"/>
        <color rgb="FF595959"/>
        <rFont val="맑은 고딕"/>
        <family val="0"/>
        <charset val="1"/>
      </rPr>
      <t xml:space="preserve">PER 100%</t>
    </r>
    <r>
      <rPr>
        <i val="true"/>
        <sz val="9"/>
        <color rgb="FF595959"/>
        <rFont val="Noto Sans CJK SC"/>
        <family val="2"/>
      </rPr>
      <t xml:space="preserve">로 두었기 때문에 초기 상태에서는 원문 목표주가 </t>
    </r>
    <r>
      <rPr>
        <i val="true"/>
        <sz val="9"/>
        <color rgb="FF595959"/>
        <rFont val="맑은 고딕"/>
        <family val="0"/>
        <charset val="1"/>
      </rPr>
      <t xml:space="preserve">180,000</t>
    </r>
    <r>
      <rPr>
        <i val="true"/>
        <sz val="9"/>
        <color rgb="FF595959"/>
        <rFont val="Noto Sans CJK SC"/>
        <family val="2"/>
      </rPr>
      <t xml:space="preserve">원이 그대로 재현됩니다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가중치를 바꾸면 세 방식의 가중평균으로 목표주가가 다시 계산됩니다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</si>
  <si>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적용 </t>
    </r>
    <r>
      <rPr>
        <i val="true"/>
        <sz val="9"/>
        <color rgb="FF595959"/>
        <rFont val="맑은 고딕"/>
        <family val="0"/>
        <charset val="1"/>
      </rPr>
      <t xml:space="preserve">EPS </t>
    </r>
    <r>
      <rPr>
        <i val="true"/>
        <sz val="9"/>
        <color rgb="FF595959"/>
        <rFont val="Noto Sans CJK SC"/>
        <family val="2"/>
      </rPr>
      <t xml:space="preserve">선택을 </t>
    </r>
    <r>
      <rPr>
        <i val="true"/>
        <sz val="9"/>
        <color rgb="FF595959"/>
        <rFont val="맑은 고딕"/>
        <family val="0"/>
        <charset val="1"/>
      </rPr>
      <t xml:space="preserve">1(</t>
    </r>
    <r>
      <rPr>
        <i val="true"/>
        <sz val="9"/>
        <color rgb="FF595959"/>
        <rFont val="Noto Sans CJK SC"/>
        <family val="2"/>
      </rPr>
      <t xml:space="preserve">모델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로 바꾸면 </t>
    </r>
    <r>
      <rPr>
        <i val="true"/>
        <sz val="9"/>
        <color rgb="FF595959"/>
        <rFont val="맑은 고딕"/>
        <family val="0"/>
        <charset val="1"/>
      </rPr>
      <t xml:space="preserve">M1_</t>
    </r>
    <r>
      <rPr>
        <i val="true"/>
        <sz val="9"/>
        <color rgb="FF595959"/>
        <rFont val="Noto Sans CJK SC"/>
        <family val="2"/>
      </rPr>
      <t xml:space="preserve">실적추정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모델이 계산한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가 적용됩니다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모델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는 반올림된 입력값 때문에 원문 도표</t>
    </r>
    <r>
      <rPr>
        <i val="true"/>
        <sz val="9"/>
        <color rgb="FF595959"/>
        <rFont val="맑은 고딕"/>
        <family val="0"/>
        <charset val="1"/>
      </rPr>
      <t xml:space="preserve">1 EPS(4,025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와 차이가 있어 목표주가도 달라집니다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</si>
  <si>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할인율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</t>
    </r>
    <r>
      <rPr>
        <i val="true"/>
        <sz val="9"/>
        <color rgb="FF595959"/>
        <rFont val="Noto Sans CJK SC"/>
        <family val="2"/>
      </rPr>
      <t xml:space="preserve">조합별 민감도는 </t>
    </r>
    <r>
      <rPr>
        <i val="true"/>
        <sz val="9"/>
        <color rgb="FF595959"/>
        <rFont val="맑은 고딕"/>
        <family val="0"/>
        <charset val="1"/>
      </rPr>
      <t xml:space="preserve">M3_</t>
    </r>
    <r>
      <rPr>
        <i val="true"/>
        <sz val="9"/>
        <color rgb="FF595959"/>
        <rFont val="Noto Sans CJK SC"/>
        <family val="2"/>
      </rPr>
      <t xml:space="preserve">민감도분석 시트에서 확인할 수 있습니다 </t>
    </r>
    <r>
      <rPr>
        <i val="true"/>
        <sz val="9"/>
        <color rgb="FF595959"/>
        <rFont val="맑은 고딕"/>
        <family val="0"/>
        <charset val="1"/>
      </rPr>
      <t xml:space="preserve">(05_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1_Valuation </t>
    </r>
    <r>
      <rPr>
        <i val="true"/>
        <sz val="9"/>
        <color rgb="FF595959"/>
        <rFont val="Noto Sans CJK SC"/>
        <family val="2"/>
      </rPr>
      <t xml:space="preserve">시트의 입력값 기준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</si>
  <si>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3"/>
        <color rgb="FF1F6E6A"/>
        <rFont val="Noto Sans CJK SC"/>
        <family val="2"/>
      </rPr>
      <t xml:space="preserve">민감도 분석  —  할인율 </t>
    </r>
    <r>
      <rPr>
        <b val="true"/>
        <sz val="13"/>
        <color rgb="FF1F6E6A"/>
        <rFont val="맑은 고딕"/>
        <family val="0"/>
        <charset val="1"/>
      </rPr>
      <t xml:space="preserve">× </t>
    </r>
    <r>
      <rPr>
        <b val="true"/>
        <sz val="13"/>
        <color rgb="FF1F6E6A"/>
        <rFont val="Noto Sans CJK SC"/>
        <family val="2"/>
      </rPr>
      <t xml:space="preserve">비교 </t>
    </r>
    <r>
      <rPr>
        <b val="true"/>
        <sz val="13"/>
        <color rgb="FF1F6E6A"/>
        <rFont val="맑은 고딕"/>
        <family val="0"/>
        <charset val="1"/>
      </rPr>
      <t xml:space="preserve">P/E</t>
    </r>
  </si>
  <si>
    <r>
      <rPr>
        <i val="true"/>
        <sz val="9"/>
        <color rgb="FF595959"/>
        <rFont val="맑은 고딕"/>
        <family val="0"/>
        <charset val="1"/>
      </rPr>
      <t xml:space="preserve">05_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1_Valuation </t>
    </r>
    <r>
      <rPr>
        <i val="true"/>
        <sz val="9"/>
        <color rgb="FF595959"/>
        <rFont val="Noto Sans CJK SC"/>
        <family val="2"/>
      </rPr>
      <t xml:space="preserve">시트의 입력값을 기준으로 자동 계산됩니다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연청색으로 강조된 칸이 현재 시나리오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할인율 </t>
    </r>
    <r>
      <rPr>
        <i val="true"/>
        <sz val="9"/>
        <color rgb="FF595959"/>
        <rFont val="맑은 고딕"/>
        <family val="0"/>
        <charset val="1"/>
      </rPr>
      <t xml:space="preserve">30% / 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62.6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 시트에는 입력 칸이 없고 </t>
    </r>
    <r>
      <rPr>
        <i val="true"/>
        <sz val="9"/>
        <color rgb="FF595959"/>
        <rFont val="맑은 고딕"/>
        <family val="0"/>
        <charset val="1"/>
      </rPr>
      <t xml:space="preserve">08</t>
    </r>
    <r>
      <rPr>
        <i val="true"/>
        <sz val="9"/>
        <color rgb="FF595959"/>
        <rFont val="Noto Sans CJK SC"/>
        <family val="2"/>
      </rPr>
      <t xml:space="preserve">번 시트의 입력값을 받아 전부 수식으로 계산됩니다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</si>
  <si>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목표주가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</si>
  <si>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9"/>
        <color rgb="FF1F6E6A"/>
        <rFont val="Noto Sans CJK SC"/>
        <family val="2"/>
      </rPr>
      <t xml:space="preserve">할인율  ＼  비교 </t>
    </r>
    <r>
      <rPr>
        <b val="true"/>
        <sz val="9"/>
        <color rgb="FF1F6E6A"/>
        <rFont val="맑은 고딕"/>
        <family val="0"/>
        <charset val="1"/>
      </rPr>
      <t xml:space="preserve">P/E (</t>
    </r>
    <r>
      <rPr>
        <b val="true"/>
        <sz val="9"/>
        <color rgb="FF1F6E6A"/>
        <rFont val="Noto Sans CJK SC"/>
        <family val="2"/>
      </rPr>
      <t xml:space="preserve">배</t>
    </r>
    <r>
      <rPr>
        <b val="true"/>
        <sz val="9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</si>
  <si>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각 칸 </t>
    </r>
    <r>
      <rPr>
        <i val="true"/>
        <sz val="9"/>
        <color rgb="FF595959"/>
        <rFont val="맑은 고딕"/>
        <family val="0"/>
        <charset val="1"/>
      </rPr>
      <t xml:space="preserve">= ROUND(EPS × 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× (1 − </t>
    </r>
    <r>
      <rPr>
        <i val="true"/>
        <sz val="9"/>
        <color rgb="FF595959"/>
        <rFont val="Noto Sans CJK SC"/>
        <family val="2"/>
      </rPr>
      <t xml:space="preserve">할인율</t>
    </r>
    <r>
      <rPr>
        <i val="true"/>
        <sz val="9"/>
        <color rgb="FF595959"/>
        <rFont val="맑은 고딕"/>
        <family val="0"/>
        <charset val="1"/>
      </rPr>
      <t xml:space="preserve">) ÷ </t>
    </r>
    <r>
      <rPr>
        <i val="true"/>
        <sz val="9"/>
        <color rgb="FF595959"/>
        <rFont val="Noto Sans CJK SC"/>
        <family val="2"/>
      </rPr>
      <t xml:space="preserve">반올림단위</t>
    </r>
    <r>
      <rPr>
        <i val="true"/>
        <sz val="9"/>
        <color rgb="FF595959"/>
        <rFont val="맑은 고딕"/>
        <family val="0"/>
        <charset val="1"/>
      </rPr>
      <t xml:space="preserve">, 0) × </t>
    </r>
    <r>
      <rPr>
        <i val="true"/>
        <sz val="9"/>
        <color rgb="FF595959"/>
        <rFont val="Noto Sans CJK SC"/>
        <family val="2"/>
      </rPr>
      <t xml:space="preserve">반올림단위</t>
    </r>
  </si>
  <si>
    <r>
      <rPr>
        <b val="true"/>
        <sz val="10"/>
        <color rgb="FF1F6E6A"/>
        <rFont val="Noto Sans CJK SC"/>
        <family val="2"/>
      </rPr>
      <t xml:space="preserve">  ② 상승여력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</si>
  <si>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각 칸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해당 시나리오 목표주가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Noto Sans CJK SC"/>
        <family val="2"/>
      </rPr>
      <t xml:space="preserve">현재주가 − </t>
    </r>
    <r>
      <rPr>
        <i val="true"/>
        <sz val="9"/>
        <color rgb="FF595959"/>
        <rFont val="맑은 고딕"/>
        <family val="0"/>
        <charset val="1"/>
      </rPr>
      <t xml:space="preserve">1</t>
    </r>
  </si>
  <si>
    <r>
      <rPr>
        <b val="true"/>
        <sz val="10"/>
        <color rgb="FF1F6E6A"/>
        <rFont val="맑은 고딕"/>
        <family val="0"/>
        <charset val="1"/>
      </rPr>
      <t xml:space="preserve">  ③ Target P/E (</t>
    </r>
    <r>
      <rPr>
        <b val="true"/>
        <sz val="10"/>
        <color rgb="FF1F6E6A"/>
        <rFont val="Noto Sans CJK SC"/>
        <family val="2"/>
      </rPr>
      <t xml:space="preserve">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</si>
  <si>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각 칸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× (1 − </t>
    </r>
    <r>
      <rPr>
        <i val="true"/>
        <sz val="9"/>
        <color rgb="FF595959"/>
        <rFont val="Noto Sans CJK SC"/>
        <family val="2"/>
      </rPr>
      <t xml:space="preserve">할인율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</si>
  <si>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1F6E6A"/>
        <rFont val="맑은 고딕"/>
        <family val="0"/>
        <charset val="1"/>
      </rPr>
      <t xml:space="preserve">  ④ EPS </t>
    </r>
    <r>
      <rPr>
        <b val="true"/>
        <sz val="10"/>
        <color rgb="FF1F6E6A"/>
        <rFont val="Noto Sans CJK SC"/>
        <family val="2"/>
      </rPr>
      <t xml:space="preserve">시나리오별 목표주가 </t>
    </r>
    <r>
      <rPr>
        <b val="true"/>
        <sz val="10"/>
        <color rgb="FF1F6E6A"/>
        <rFont val="맑은 고딕"/>
        <family val="0"/>
        <charset val="1"/>
      </rPr>
      <t xml:space="preserve">(Target P/E </t>
    </r>
    <r>
      <rPr>
        <b val="true"/>
        <sz val="10"/>
        <color rgb="FF1F6E6A"/>
        <rFont val="Noto Sans CJK SC"/>
        <family val="2"/>
      </rPr>
      <t xml:space="preserve">고정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</si>
  <si>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9"/>
        <color rgb="FF1F6E6A"/>
        <rFont val="맑은 고딕"/>
        <family val="0"/>
        <charset val="1"/>
      </rPr>
      <t xml:space="preserve">26F EPS (</t>
    </r>
    <r>
      <rPr>
        <b val="true"/>
        <sz val="9"/>
        <color rgb="FF1F6E6A"/>
        <rFont val="Noto Sans CJK SC"/>
        <family val="2"/>
      </rPr>
      <t xml:space="preserve">원</t>
    </r>
    <r>
      <rPr>
        <b val="true"/>
        <sz val="9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</si>
  <si>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상승여력 </t>
    </r>
    <r>
      <rPr>
        <b val="true"/>
        <sz val="10"/>
        <color rgb="FFFFFFFF"/>
        <rFont val="맑은 고딕"/>
        <family val="0"/>
        <charset val="1"/>
      </rPr>
      <t xml:space="preserve">(%)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</si>
  <si>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Target P/E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05_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1_Valuation </t>
    </r>
    <r>
      <rPr>
        <i val="true"/>
        <sz val="9"/>
        <color rgb="FF595959"/>
        <rFont val="Noto Sans CJK SC"/>
        <family val="2"/>
      </rPr>
      <t xml:space="preserve">시트의 산출값</t>
    </r>
    <r>
      <rPr>
        <i val="true"/>
        <sz val="9"/>
        <color rgb="FF595959"/>
        <rFont val="맑은 고딕"/>
        <family val="0"/>
        <charset val="1"/>
      </rPr>
      <t xml:space="preserve">(43.82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으로 고정하고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만 변화시킨 경우입니다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</si>
  <si>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민감도는 자체 계산</t>
    </r>
  </si>
  <si>
    <r>
      <rPr>
        <b val="true"/>
        <sz val="13"/>
        <color rgb="FF1F6E6A"/>
        <rFont val="Noto Sans CJK SC"/>
        <family val="2"/>
      </rPr>
      <t xml:space="preserve">투자의견 및 </t>
    </r>
    <r>
      <rPr>
        <b val="true"/>
        <sz val="13"/>
        <color rgb="FF1F6E6A"/>
        <rFont val="맑은 고딕"/>
        <family val="0"/>
        <charset val="1"/>
      </rPr>
      <t xml:space="preserve">Key Data</t>
    </r>
  </si>
  <si>
    <r>
      <rPr>
        <i val="true"/>
        <sz val="9"/>
        <color rgb="FF595959"/>
        <rFont val="Noto Sans CJK SC"/>
        <family val="2"/>
      </rPr>
      <t xml:space="preserve">하나증권 </t>
    </r>
    <r>
      <rPr>
        <i val="true"/>
        <sz val="9"/>
        <color rgb="FF595959"/>
        <rFont val="맑은 고딕"/>
        <family val="0"/>
        <charset val="1"/>
      </rPr>
      <t xml:space="preserve">ISC(095340) 4Q25 Earnings Review </t>
    </r>
    <r>
      <rPr>
        <i val="true"/>
        <sz val="9"/>
        <color rgb="FF595959"/>
        <rFont val="Noto Sans CJK SC"/>
        <family val="2"/>
      </rPr>
      <t xml:space="preserve">표지 </t>
    </r>
    <r>
      <rPr>
        <i val="true"/>
        <sz val="9"/>
        <color rgb="FF595959"/>
        <rFont val="맑은 고딕"/>
        <family val="0"/>
        <charset val="1"/>
      </rPr>
      <t xml:space="preserve">(2026.02.04)</t>
    </r>
  </si>
  <si>
    <t xml:space="preserve">  ① 리포트 개요</t>
  </si>
  <si>
    <t xml:space="preserve">개요</t>
  </si>
  <si>
    <t xml:space="preserve">종목명</t>
  </si>
  <si>
    <t xml:space="preserve">ISC</t>
  </si>
  <si>
    <t xml:space="preserve">코스닥 상장</t>
  </si>
  <si>
    <t xml:space="preserve">종목코드</t>
  </si>
  <si>
    <t xml:space="preserve">095340</t>
  </si>
  <si>
    <t xml:space="preserve">발간일</t>
  </si>
  <si>
    <t xml:space="preserve">2026-02-04</t>
  </si>
  <si>
    <r>
      <rPr>
        <sz val="9"/>
        <color rgb="FF595959"/>
        <rFont val="Noto Sans CJK SC"/>
        <family val="2"/>
      </rPr>
      <t xml:space="preserve">기업분석</t>
    </r>
    <r>
      <rPr>
        <sz val="9"/>
        <color rgb="FF595959"/>
        <rFont val="맑은 고딕"/>
        <family val="0"/>
        <charset val="1"/>
      </rPr>
      <t xml:space="preserve">_Earnings Review</t>
    </r>
  </si>
  <si>
    <t xml:space="preserve">리포트 제목</t>
  </si>
  <si>
    <t xml:space="preserve">이유 없는 증설은 없다</t>
  </si>
  <si>
    <t xml:space="preserve">증권사</t>
  </si>
  <si>
    <t xml:space="preserve">하나증권 리서치센터</t>
  </si>
  <si>
    <t xml:space="preserve">Analyst</t>
  </si>
  <si>
    <t xml:space="preserve">김민경</t>
  </si>
  <si>
    <t xml:space="preserve">minkyung.kim@hanafn.com</t>
  </si>
  <si>
    <t xml:space="preserve">투자의견</t>
  </si>
  <si>
    <t xml:space="preserve">BUY</t>
  </si>
  <si>
    <t xml:space="preserve">유지</t>
  </si>
  <si>
    <r>
      <rPr>
        <b val="true"/>
        <sz val="10"/>
        <color rgb="FF000000"/>
        <rFont val="Noto Sans CJK SC"/>
        <family val="2"/>
      </rPr>
      <t xml:space="preserve">목표주가 </t>
    </r>
    <r>
      <rPr>
        <b val="true"/>
        <sz val="10"/>
        <color rgb="FF000000"/>
        <rFont val="맑은 고딕"/>
        <family val="0"/>
        <charset val="1"/>
      </rPr>
      <t xml:space="preserve">(12M)</t>
    </r>
  </si>
  <si>
    <r>
      <rPr>
        <sz val="9"/>
        <color rgb="FF595959"/>
        <rFont val="Noto Sans CJK SC"/>
        <family val="2"/>
      </rPr>
      <t xml:space="preserve">상향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기존 </t>
    </r>
    <r>
      <rPr>
        <sz val="9"/>
        <color rgb="FF595959"/>
        <rFont val="맑은 고딕"/>
        <family val="0"/>
        <charset val="1"/>
      </rPr>
      <t xml:space="preserve">130,000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</si>
  <si>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2026.02.04 </t>
    </r>
    <r>
      <rPr>
        <sz val="9"/>
        <color rgb="FF595959"/>
        <rFont val="Noto Sans CJK SC"/>
        <family val="2"/>
      </rPr>
      <t xml:space="preserve">종가</t>
    </r>
  </si>
  <si>
    <r>
      <rPr>
        <sz val="9"/>
        <color rgb="FF595959"/>
        <rFont val="맑은 고딕"/>
        <family val="0"/>
        <charset val="1"/>
      </rPr>
      <t xml:space="preserve">05_</t>
    </r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1_Valuation </t>
    </r>
    <r>
      <rPr>
        <sz val="9"/>
        <color rgb="FF595959"/>
        <rFont val="Noto Sans CJK SC"/>
        <family val="2"/>
      </rPr>
      <t xml:space="preserve">시트 산출값 참조</t>
    </r>
  </si>
  <si>
    <t xml:space="preserve">  ② Key Data</t>
  </si>
  <si>
    <t xml:space="preserve">Key Data</t>
  </si>
  <si>
    <r>
      <rPr>
        <sz val="10"/>
        <color rgb="FF000000"/>
        <rFont val="맑은 고딕"/>
        <family val="0"/>
        <charset val="1"/>
      </rPr>
      <t xml:space="preserve">KOSDAQ </t>
    </r>
    <r>
      <rPr>
        <sz val="10"/>
        <color rgb="FF000000"/>
        <rFont val="Noto Sans CJK SC"/>
        <family val="2"/>
      </rPr>
      <t xml:space="preserve">지수</t>
    </r>
  </si>
  <si>
    <t xml:space="preserve">pt</t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</si>
  <si>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최저</t>
    </r>
  </si>
  <si>
    <t xml:space="preserve">150,700/43,600</t>
  </si>
  <si>
    <r>
      <rPr>
        <sz val="9"/>
        <color rgb="FF595959"/>
        <rFont val="Noto Sans CJK SC"/>
        <family val="2"/>
      </rPr>
      <t xml:space="preserve">원문 표기 그대로 한 행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최고 </t>
    </r>
    <r>
      <rPr>
        <sz val="9"/>
        <color rgb="FF595959"/>
        <rFont val="맑은 고딕"/>
        <family val="0"/>
        <charset val="1"/>
      </rPr>
      <t xml:space="preserve">150,700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최저 </t>
    </r>
    <r>
      <rPr>
        <sz val="9"/>
        <color rgb="FF595959"/>
        <rFont val="맑은 고딕"/>
        <family val="0"/>
        <charset val="1"/>
      </rPr>
      <t xml:space="preserve">43,600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</si>
  <si>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시가총액</t>
  </si>
  <si>
    <t xml:space="preserve">시가총액비중</t>
  </si>
  <si>
    <t xml:space="preserve">코스닥 시장 내 비중</t>
  </si>
  <si>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일 평균 거래량</t>
    </r>
  </si>
  <si>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일 평균 거래대금</t>
    </r>
  </si>
  <si>
    <t xml:space="preserve">외국인지분율</t>
  </si>
  <si>
    <r>
      <rPr>
        <sz val="10"/>
        <color rgb="FF000000"/>
        <rFont val="Noto Sans CJK SC"/>
        <family val="2"/>
      </rPr>
      <t xml:space="preserve">주요주주 지분율 — </t>
    </r>
    <r>
      <rPr>
        <sz val="10"/>
        <color rgb="FF000000"/>
        <rFont val="맑은 고딕"/>
        <family val="0"/>
        <charset val="1"/>
      </rPr>
      <t xml:space="preserve">SKC </t>
    </r>
    <r>
      <rPr>
        <sz val="10"/>
        <color rgb="FF000000"/>
        <rFont val="Noto Sans CJK SC"/>
        <family val="2"/>
      </rPr>
      <t xml:space="preserve">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인</t>
    </r>
  </si>
  <si>
    <t xml:space="preserve">주요주주 지분율 — 국민연금공단</t>
  </si>
  <si>
    <t xml:space="preserve">  ③ 정합성 체크</t>
  </si>
  <si>
    <t xml:space="preserve">계산값</t>
  </si>
  <si>
    <r>
      <rPr>
        <sz val="10"/>
        <color rgb="FF000000"/>
        <rFont val="Noto Sans CJK SC"/>
        <family val="2"/>
      </rPr>
      <t xml:space="preserve">시가총액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현재주가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발행주식수</t>
    </r>
  </si>
  <si>
    <r>
      <rPr>
        <sz val="9"/>
        <color rgb="FF595959"/>
        <rFont val="맑은 고딕"/>
        <family val="0"/>
        <charset val="1"/>
      </rPr>
      <t xml:space="preserve">143,100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× 21,197.1</t>
    </r>
    <r>
      <rPr>
        <sz val="9"/>
        <color rgb="FF595959"/>
        <rFont val="Noto Sans CJK SC"/>
        <family val="2"/>
      </rPr>
      <t xml:space="preserve">천주 </t>
    </r>
    <r>
      <rPr>
        <sz val="9"/>
        <color rgb="FF595959"/>
        <rFont val="맑은 고딕"/>
        <family val="0"/>
        <charset val="1"/>
      </rPr>
      <t xml:space="preserve">÷ 1,000,000 = </t>
    </r>
    <r>
      <rPr>
        <sz val="9"/>
        <color rgb="FF595959"/>
        <rFont val="Noto Sans CJK SC"/>
        <family val="2"/>
      </rPr>
      <t xml:space="preserve">십억원</t>
    </r>
  </si>
  <si>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에 가까우면 정상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반올림 표기 차이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</si>
  <si>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최고 대비 현재주가</t>
    </r>
  </si>
  <si>
    <r>
      <rPr>
        <sz val="9"/>
        <color rgb="FF595959"/>
        <rFont val="맑은 고딕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주 최고가 </t>
    </r>
    <r>
      <rPr>
        <sz val="9"/>
        <color rgb="FF595959"/>
        <rFont val="맑은 고딕"/>
        <family val="0"/>
        <charset val="1"/>
      </rPr>
      <t xml:space="preserve">150,700</t>
    </r>
    <r>
      <rPr>
        <sz val="9"/>
        <color rgb="FF595959"/>
        <rFont val="Noto Sans CJK SC"/>
        <family val="2"/>
      </rPr>
      <t xml:space="preserve">원 대비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</si>
  <si>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최저 대비 현재주가</t>
    </r>
  </si>
  <si>
    <r>
      <rPr>
        <sz val="9"/>
        <color rgb="FF595959"/>
        <rFont val="맑은 고딕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주 최저가 </t>
    </r>
    <r>
      <rPr>
        <sz val="9"/>
        <color rgb="FF595959"/>
        <rFont val="맑은 고딕"/>
        <family val="0"/>
        <charset val="1"/>
      </rPr>
      <t xml:space="preserve">43,600</t>
    </r>
    <r>
      <rPr>
        <sz val="9"/>
        <color rgb="FF595959"/>
        <rFont val="Noto Sans CJK SC"/>
        <family val="2"/>
      </rPr>
      <t xml:space="preserve">원 대비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</si>
  <si>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하나증권</t>
    </r>
  </si>
  <si>
    <t xml:space="preserve">Consensus Data</t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</si>
  <si>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p.1 </t>
    </r>
    <r>
      <rPr>
        <i val="true"/>
        <sz val="9"/>
        <color rgb="FF595959"/>
        <rFont val="Noto Sans CJK SC"/>
        <family val="2"/>
      </rPr>
      <t xml:space="preserve">게재 시장 컨센서스</t>
    </r>
  </si>
  <si>
    <r>
      <rPr>
        <b val="true"/>
        <sz val="10"/>
        <color rgb="FF1F6E6A"/>
        <rFont val="Noto Sans CJK SC"/>
        <family val="2"/>
      </rPr>
      <t xml:space="preserve">  ① 컨센서스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원문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</si>
  <si>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2026</t>
  </si>
  <si>
    <t xml:space="preserve">컨센서스</t>
  </si>
  <si>
    <t xml:space="preserve">순이익</t>
  </si>
  <si>
    <r>
      <rPr>
        <b val="true"/>
        <sz val="10"/>
        <color rgb="FF1F6E6A"/>
        <rFont val="Noto Sans CJK SC"/>
        <family val="2"/>
      </rPr>
      <t xml:space="preserve">  정합성 체크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원문에 없는 파생 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</si>
  <si>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영업이익률 </t>
    </r>
    <r>
      <rPr>
        <sz val="10"/>
        <color rgb="FF000000"/>
        <rFont val="맑은 고딕"/>
        <family val="0"/>
        <charset val="1"/>
      </rPr>
      <t xml:space="preserve">(OPM)</t>
    </r>
  </si>
  <si>
    <t xml:space="preserve">순이익률</t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</si>
  <si>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위 표는 리포트 </t>
    </r>
    <r>
      <rPr>
        <i val="true"/>
        <sz val="9"/>
        <color rgb="FF595959"/>
        <rFont val="맑은 고딕"/>
        <family val="0"/>
        <charset val="1"/>
      </rPr>
      <t xml:space="preserve">p.1 Consensus Data </t>
    </r>
    <r>
      <rPr>
        <i val="true"/>
        <sz val="9"/>
        <color rgb="FF595959"/>
        <rFont val="Noto Sans CJK SC"/>
        <family val="2"/>
      </rPr>
      <t xml:space="preserve">를 행 순서 그대로 옮긴 것입니다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추정치와의 괴리율은 원문에 없는 파생 계산이라 </t>
    </r>
    <r>
      <rPr>
        <i val="true"/>
        <sz val="9"/>
        <color rgb="FF595959"/>
        <rFont val="맑은 고딕"/>
        <family val="0"/>
        <charset val="1"/>
      </rPr>
      <t xml:space="preserve">D1_</t>
    </r>
    <r>
      <rPr>
        <i val="true"/>
        <sz val="9"/>
        <color rgb="FF595959"/>
        <rFont val="Noto Sans CJK SC"/>
        <family val="2"/>
      </rPr>
      <t xml:space="preserve">컨센서스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괴리율 시트로 분리했습니다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</si>
  <si>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맑은 고딕"/>
        <family val="0"/>
        <charset val="1"/>
      </rPr>
      <t xml:space="preserve">p.1  Stock Price  —  </t>
    </r>
    <r>
      <rPr>
        <b val="true"/>
        <sz val="13"/>
        <color rgb="FF1F6E6A"/>
        <rFont val="Noto Sans CJK SC"/>
        <family val="2"/>
      </rPr>
      <t xml:space="preserve">주가 및 시가총액 추이</t>
    </r>
  </si>
  <si>
    <r>
      <rPr>
        <i val="true"/>
        <sz val="9"/>
        <color rgb="FF595959"/>
        <rFont val="Noto Sans CJK SC"/>
        <family val="2"/>
      </rPr>
      <t xml:space="preserve">원문 차트는 </t>
    </r>
    <r>
      <rPr>
        <i val="true"/>
        <sz val="9"/>
        <color rgb="FF595959"/>
        <rFont val="맑은 고딕"/>
        <family val="0"/>
        <charset val="1"/>
      </rPr>
      <t xml:space="preserve">25.1~26.1 </t>
    </r>
    <r>
      <rPr>
        <i val="true"/>
        <sz val="9"/>
        <color rgb="FF595959"/>
        <rFont val="Noto Sans CJK SC"/>
        <family val="2"/>
      </rPr>
      <t xml:space="preserve">월별 주가와 </t>
    </r>
    <r>
      <rPr>
        <i val="true"/>
        <sz val="9"/>
        <color rgb="FF595959"/>
        <rFont val="맑은 고딕"/>
        <family val="0"/>
        <charset val="1"/>
      </rPr>
      <t xml:space="preserve">KOSDAQ </t>
    </r>
    <r>
      <rPr>
        <i val="true"/>
        <sz val="9"/>
        <color rgb="FF595959"/>
        <rFont val="Noto Sans CJK SC"/>
        <family val="2"/>
      </rPr>
      <t xml:space="preserve">상대지수입니다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월별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지수 시계열은 공개 자료로 확보하지 못해 분기말 종가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시가총액으로 대체했습니다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확보 구간 </t>
    </r>
    <r>
      <rPr>
        <i val="true"/>
        <sz val="9"/>
        <color rgb="FF595959"/>
        <rFont val="맑은 고딕"/>
        <family val="0"/>
        <charset val="1"/>
      </rPr>
      <t xml:space="preserve">1Q22~2Q26).</t>
    </r>
  </si>
  <si>
    <t xml:space="preserve">1Q22</t>
  </si>
  <si>
    <t xml:space="preserve">2Q22</t>
  </si>
  <si>
    <t xml:space="preserve">3Q22</t>
  </si>
  <si>
    <t xml:space="preserve">4Q22</t>
  </si>
  <si>
    <t xml:space="preserve">1Q23</t>
  </si>
  <si>
    <t xml:space="preserve">2Q23</t>
  </si>
  <si>
    <t xml:space="preserve">3Q23</t>
  </si>
  <si>
    <t xml:space="preserve">4Q23</t>
  </si>
  <si>
    <t xml:space="preserve">1Q24</t>
  </si>
  <si>
    <t xml:space="preserve">2Q24</t>
  </si>
  <si>
    <t xml:space="preserve">3Q24</t>
  </si>
  <si>
    <t xml:space="preserve">4Q24</t>
  </si>
  <si>
    <t xml:space="preserve">1Q26</t>
  </si>
  <si>
    <t xml:space="preserve">2Q26</t>
  </si>
  <si>
    <t xml:space="preserve">분기말 종가</t>
  </si>
  <si>
    <t xml:space="preserve">상장주식수</t>
  </si>
  <si>
    <t xml:space="preserve">  직전 분기 대비 등락률</t>
  </si>
  <si>
    <t xml:space="preserve">  리포트 표지 기재값 대조</t>
  </si>
  <si>
    <r>
      <rPr>
        <sz val="10"/>
        <color rgb="FF000000"/>
        <rFont val="Noto Sans CJK SC"/>
        <family val="2"/>
      </rPr>
      <t xml:space="preserve">현재주가 </t>
    </r>
    <r>
      <rPr>
        <sz val="10"/>
        <color rgb="FF000000"/>
        <rFont val="맑은 고딕"/>
        <family val="0"/>
        <charset val="1"/>
      </rPr>
      <t xml:space="preserve">(2026.02.04)</t>
    </r>
  </si>
  <si>
    <r>
      <rPr>
        <sz val="9"/>
        <color rgb="FF595959"/>
        <rFont val="맑은 고딕"/>
        <family val="0"/>
        <charset val="1"/>
      </rPr>
      <t xml:space="preserve">01_p1_</t>
    </r>
    <r>
      <rPr>
        <sz val="9"/>
        <color rgb="FF595959"/>
        <rFont val="Noto Sans CJK SC"/>
        <family val="2"/>
      </rPr>
      <t xml:space="preserve">투자의견</t>
    </r>
    <r>
      <rPr>
        <sz val="9"/>
        <color rgb="FF595959"/>
        <rFont val="맑은 고딕"/>
        <family val="0"/>
        <charset val="1"/>
      </rPr>
      <t xml:space="preserve">_KeyData </t>
    </r>
    <r>
      <rPr>
        <sz val="9"/>
        <color rgb="FF595959"/>
        <rFont val="Noto Sans CJK SC"/>
        <family val="2"/>
      </rPr>
      <t xml:space="preserve">참조</t>
    </r>
  </si>
  <si>
    <r>
      <rPr>
        <sz val="10"/>
        <color rgb="FF000000"/>
        <rFont val="Noto Sans CJK SC"/>
        <family val="2"/>
      </rPr>
      <t xml:space="preserve">시가총액 </t>
    </r>
    <r>
      <rPr>
        <sz val="10"/>
        <color rgb="FF000000"/>
        <rFont val="맑은 고딕"/>
        <family val="0"/>
        <charset val="1"/>
      </rPr>
      <t xml:space="preserve">(2026.02.04)</t>
    </r>
  </si>
  <si>
    <r>
      <rPr>
        <sz val="9"/>
        <color rgb="FF595959"/>
        <rFont val="맑은 고딕"/>
        <family val="0"/>
        <charset val="1"/>
      </rPr>
      <t xml:space="preserve">01_p1_</t>
    </r>
    <r>
      <rPr>
        <sz val="9"/>
        <color rgb="FF595959"/>
        <rFont val="Noto Sans CJK SC"/>
        <family val="2"/>
      </rPr>
      <t xml:space="preserve">투자의견</t>
    </r>
    <r>
      <rPr>
        <sz val="9"/>
        <color rgb="FF595959"/>
        <rFont val="맑은 고딕"/>
        <family val="0"/>
        <charset val="1"/>
      </rPr>
      <t xml:space="preserve">_KeyData </t>
    </r>
    <r>
      <rPr>
        <sz val="9"/>
        <color rgb="FF595959"/>
        <rFont val="Noto Sans CJK SC"/>
        <family val="2"/>
      </rPr>
      <t xml:space="preserve">참조</t>
    </r>
    <r>
      <rPr>
        <sz val="9"/>
        <color rgb="FF595959"/>
        <rFont val="맑은 고딕"/>
        <family val="0"/>
        <charset val="1"/>
      </rPr>
      <t xml:space="preserve">. 143,100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× 21,197,058</t>
    </r>
    <r>
      <rPr>
        <sz val="9"/>
        <color rgb="FF595959"/>
        <rFont val="Noto Sans CJK SC"/>
        <family val="2"/>
      </rPr>
      <t xml:space="preserve">주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</si>
  <si>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최고</t>
    </r>
  </si>
  <si>
    <r>
      <rPr>
        <sz val="9"/>
        <color rgb="FF595959"/>
        <rFont val="맑은 고딕"/>
        <family val="0"/>
        <charset val="1"/>
      </rPr>
      <t xml:space="preserve">1Q26 </t>
    </r>
    <r>
      <rPr>
        <sz val="9"/>
        <color rgb="FF595959"/>
        <rFont val="Noto Sans CJK SC"/>
        <family val="2"/>
      </rPr>
      <t xml:space="preserve">분기말 종가 </t>
    </r>
    <r>
      <rPr>
        <sz val="9"/>
        <color rgb="FF595959"/>
        <rFont val="맑은 고딕"/>
        <family val="0"/>
        <charset val="1"/>
      </rPr>
      <t xml:space="preserve">233,000</t>
    </r>
    <r>
      <rPr>
        <sz val="9"/>
        <color rgb="FF595959"/>
        <rFont val="Noto Sans CJK SC"/>
        <family val="2"/>
      </rPr>
      <t xml:space="preserve">원보다 낮은 것은 리포트 발간일</t>
    </r>
    <r>
      <rPr>
        <sz val="9"/>
        <color rgb="FF595959"/>
        <rFont val="맑은 고딕"/>
        <family val="0"/>
        <charset val="1"/>
      </rPr>
      <t xml:space="preserve">(2026.02.04) </t>
    </r>
    <r>
      <rPr>
        <sz val="9"/>
        <color rgb="FF595959"/>
        <rFont val="Noto Sans CJK SC"/>
        <family val="2"/>
      </rPr>
      <t xml:space="preserve">기준이기 때문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</si>
  <si>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최저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</si>
  <si>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Key Data</t>
    </r>
    <r>
      <rPr>
        <sz val="9"/>
        <color rgb="FF595959"/>
        <rFont val="Noto Sans CJK SC"/>
        <family val="2"/>
      </rPr>
      <t xml:space="preserve">는 최고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최저를 한 행에 묶어 표기하므로 여기서는 숫자로 분리해 실었습니다</t>
    </r>
  </si>
  <si>
    <r>
      <rPr>
        <sz val="10"/>
        <color rgb="FF000000"/>
        <rFont val="맑은 고딕"/>
        <family val="0"/>
        <charset val="1"/>
      </rPr>
      <t xml:space="preserve">KOSDAQ </t>
    </r>
    <r>
      <rPr>
        <sz val="10"/>
        <color rgb="FF000000"/>
        <rFont val="Noto Sans CJK SC"/>
        <family val="2"/>
      </rPr>
      <t xml:space="preserve">지수 </t>
    </r>
    <r>
      <rPr>
        <sz val="10"/>
        <color rgb="FF000000"/>
        <rFont val="맑은 고딕"/>
        <family val="0"/>
        <charset val="1"/>
      </rPr>
      <t xml:space="preserve">(2026.02.04)</t>
    </r>
  </si>
  <si>
    <t xml:space="preserve">상대지수 계산에 쓸 수 있는 유일한 지수 데이터</t>
  </si>
  <si>
    <r>
      <rPr>
        <b val="true"/>
        <sz val="10"/>
        <color rgb="FF1F6E6A"/>
        <rFont val="Noto Sans CJK SC"/>
        <family val="2"/>
      </rPr>
      <t xml:space="preserve">  출처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셀 단위 근거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</si>
  <si>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출처</t>
  </si>
  <si>
    <r>
      <rPr>
        <b val="true"/>
        <sz val="10"/>
        <color rgb="FFFFFFFF"/>
        <rFont val="맑은 고딕"/>
        <family val="0"/>
        <charset val="1"/>
      </rPr>
      <t xml:space="preserve">URL / </t>
    </r>
    <r>
      <rPr>
        <b val="true"/>
        <sz val="10"/>
        <color rgb="FFFFFFFF"/>
        <rFont val="Noto Sans CJK SC"/>
        <family val="2"/>
      </rPr>
      <t xml:space="preserve">접수번호</t>
    </r>
  </si>
  <si>
    <r>
      <rPr>
        <sz val="10"/>
        <color rgb="FF000000"/>
        <rFont val="Noto Sans CJK SC"/>
        <family val="2"/>
      </rPr>
      <t xml:space="preserve">분기말 종가 </t>
    </r>
    <r>
      <rPr>
        <sz val="10"/>
        <color rgb="FF000000"/>
        <rFont val="맑은 고딕"/>
        <family val="0"/>
        <charset val="1"/>
      </rPr>
      <t xml:space="preserve">1Q22~2Q26</t>
    </r>
  </si>
  <si>
    <r>
      <rPr>
        <sz val="9"/>
        <color rgb="FF000000"/>
        <rFont val="맑은 고딕"/>
        <family val="0"/>
        <charset val="1"/>
      </rPr>
      <t xml:space="preserve">stockanalysis.com </t>
    </r>
    <r>
      <rPr>
        <sz val="9"/>
        <color rgb="FF000000"/>
        <rFont val="Noto Sans CJK SC"/>
        <family val="2"/>
      </rPr>
      <t xml:space="preserve">분기 시가총액 </t>
    </r>
    <r>
      <rPr>
        <sz val="9"/>
        <color rgb="FF000000"/>
        <rFont val="맑은 고딕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주식수 역산값</t>
    </r>
    <r>
      <rPr>
        <sz val="9"/>
        <color rgb="FF000000"/>
        <rFont val="맑은 고딕"/>
        <family val="0"/>
        <charset val="1"/>
      </rPr>
      <t xml:space="preserve">. 4Q21·4Q22·4Q23·4Q24 </t>
    </r>
    <r>
      <rPr>
        <sz val="9"/>
        <color rgb="FF000000"/>
        <rFont val="Noto Sans CJK SC"/>
        <family val="2"/>
      </rPr>
      <t xml:space="preserve">연말 종가는 </t>
    </r>
    <r>
      <rPr>
        <sz val="9"/>
        <color rgb="FF000000"/>
        <rFont val="맑은 고딕"/>
        <family val="0"/>
        <charset val="1"/>
      </rPr>
      <t xml:space="preserve">MarketScreener </t>
    </r>
    <r>
      <rPr>
        <sz val="9"/>
        <color rgb="FF000000"/>
        <rFont val="Noto Sans CJK SC"/>
        <family val="2"/>
      </rPr>
      <t xml:space="preserve">무수정 종가와 정확히 일치해 교차검증됨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전 분기 값이 호가단위</t>
    </r>
    <r>
      <rPr>
        <sz val="9"/>
        <color rgb="FF000000"/>
        <rFont val="맑은 고딕"/>
        <family val="0"/>
        <charset val="1"/>
      </rPr>
      <t xml:space="preserve">(50</t>
    </r>
    <r>
      <rPr>
        <sz val="9"/>
        <color rgb="FF000000"/>
        <rFont val="Noto Sans CJK SC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에 정확히 떨어짐</t>
    </r>
  </si>
  <si>
    <t xml:space="preserve">stockanalysis.com/quote/kosdaq/095340</t>
  </si>
  <si>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월 유상증자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신주 </t>
    </r>
    <r>
      <rPr>
        <sz val="9"/>
        <color rgb="FF000000"/>
        <rFont val="맑은 고딕"/>
        <family val="0"/>
        <charset val="1"/>
      </rPr>
      <t xml:space="preserve">3,797,587</t>
    </r>
    <r>
      <rPr>
        <sz val="9"/>
        <color rgb="FF000000"/>
        <rFont val="Noto Sans CJK SC"/>
        <family val="2"/>
      </rPr>
      <t xml:space="preserve">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발행가 </t>
    </r>
    <r>
      <rPr>
        <sz val="9"/>
        <color rgb="FF000000"/>
        <rFont val="맑은 고딕"/>
        <family val="0"/>
        <charset val="1"/>
      </rPr>
      <t xml:space="preserve">52,665</t>
    </r>
    <r>
      <rPr>
        <sz val="9"/>
        <color rgb="FF000000"/>
        <rFont val="Noto Sans CJK SC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전 </t>
    </r>
    <r>
      <rPr>
        <sz val="9"/>
        <color rgb="FF000000"/>
        <rFont val="맑은 고딕"/>
        <family val="0"/>
        <charset val="1"/>
      </rPr>
      <t xml:space="preserve">17,339,471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후 </t>
    </r>
    <r>
      <rPr>
        <sz val="9"/>
        <color rgb="FF000000"/>
        <rFont val="맑은 고딕"/>
        <family val="0"/>
        <charset val="1"/>
      </rPr>
      <t xml:space="preserve">21,137,058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21,197,058</t>
    </r>
    <r>
      <rPr>
        <sz val="9"/>
        <color rgb="FF000000"/>
        <rFont val="Noto Sans CJK SC"/>
        <family val="2"/>
      </rPr>
      <t xml:space="preserve">주</t>
    </r>
  </si>
  <si>
    <r>
      <rPr>
        <sz val="9"/>
        <color rgb="FF595959"/>
        <rFont val="맑은 고딕"/>
        <family val="0"/>
        <charset val="1"/>
      </rPr>
      <t xml:space="preserve">SK</t>
    </r>
    <r>
      <rPr>
        <sz val="9"/>
        <color rgb="FF595959"/>
        <rFont val="Noto Sans CJK SC"/>
        <family val="2"/>
      </rPr>
      <t xml:space="preserve">증권 </t>
    </r>
    <r>
      <rPr>
        <sz val="9"/>
        <color rgb="FF595959"/>
        <rFont val="맑은 고딕"/>
        <family val="0"/>
        <charset val="1"/>
      </rPr>
      <t xml:space="preserve">2023.07.10 </t>
    </r>
    <r>
      <rPr>
        <sz val="9"/>
        <color rgb="FF595959"/>
        <rFont val="Noto Sans CJK SC"/>
        <family val="2"/>
      </rPr>
      <t xml:space="preserve">리포트</t>
    </r>
    <r>
      <rPr>
        <sz val="9"/>
        <color rgb="FF595959"/>
        <rFont val="맑은 고딕"/>
        <family val="0"/>
        <charset val="1"/>
      </rPr>
      <t xml:space="preserve">, wisereport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</si>
  <si>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표지 차트의 </t>
    </r>
    <r>
      <rPr>
        <i val="true"/>
        <sz val="9"/>
        <color rgb="FF595959"/>
        <rFont val="맑은 고딕"/>
        <family val="0"/>
        <charset val="1"/>
      </rPr>
      <t xml:space="preserve">KOSDAQ </t>
    </r>
    <r>
      <rPr>
        <i val="true"/>
        <sz val="9"/>
        <color rgb="FF595959"/>
        <rFont val="Noto Sans CJK SC"/>
        <family val="2"/>
      </rPr>
      <t xml:space="preserve">상대지수 시계열은 확보하지 못했습니다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지수 대비 상대강도가 필요하면 </t>
    </r>
    <r>
      <rPr>
        <i val="true"/>
        <sz val="9"/>
        <color rgb="FF595959"/>
        <rFont val="맑은 고딕"/>
        <family val="0"/>
        <charset val="1"/>
      </rPr>
      <t xml:space="preserve">KOSDAQ </t>
    </r>
    <r>
      <rPr>
        <i val="true"/>
        <sz val="9"/>
        <color rgb="FF595959"/>
        <rFont val="Noto Sans CJK SC"/>
        <family val="2"/>
      </rPr>
      <t xml:space="preserve">지수 분기말 종가를 한 줄 추가해 계산하면 됩니다 </t>
    </r>
    <r>
      <rPr>
        <i val="true"/>
        <sz val="9"/>
        <color rgb="FF595959"/>
        <rFont val="맑은 고딕"/>
        <family val="0"/>
        <charset val="1"/>
      </rPr>
      <t xml:space="preserve">(01_p1_</t>
    </r>
    <r>
      <rPr>
        <i val="true"/>
        <sz val="9"/>
        <color rgb="FF595959"/>
        <rFont val="Noto Sans CJK SC"/>
        <family val="2"/>
      </rPr>
      <t xml:space="preserve">투자의견</t>
    </r>
    <r>
      <rPr>
        <i val="true"/>
        <sz val="9"/>
        <color rgb="FF595959"/>
        <rFont val="맑은 고딕"/>
        <family val="0"/>
        <charset val="1"/>
      </rPr>
      <t xml:space="preserve">_KeyData </t>
    </r>
    <r>
      <rPr>
        <i val="true"/>
        <sz val="9"/>
        <color rgb="FF595959"/>
        <rFont val="Noto Sans CJK SC"/>
        <family val="2"/>
      </rPr>
      <t xml:space="preserve">시트에 </t>
    </r>
    <r>
      <rPr>
        <i val="true"/>
        <sz val="9"/>
        <color rgb="FF595959"/>
        <rFont val="맑은 고딕"/>
        <family val="0"/>
        <charset val="1"/>
      </rPr>
      <t xml:space="preserve">2026.02.04 </t>
    </r>
    <r>
      <rPr>
        <i val="true"/>
        <sz val="9"/>
        <color rgb="FF595959"/>
        <rFont val="Noto Sans CJK SC"/>
        <family val="2"/>
      </rPr>
      <t xml:space="preserve">지수 </t>
    </r>
    <r>
      <rPr>
        <i val="true"/>
        <sz val="9"/>
        <color rgb="FF595959"/>
        <rFont val="맑은 고딕"/>
        <family val="0"/>
        <charset val="1"/>
      </rPr>
      <t xml:space="preserve">1,149.43</t>
    </r>
    <r>
      <rPr>
        <i val="true"/>
        <sz val="9"/>
        <color rgb="FF595959"/>
        <rFont val="Noto Sans CJK SC"/>
        <family val="2"/>
      </rPr>
      <t xml:space="preserve">만 있음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</si>
  <si>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3"/>
        <color rgb="FF1F6E6A"/>
        <rFont val="맑은 고딕"/>
        <family val="0"/>
        <charset val="1"/>
      </rPr>
      <t xml:space="preserve">Financial Data (</t>
    </r>
    <r>
      <rPr>
        <b val="true"/>
        <sz val="13"/>
        <color rgb="FF1F6E6A"/>
        <rFont val="Noto Sans CJK SC"/>
        <family val="2"/>
      </rPr>
      <t xml:space="preserve">요약 투자지표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</si>
  <si>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p.1 </t>
    </r>
    <r>
      <rPr>
        <i val="true"/>
        <sz val="9"/>
        <color rgb="FF595959"/>
        <rFont val="Noto Sans CJK SC"/>
        <family val="2"/>
      </rPr>
      <t xml:space="preserve">게재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%, 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원</t>
    </r>
  </si>
  <si>
    <t xml:space="preserve">투자지표</t>
  </si>
  <si>
    <t xml:space="preserve">증감율</t>
  </si>
  <si>
    <t xml:space="preserve">PER</t>
  </si>
  <si>
    <t xml:space="preserve">PBR</t>
  </si>
  <si>
    <t xml:space="preserve">EV/EBITDA</t>
  </si>
  <si>
    <t xml:space="preserve">ROE</t>
  </si>
  <si>
    <t xml:space="preserve">DPS</t>
  </si>
  <si>
    <r>
      <rPr>
        <b val="true"/>
        <sz val="10"/>
        <color rgb="FF1F6E6A"/>
        <rFont val="Noto Sans CJK SC"/>
        <family val="2"/>
      </rPr>
      <t xml:space="preserve">  정합성 체크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원문 수치를 수식으로 재계산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</si>
  <si>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영업이익률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매출액</t>
    </r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</si>
  <si>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영업이익률과 대조</t>
    </r>
  </si>
  <si>
    <r>
      <rPr>
        <sz val="10"/>
        <color rgb="FF000000"/>
        <rFont val="맑은 고딕"/>
        <family val="0"/>
        <charset val="1"/>
      </rPr>
      <t xml:space="preserve">PER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주가 </t>
    </r>
    <r>
      <rPr>
        <sz val="10"/>
        <color rgb="FF000000"/>
        <rFont val="맑은 고딕"/>
        <family val="0"/>
        <charset val="1"/>
      </rPr>
      <t xml:space="preserve">/ EPS</t>
    </r>
  </si>
  <si>
    <r>
      <rPr>
        <sz val="9"/>
        <color rgb="FF595959"/>
        <rFont val="맑은 고딕"/>
        <family val="0"/>
        <charset val="1"/>
      </rPr>
      <t xml:space="preserve">PER × EPS = </t>
    </r>
    <r>
      <rPr>
        <sz val="9"/>
        <color rgb="FF595959"/>
        <rFont val="Noto Sans CJK SC"/>
        <family val="2"/>
      </rPr>
      <t xml:space="preserve">해당 연도 기준주가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</si>
  <si>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PBR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주가 </t>
    </r>
    <r>
      <rPr>
        <sz val="10"/>
        <color rgb="FF000000"/>
        <rFont val="맑은 고딕"/>
        <family val="0"/>
        <charset val="1"/>
      </rPr>
      <t xml:space="preserve">/ BPS</t>
    </r>
  </si>
  <si>
    <r>
      <rPr>
        <sz val="9"/>
        <color rgb="FF595959"/>
        <rFont val="맑은 고딕"/>
        <family val="0"/>
        <charset val="1"/>
      </rPr>
      <t xml:space="preserve">PBR × BPS = </t>
    </r>
    <r>
      <rPr>
        <sz val="9"/>
        <color rgb="FF595959"/>
        <rFont val="Noto Sans CJK SC"/>
        <family val="2"/>
      </rPr>
      <t xml:space="preserve">해당 연도 기준주가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</si>
  <si>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증감율 재계산</t>
    </r>
  </si>
  <si>
    <r>
      <rPr>
        <sz val="9"/>
        <color rgb="FF595959"/>
        <rFont val="Noto Sans CJK SC"/>
        <family val="2"/>
      </rPr>
      <t xml:space="preserve">원문 증감율과 대조 </t>
    </r>
    <r>
      <rPr>
        <sz val="9"/>
        <color rgb="FF595959"/>
        <rFont val="맑은 고딕"/>
        <family val="0"/>
        <charset val="1"/>
      </rPr>
      <t xml:space="preserve">(2023</t>
    </r>
    <r>
      <rPr>
        <sz val="9"/>
        <color rgb="FF595959"/>
        <rFont val="Noto Sans CJK SC"/>
        <family val="2"/>
      </rPr>
      <t xml:space="preserve">년은 전기 미제공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</si>
  <si>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배당성향 </t>
    </r>
    <r>
      <rPr>
        <sz val="10"/>
        <color rgb="FF000000"/>
        <rFont val="맑은 고딕"/>
        <family val="0"/>
        <charset val="1"/>
      </rPr>
      <t xml:space="preserve">= DPS / EPS</t>
    </r>
  </si>
  <si>
    <r>
      <rPr>
        <sz val="9"/>
        <color rgb="FF595959"/>
        <rFont val="Noto Sans CJK SC"/>
        <family val="2"/>
      </rPr>
      <t xml:space="preserve">주당배당금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주당순이익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</si>
  <si>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여기서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순이익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은 지배주주순이익 기준입니다 </t>
    </r>
    <r>
      <rPr>
        <i val="true"/>
        <sz val="9"/>
        <color rgb="FF595959"/>
        <rFont val="맑은 고딕"/>
        <family val="0"/>
        <charset val="1"/>
      </rPr>
      <t xml:space="preserve">(15_p5_</t>
    </r>
    <r>
      <rPr>
        <i val="true"/>
        <sz val="9"/>
        <color rgb="FF595959"/>
        <rFont val="Noto Sans CJK SC"/>
        <family val="2"/>
      </rPr>
      <t xml:space="preserve">손익계산서의 지배주주순이익과 일치</t>
    </r>
    <r>
      <rPr>
        <i val="true"/>
        <sz val="9"/>
        <color rgb="FF595959"/>
        <rFont val="맑은 고딕"/>
        <family val="0"/>
        <charset val="1"/>
      </rPr>
      <t xml:space="preserve">). PER·PBR × EPS·BPS</t>
    </r>
    <r>
      <rPr>
        <i val="true"/>
        <sz val="9"/>
        <color rgb="FF595959"/>
        <rFont val="Noto Sans CJK SC"/>
        <family val="2"/>
      </rPr>
      <t xml:space="preserve">로 역산되는 기준주가는 각 연도 기말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평균 주가 기준이며 현재주가와 다릅니다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</si>
  <si>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1. ISC</t>
    </r>
    <r>
      <rPr>
        <b val="true"/>
        <sz val="13"/>
        <color rgb="FF1F6E6A"/>
        <rFont val="Noto Sans CJK SC"/>
        <family val="2"/>
      </rPr>
      <t xml:space="preserve">의 </t>
    </r>
    <r>
      <rPr>
        <b val="true"/>
        <sz val="13"/>
        <color rgb="FF1F6E6A"/>
        <rFont val="맑은 고딕"/>
        <family val="0"/>
        <charset val="1"/>
      </rPr>
      <t xml:space="preserve">Valuation  —  </t>
    </r>
    <r>
      <rPr>
        <b val="true"/>
        <sz val="13"/>
        <color rgb="FF1F6E6A"/>
        <rFont val="Noto Sans CJK SC"/>
        <family val="2"/>
      </rPr>
      <t xml:space="preserve">수식 연동 모델</t>
    </r>
  </si>
  <si>
    <r>
      <rPr>
        <i val="true"/>
        <sz val="9"/>
        <color rgb="FF595959"/>
        <rFont val="Noto Sans CJK SC"/>
        <family val="2"/>
      </rPr>
      <t xml:space="preserve">연노랑 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입력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만 바꾸면 </t>
    </r>
    <r>
      <rPr>
        <i val="true"/>
        <sz val="9"/>
        <color rgb="FF595959"/>
        <rFont val="맑은 고딕"/>
        <family val="0"/>
        <charset val="1"/>
      </rPr>
      <t xml:space="preserve">Target P/E · </t>
    </r>
    <r>
      <rPr>
        <i val="true"/>
        <sz val="9"/>
        <color rgb="FF595959"/>
        <rFont val="Noto Sans CJK SC"/>
        <family val="2"/>
      </rPr>
      <t xml:space="preserve">목표주가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상승여력과 </t>
    </r>
    <r>
      <rPr>
        <i val="true"/>
        <sz val="9"/>
        <color rgb="FF595959"/>
        <rFont val="맑은 고딕"/>
        <family val="0"/>
        <charset val="1"/>
      </rPr>
      <t xml:space="preserve">M3_</t>
    </r>
    <r>
      <rPr>
        <i val="true"/>
        <sz val="9"/>
        <color rgb="FF595959"/>
        <rFont val="Noto Sans CJK SC"/>
        <family val="2"/>
      </rPr>
      <t xml:space="preserve">민감도분석 시트가 자동으로 다시 계산됩니다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</si>
  <si>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입력값 — 노랑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애널리스트 추정 입력 </t>
    </r>
    <r>
      <rPr>
        <b val="true"/>
        <sz val="10"/>
        <color rgb="FF1F6E6A"/>
        <rFont val="맑은 고딕"/>
        <family val="0"/>
        <charset val="1"/>
      </rPr>
      <t xml:space="preserve">/ </t>
    </r>
    <r>
      <rPr>
        <b val="true"/>
        <sz val="10"/>
        <color rgb="FF1F6E6A"/>
        <rFont val="Noto Sans CJK SC"/>
        <family val="2"/>
      </rPr>
      <t xml:space="preserve">연청회색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공시</t>
    </r>
    <r>
      <rPr>
        <b val="true"/>
        <sz val="10"/>
        <color rgb="FF1F6E6A"/>
        <rFont val="맑은 고딕"/>
        <family val="0"/>
        <charset val="1"/>
      </rPr>
      <t xml:space="preserve">·</t>
    </r>
    <r>
      <rPr>
        <b val="true"/>
        <sz val="10"/>
        <color rgb="FF1F6E6A"/>
        <rFont val="Noto Sans CJK SC"/>
        <family val="2"/>
      </rPr>
      <t xml:space="preserve">시장 자동 수집</t>
    </r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</si>
  <si>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원문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</si>
  <si>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EPS (</t>
    </r>
    <r>
      <rPr>
        <sz val="9"/>
        <color rgb="FF595959"/>
        <rFont val="Noto Sans CJK SC"/>
        <family val="2"/>
      </rPr>
      <t xml:space="preserve">도표 </t>
    </r>
    <r>
      <rPr>
        <sz val="9"/>
        <color rgb="FF595959"/>
        <rFont val="맑은 고딕"/>
        <family val="0"/>
        <charset val="1"/>
      </rPr>
      <t xml:space="preserve">1) — </t>
    </r>
    <r>
      <rPr>
        <sz val="9"/>
        <color rgb="FF595959"/>
        <rFont val="Noto Sans CJK SC"/>
        <family val="2"/>
      </rPr>
      <t xml:space="preserve">애널리스트 추정</t>
    </r>
  </si>
  <si>
    <r>
      <rPr>
        <b val="true"/>
        <sz val="10"/>
        <color rgb="FF000000"/>
        <rFont val="Noto Sans CJK SC"/>
        <family val="2"/>
      </rPr>
      <t xml:space="preserve">비교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</si>
  <si>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글로벌 경쟁사 </t>
    </r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 — </t>
    </r>
    <r>
      <rPr>
        <sz val="9"/>
        <color rgb="FF595959"/>
        <rFont val="Noto Sans CJK SC"/>
        <family val="2"/>
      </rPr>
      <t xml:space="preserve">애널리스트 가정</t>
    </r>
  </si>
  <si>
    <t xml:space="preserve">최근 주가 급등 및 사업 포트폴리오 차이에 따른 할인율 — 애널리스트 가정</t>
  </si>
  <si>
    <t xml:space="preserve">목표주가 반올림 단위</t>
  </si>
  <si>
    <r>
      <rPr>
        <sz val="9"/>
        <color rgb="FF595959"/>
        <rFont val="Noto Sans CJK SC"/>
        <family val="2"/>
      </rPr>
      <t xml:space="preserve">제시 목표주가 라운딩 단위 </t>
    </r>
    <r>
      <rPr>
        <sz val="9"/>
        <color rgb="FF595959"/>
        <rFont val="맑은 고딕"/>
        <family val="0"/>
        <charset val="1"/>
      </rPr>
      <t xml:space="preserve">(18</t>
    </r>
    <r>
      <rPr>
        <sz val="9"/>
        <color rgb="FF595959"/>
        <rFont val="Noto Sans CJK SC"/>
        <family val="2"/>
      </rPr>
      <t xml:space="preserve">만원 </t>
    </r>
    <r>
      <rPr>
        <sz val="9"/>
        <color rgb="FF595959"/>
        <rFont val="맑은 고딕"/>
        <family val="0"/>
        <charset val="1"/>
      </rPr>
      <t xml:space="preserve">= 1</t>
    </r>
    <r>
      <rPr>
        <sz val="9"/>
        <color rgb="FF595959"/>
        <rFont val="Noto Sans CJK SC"/>
        <family val="2"/>
      </rPr>
      <t xml:space="preserve">만원 단위 반올림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</si>
  <si>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1F6E6A"/>
        <rFont val="Noto Sans CJK SC"/>
        <family val="2"/>
      </rPr>
      <t xml:space="preserve">  ② 산출 </t>
    </r>
    <r>
      <rPr>
        <b val="true"/>
        <sz val="10"/>
        <color rgb="FF1F6E6A"/>
        <rFont val="맑은 고딕"/>
        <family val="0"/>
        <charset val="1"/>
      </rPr>
      <t xml:space="preserve">(Output)</t>
    </r>
  </si>
  <si>
    <t xml:space="preserve">산출값</t>
  </si>
  <si>
    <t xml:space="preserve">산식</t>
  </si>
  <si>
    <r>
      <rPr>
        <sz val="9"/>
        <color rgb="FF595959"/>
        <rFont val="Noto Sans CJK SC"/>
        <family val="2"/>
      </rPr>
      <t xml:space="preserve">비교 </t>
    </r>
    <r>
      <rPr>
        <sz val="9"/>
        <color rgb="FF595959"/>
        <rFont val="맑은 고딕"/>
        <family val="0"/>
        <charset val="1"/>
      </rPr>
      <t xml:space="preserve">P/E × (1 − </t>
    </r>
    <r>
      <rPr>
        <sz val="9"/>
        <color rgb="FF595959"/>
        <rFont val="Noto Sans CJK SC"/>
        <family val="2"/>
      </rPr>
      <t xml:space="preserve">할인율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</si>
  <si>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산출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</si>
  <si>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EPS × Target P/E</t>
  </si>
  <si>
    <r>
      <rPr>
        <b val="true"/>
        <sz val="10"/>
        <color rgb="FF000000"/>
        <rFont val="Noto Sans CJK SC"/>
        <family val="2"/>
      </rPr>
      <t xml:space="preserve">목표주가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제시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</si>
  <si>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산출 목표주가를 반올림 단위로 라운딩</t>
  </si>
  <si>
    <r>
      <rPr>
        <sz val="9"/>
        <color rgb="FF595959"/>
        <rFont val="Noto Sans CJK SC"/>
        <family val="2"/>
      </rPr>
      <t xml:space="preserve">목표주가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제시</t>
    </r>
    <r>
      <rPr>
        <sz val="9"/>
        <color rgb="FF595959"/>
        <rFont val="맑은 고딕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현재주가 −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</si>
  <si>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÷ EPS</t>
    </r>
  </si>
  <si>
    <r>
      <rPr>
        <sz val="10"/>
        <color rgb="FF000000"/>
        <rFont val="Noto Sans CJK SC"/>
        <family val="2"/>
      </rPr>
      <t xml:space="preserve">비교사 대비 할인율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</si>
  <si>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현재 내재 </t>
    </r>
    <r>
      <rPr>
        <sz val="9"/>
        <color rgb="FF595959"/>
        <rFont val="맑은 고딕"/>
        <family val="0"/>
        <charset val="1"/>
      </rPr>
      <t xml:space="preserve">P/E ÷ </t>
    </r>
    <r>
      <rPr>
        <sz val="9"/>
        <color rgb="FF595959"/>
        <rFont val="Noto Sans CJK SC"/>
        <family val="2"/>
      </rPr>
      <t xml:space="preserve">비교 </t>
    </r>
    <r>
      <rPr>
        <sz val="9"/>
        <color rgb="FF595959"/>
        <rFont val="맑은 고딕"/>
        <family val="0"/>
        <charset val="1"/>
      </rPr>
      <t xml:space="preserve">P/E</t>
    </r>
  </si>
  <si>
    <r>
      <rPr>
        <b val="true"/>
        <sz val="10"/>
        <color rgb="FF1F6E6A"/>
        <rFont val="Noto Sans CJK SC"/>
        <family val="2"/>
      </rPr>
      <t xml:space="preserve">  ③ 원문 대조 및 </t>
    </r>
    <r>
      <rPr>
        <b val="true"/>
        <sz val="10"/>
        <color rgb="FF1F6E6A"/>
        <rFont val="맑은 고딕"/>
        <family val="0"/>
        <charset val="1"/>
      </rPr>
      <t xml:space="preserve">EPS </t>
    </r>
    <r>
      <rPr>
        <b val="true"/>
        <sz val="10"/>
        <color rgb="FF1F6E6A"/>
        <rFont val="Noto Sans CJK SC"/>
        <family val="2"/>
      </rPr>
      <t xml:space="preserve">기준 비교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정합성 체크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</si>
  <si>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체크</t>
  </si>
  <si>
    <r>
      <rPr>
        <sz val="10"/>
        <color rgb="FF000000"/>
        <rFont val="맑은 고딕"/>
        <family val="0"/>
        <charset val="1"/>
      </rPr>
      <t xml:space="preserve">Target P/E (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</si>
  <si>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도표</t>
    </r>
    <r>
      <rPr>
        <sz val="9"/>
        <color rgb="FF595959"/>
        <rFont val="맑은 고딕"/>
        <family val="0"/>
        <charset val="1"/>
      </rPr>
      <t xml:space="preserve">1 Target P/E</t>
    </r>
  </si>
  <si>
    <r>
      <rPr>
        <sz val="10"/>
        <color rgb="FF000000"/>
        <rFont val="Noto Sans CJK SC"/>
        <family val="2"/>
      </rPr>
      <t xml:space="preserve">목표주가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</si>
  <si>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도표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목표주가</t>
    </r>
  </si>
  <si>
    <r>
      <rPr>
        <sz val="10"/>
        <color rgb="FF000000"/>
        <rFont val="Noto Sans CJK SC"/>
        <family val="2"/>
      </rPr>
      <t xml:space="preserve">상승여력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</si>
  <si>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도표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상승여력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반올림 표기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</si>
  <si>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비교</t>
  </si>
  <si>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밸류에이션 적용 </t>
    </r>
    <r>
      <rPr>
        <sz val="10"/>
        <color rgb="FF000000"/>
        <rFont val="맑은 고딕"/>
        <family val="0"/>
        <charset val="1"/>
      </rPr>
      <t xml:space="preserve">EPS (26F)</t>
    </r>
  </si>
  <si>
    <r>
      <rPr>
        <sz val="9"/>
        <color rgb="FF595959"/>
        <rFont val="Noto Sans CJK SC"/>
        <family val="2"/>
      </rPr>
      <t xml:space="preserve">밸류에이션에 실제 적용된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</si>
  <si>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sz val="10"/>
        <color rgb="FF000000"/>
        <rFont val="Noto Sans CJK SC"/>
        <family val="2"/>
      </rPr>
      <t xml:space="preserve">추정재무제표 </t>
    </r>
    <r>
      <rPr>
        <sz val="10"/>
        <color rgb="FF000000"/>
        <rFont val="맑은 고딕"/>
        <family val="0"/>
        <charset val="1"/>
      </rPr>
      <t xml:space="preserve">2026F EPS</t>
    </r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</si>
  <si>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시트 참조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3,850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</si>
  <si>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컨센서스 </t>
    </r>
    <r>
      <rPr>
        <sz val="10"/>
        <color rgb="FF000000"/>
        <rFont val="맑은 고딕"/>
        <family val="0"/>
        <charset val="1"/>
      </rPr>
      <t xml:space="preserve">2026 EPS</t>
    </r>
  </si>
  <si>
    <r>
      <rPr>
        <sz val="9"/>
        <color rgb="FF595959"/>
        <rFont val="맑은 고딕"/>
        <family val="0"/>
        <charset val="1"/>
      </rPr>
      <t xml:space="preserve">02_p1_Consensus </t>
    </r>
    <r>
      <rPr>
        <sz val="9"/>
        <color rgb="FF595959"/>
        <rFont val="Noto Sans CJK SC"/>
        <family val="2"/>
      </rPr>
      <t xml:space="preserve">시트 참조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3,563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</si>
  <si>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적용 </t>
    </r>
    <r>
      <rPr>
        <sz val="10"/>
        <color rgb="FF000000"/>
        <rFont val="맑은 고딕"/>
        <family val="0"/>
        <charset val="1"/>
      </rPr>
      <t xml:space="preserve">EPS vs </t>
    </r>
    <r>
      <rPr>
        <sz val="10"/>
        <color rgb="FF000000"/>
        <rFont val="Noto Sans CJK SC"/>
        <family val="2"/>
      </rPr>
      <t xml:space="preserve">추정재무제표 </t>
    </r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차이</t>
    </r>
  </si>
  <si>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 EPS</t>
    </r>
    <r>
      <rPr>
        <sz val="9"/>
        <color rgb="FF595959"/>
        <rFont val="Noto Sans CJK SC"/>
        <family val="2"/>
      </rPr>
      <t xml:space="preserve">가 추정재무제표 </t>
    </r>
    <r>
      <rPr>
        <sz val="9"/>
        <color rgb="FF595959"/>
        <rFont val="맑은 고딕"/>
        <family val="0"/>
        <charset val="1"/>
      </rPr>
      <t xml:space="preserve">2026F EPS</t>
    </r>
    <r>
      <rPr>
        <sz val="9"/>
        <color rgb="FF595959"/>
        <rFont val="Noto Sans CJK SC"/>
        <family val="2"/>
      </rPr>
      <t xml:space="preserve">를 상회하는 폭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</si>
  <si>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목표주가 산출값</t>
    </r>
    <r>
      <rPr>
        <i val="true"/>
        <sz val="9"/>
        <color rgb="FF595959"/>
        <rFont val="맑은 고딕"/>
        <family val="0"/>
        <charset val="1"/>
      </rPr>
      <t xml:space="preserve">(≈176,376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을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만원 단위로 반올림해 원문 제시 목표주가 </t>
    </r>
    <r>
      <rPr>
        <i val="true"/>
        <sz val="9"/>
        <color rgb="FF595959"/>
        <rFont val="맑은 고딕"/>
        <family val="0"/>
        <charset val="1"/>
      </rPr>
      <t xml:space="preserve">180,000</t>
    </r>
    <r>
      <rPr>
        <i val="true"/>
        <sz val="9"/>
        <color rgb="FF595959"/>
        <rFont val="Noto Sans CJK SC"/>
        <family val="2"/>
      </rPr>
      <t xml:space="preserve">원이 재현됩니다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상승여력은 제시 목표주가 기준으로 </t>
    </r>
    <r>
      <rPr>
        <i val="true"/>
        <sz val="9"/>
        <color rgb="FF595959"/>
        <rFont val="맑은 고딕"/>
        <family val="0"/>
        <charset val="1"/>
      </rPr>
      <t xml:space="preserve">25.8%</t>
    </r>
    <r>
      <rPr>
        <i val="true"/>
        <sz val="9"/>
        <color rgb="FF595959"/>
        <rFont val="Noto Sans CJK SC"/>
        <family val="2"/>
      </rPr>
      <t xml:space="preserve">이며 원문은 </t>
    </r>
    <r>
      <rPr>
        <i val="true"/>
        <sz val="9"/>
        <color rgb="FF595959"/>
        <rFont val="맑은 고딕"/>
        <family val="0"/>
        <charset val="1"/>
      </rPr>
      <t xml:space="preserve">26%</t>
    </r>
    <r>
      <rPr>
        <i val="true"/>
        <sz val="9"/>
        <color rgb="FF595959"/>
        <rFont val="Noto Sans CJK SC"/>
        <family val="2"/>
      </rPr>
      <t xml:space="preserve">로 반올림 표기했습니다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</si>
  <si>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2. ISC 12MF P/E Band</t>
    </r>
  </si>
  <si>
    <r>
      <rPr>
        <i val="true"/>
        <sz val="9"/>
        <color rgb="FF595959"/>
        <rFont val="Noto Sans CJK SC"/>
        <family val="2"/>
      </rPr>
      <t xml:space="preserve">원문은 차트여서 주가 시계열이 인쇄되어 있지 않습니다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인쇄된 밴드 배수만 옮겼습니다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</si>
  <si>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밴드</t>
  </si>
  <si>
    <r>
      <rPr>
        <b val="true"/>
        <sz val="10"/>
        <color rgb="FFFFFFFF"/>
        <rFont val="Noto Sans CJK SC"/>
        <family val="2"/>
      </rPr>
      <t xml:space="preserve">배수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</si>
  <si>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Band 1 (</t>
    </r>
    <r>
      <rPr>
        <sz val="10"/>
        <color rgb="FF000000"/>
        <rFont val="Noto Sans CJK SC"/>
        <family val="2"/>
      </rPr>
      <t xml:space="preserve">상단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</si>
  <si>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원문 차트에 표기된 밴드 배수</t>
  </si>
  <si>
    <t xml:space="preserve">Band 2</t>
  </si>
  <si>
    <r>
      <rPr>
        <sz val="10"/>
        <color rgb="FF000000"/>
        <rFont val="맑은 고딕"/>
        <family val="0"/>
        <charset val="1"/>
      </rPr>
      <t xml:space="preserve">Band 3 (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</si>
  <si>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Band 4</t>
  </si>
  <si>
    <r>
      <rPr>
        <sz val="10"/>
        <color rgb="FF000000"/>
        <rFont val="맑은 고딕"/>
        <family val="0"/>
        <charset val="1"/>
      </rPr>
      <t xml:space="preserve">Band 5 (</t>
    </r>
    <r>
      <rPr>
        <sz val="10"/>
        <color rgb="FF000000"/>
        <rFont val="Noto Sans CJK SC"/>
        <family val="2"/>
      </rPr>
      <t xml:space="preserve">하단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</si>
  <si>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FnGuide, </t>
    </r>
    <r>
      <rPr>
        <i val="true"/>
        <sz val="9"/>
        <color rgb="FF595959"/>
        <rFont val="Noto Sans CJK SC"/>
        <family val="2"/>
      </rPr>
      <t xml:space="preserve">하나증권</t>
    </r>
  </si>
  <si>
    <r>
      <rPr>
        <b val="true"/>
        <sz val="10"/>
        <color rgb="FF1F6E6A"/>
        <rFont val="Noto Sans CJK SC"/>
        <family val="2"/>
      </rPr>
      <t xml:space="preserve">  정합성 체크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밴드 배수 기준 내재주가 — 원문에 없는 파생 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</si>
  <si>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내재주가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</si>
  <si>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현재주가 대비</t>
  </si>
  <si>
    <r>
      <rPr>
        <sz val="9"/>
        <color rgb="FF595959"/>
        <rFont val="맑은 고딕"/>
        <family val="0"/>
        <charset val="1"/>
      </rPr>
      <t xml:space="preserve">2026F EPS 3,850</t>
    </r>
    <r>
      <rPr>
        <sz val="9"/>
        <color rgb="FF595959"/>
        <rFont val="Noto Sans CJK SC"/>
        <family val="2"/>
      </rPr>
      <t xml:space="preserve">원 적용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참고용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</si>
  <si>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현재 내재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</si>
  <si>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143,100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 4,025</t>
    </r>
    <r>
      <rPr>
        <sz val="9"/>
        <color rgb="FF595959"/>
        <rFont val="Noto Sans CJK SC"/>
        <family val="2"/>
      </rPr>
      <t xml:space="preserve">원</t>
    </r>
  </si>
  <si>
    <r>
      <rPr>
        <sz val="9"/>
        <color rgb="FF595959"/>
        <rFont val="맑은 고딕"/>
        <family val="0"/>
        <charset val="1"/>
      </rPr>
      <t xml:space="preserve">05_</t>
    </r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1_Valuation </t>
    </r>
    <r>
      <rPr>
        <sz val="9"/>
        <color rgb="FF595959"/>
        <rFont val="Noto Sans CJK SC"/>
        <family val="2"/>
      </rPr>
      <t xml:space="preserve">시트 산출값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</si>
  <si>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도표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21.1~26.1 </t>
    </r>
    <r>
      <rPr>
        <i val="true"/>
        <sz val="9"/>
        <color rgb="FF595959"/>
        <rFont val="Noto Sans CJK SC"/>
        <family val="2"/>
      </rPr>
      <t xml:space="preserve">구간의 수정주가와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개 밴드선을 그린 차트입니다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주가 시계열에 데이터 라벨이 없어 눈금으로 추정하면 오차가 커지므로 옮기지 않았고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인쇄된 밴드 배수만 위 표에 실었습니다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</si>
  <si>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3. ISC 12MF P/B Band</t>
    </r>
  </si>
  <si>
    <r>
      <rPr>
        <sz val="9"/>
        <color rgb="FF595959"/>
        <rFont val="맑은 고딕"/>
        <family val="0"/>
        <charset val="1"/>
      </rPr>
      <t xml:space="preserve">2026F BPS 29,159</t>
    </r>
    <r>
      <rPr>
        <sz val="9"/>
        <color rgb="FF595959"/>
        <rFont val="Noto Sans CJK SC"/>
        <family val="2"/>
      </rPr>
      <t xml:space="preserve">원 적용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참고용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</si>
  <si>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현재 내재 </t>
    </r>
    <r>
      <rPr>
        <b val="true"/>
        <sz val="10"/>
        <color rgb="FF000000"/>
        <rFont val="맑은 고딕"/>
        <family val="0"/>
        <charset val="1"/>
      </rPr>
      <t xml:space="preserve">P/B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</si>
  <si>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÷ 2026F BPS. </t>
    </r>
    <r>
      <rPr>
        <sz val="9"/>
        <color rgb="FF595959"/>
        <rFont val="Noto Sans CJK SC"/>
        <family val="2"/>
      </rPr>
      <t xml:space="preserve">원문 투자지표의 </t>
    </r>
    <r>
      <rPr>
        <sz val="9"/>
        <color rgb="FF595959"/>
        <rFont val="맑은 고딕"/>
        <family val="0"/>
        <charset val="1"/>
      </rPr>
      <t xml:space="preserve">2026F PBR 4.91</t>
    </r>
    <r>
      <rPr>
        <sz val="9"/>
        <color rgb="FF595959"/>
        <rFont val="Noto Sans CJK SC"/>
        <family val="2"/>
      </rPr>
      <t xml:space="preserve">배와 일치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</si>
  <si>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도표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은 </t>
    </r>
    <r>
      <rPr>
        <i val="true"/>
        <sz val="9"/>
        <color rgb="FF595959"/>
        <rFont val="맑은 고딕"/>
        <family val="0"/>
        <charset val="1"/>
      </rPr>
      <t xml:space="preserve">21.1~26.1 </t>
    </r>
    <r>
      <rPr>
        <i val="true"/>
        <sz val="9"/>
        <color rgb="FF595959"/>
        <rFont val="Noto Sans CJK SC"/>
        <family val="2"/>
      </rPr>
      <t xml:space="preserve">구간의 수정주가와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개 밴드선을 그린 차트입니다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도표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와 같은 이유로 밴드 배수만 옮겼습니다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</si>
  <si>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4. ISC</t>
    </r>
    <r>
      <rPr>
        <b val="true"/>
        <sz val="13"/>
        <color rgb="FF1F6E6A"/>
        <rFont val="Noto Sans CJK SC"/>
        <family val="2"/>
      </rPr>
      <t xml:space="preserve">의 분기별 실적 전망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수정 후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</si>
  <si>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% 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 </t>
    </r>
    <r>
      <rPr>
        <i val="true"/>
        <sz val="9"/>
        <color rgb="FF595959"/>
        <rFont val="Noto Sans CJK SC"/>
        <family val="2"/>
      </rPr>
      <t xml:space="preserve">및 연간 열</t>
    </r>
  </si>
  <si>
    <t xml:space="preserve">어플리케이션 합계</t>
  </si>
  <si>
    <r>
      <rPr>
        <sz val="10"/>
        <color rgb="FF000000"/>
        <rFont val="맑은 고딕"/>
        <family val="0"/>
        <charset val="1"/>
      </rPr>
      <t xml:space="preserve">  vs </t>
    </r>
    <r>
      <rPr>
        <sz val="10"/>
        <color rgb="FF000000"/>
        <rFont val="Noto Sans CJK SC"/>
        <family val="2"/>
      </rPr>
      <t xml:space="preserve">원문 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차이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</si>
  <si>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OPM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매출액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</si>
  <si>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매출 </t>
    </r>
    <r>
      <rPr>
        <sz val="10"/>
        <color rgb="FF000000"/>
        <rFont val="맑은 고딕"/>
        <family val="0"/>
        <charset val="1"/>
      </rPr>
      <t xml:space="preserve">QoQ </t>
    </r>
    <r>
      <rPr>
        <sz val="10"/>
        <color rgb="FF000000"/>
        <rFont val="Noto Sans CJK SC"/>
        <family val="2"/>
      </rPr>
      <t xml:space="preserve">재계산</t>
    </r>
  </si>
  <si>
    <r>
      <rPr>
        <sz val="10"/>
        <color rgb="FF000000"/>
        <rFont val="Noto Sans CJK SC"/>
        <family val="2"/>
      </rPr>
      <t xml:space="preserve">매출 </t>
    </r>
    <r>
      <rPr>
        <sz val="10"/>
        <color rgb="FF000000"/>
        <rFont val="맑은 고딕"/>
        <family val="0"/>
        <charset val="1"/>
      </rPr>
      <t xml:space="preserve">YoY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(2026F/2025)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</si>
  <si>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YoY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(2026F/2025)</t>
    </r>
  </si>
  <si>
    <r>
      <rPr>
        <sz val="10"/>
        <color rgb="FF000000"/>
        <rFont val="Noto Sans CJK SC"/>
        <family val="2"/>
      </rPr>
      <t xml:space="preserve">분기 합계 </t>
    </r>
    <r>
      <rPr>
        <sz val="10"/>
        <color rgb="FF000000"/>
        <rFont val="맑은 고딕"/>
        <family val="0"/>
        <charset val="1"/>
      </rPr>
      <t xml:space="preserve">(1Q~4Q)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</si>
  <si>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연간 수치와 분기 합계 사이의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내외 차이는 보고서의 소수 첫째자리 반올림 표기에서 발생하는 것으로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오기입이 아닙니다</t>
    </r>
    <r>
      <rPr>
        <i val="true"/>
        <sz val="9"/>
        <color rgb="FF595959"/>
        <rFont val="맑은 고딕"/>
        <family val="0"/>
        <charset val="1"/>
      </rPr>
      <t xml:space="preserve">. YoY·QoQ</t>
    </r>
    <r>
      <rPr>
        <i val="true"/>
        <sz val="9"/>
        <color rgb="FF595959"/>
        <rFont val="Noto Sans CJK SC"/>
        <family val="2"/>
      </rPr>
      <t xml:space="preserve">의 원문값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기울임 파란 글씨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반올림 정수 </t>
    </r>
    <r>
      <rPr>
        <i val="true"/>
        <sz val="9"/>
        <color rgb="FF595959"/>
        <rFont val="맑은 고딕"/>
        <family val="0"/>
        <charset val="1"/>
      </rPr>
      <t xml:space="preserve">%</t>
    </r>
    <r>
      <rPr>
        <i val="true"/>
        <sz val="9"/>
        <color rgb="FF595959"/>
        <rFont val="Noto Sans CJK SC"/>
        <family val="2"/>
      </rPr>
      <t xml:space="preserve">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재계산값과 </t>
    </r>
    <r>
      <rPr>
        <i val="true"/>
        <sz val="9"/>
        <color rgb="FF595959"/>
        <rFont val="맑은 고딕"/>
        <family val="0"/>
        <charset val="1"/>
      </rPr>
      <t xml:space="preserve">1%p </t>
    </r>
    <r>
      <rPr>
        <i val="true"/>
        <sz val="9"/>
        <color rgb="FF595959"/>
        <rFont val="Noto Sans CJK SC"/>
        <family val="2"/>
      </rPr>
      <t xml:space="preserve">내외 차이가 날 수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</si>
  <si>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5. ISC</t>
    </r>
    <r>
      <rPr>
        <b val="true"/>
        <sz val="13"/>
        <color rgb="FF1F6E6A"/>
        <rFont val="Noto Sans CJK SC"/>
        <family val="2"/>
      </rPr>
      <t xml:space="preserve">의 분기별 실적 전망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수정 전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</si>
  <si>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t xml:space="preserve">4Q25F</t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</si>
  <si>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6. </t>
    </r>
    <r>
      <rPr>
        <b val="true"/>
        <sz val="13"/>
        <color rgb="FF1F6E6A"/>
        <rFont val="Noto Sans CJK SC"/>
        <family val="2"/>
      </rPr>
      <t xml:space="preserve">아이세미 </t>
    </r>
    <r>
      <rPr>
        <b val="true"/>
        <sz val="13"/>
        <color rgb="FF1F6E6A"/>
        <rFont val="맑은 고딕"/>
        <family val="0"/>
        <charset val="1"/>
      </rPr>
      <t xml:space="preserve">/ </t>
    </r>
    <r>
      <rPr>
        <b val="true"/>
        <sz val="13"/>
        <color rgb="FF1F6E6A"/>
        <rFont val="Noto Sans CJK SC"/>
        <family val="2"/>
      </rPr>
      <t xml:space="preserve">테크드림 사업개요 및 시너지 효과</t>
    </r>
  </si>
  <si>
    <t xml:space="preserve">장비 소재 사업 부문과의 시너지 효과 본격화 기대</t>
  </si>
  <si>
    <t xml:space="preserve">회사</t>
  </si>
  <si>
    <t xml:space="preserve">사업 부문</t>
  </si>
  <si>
    <t xml:space="preserve">사업 개요</t>
  </si>
  <si>
    <r>
      <rPr>
        <b val="true"/>
        <sz val="10"/>
        <color rgb="FFFFFFFF"/>
        <rFont val="맑은 고딕"/>
        <family val="0"/>
        <charset val="1"/>
      </rPr>
      <t xml:space="preserve">ISC </t>
    </r>
    <r>
      <rPr>
        <b val="true"/>
        <sz val="10"/>
        <color rgb="FFFFFFFF"/>
        <rFont val="Noto Sans CJK SC"/>
        <family val="2"/>
      </rPr>
      <t xml:space="preserve">시너지</t>
    </r>
  </si>
  <si>
    <t xml:space="preserve">아이세미</t>
  </si>
  <si>
    <t xml:space="preserve">모듈 테스터</t>
  </si>
  <si>
    <r>
      <rPr>
        <sz val="10"/>
        <color rgb="FF000000"/>
        <rFont val="맑은 고딕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모듈의 </t>
    </r>
    <r>
      <rPr>
        <sz val="10"/>
        <color rgb="FF000000"/>
        <rFont val="맑은 고딕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호환성 및 신뢰성 평가 장비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</t>
    </r>
  </si>
  <si>
    <r>
      <rPr>
        <sz val="10"/>
        <color rgb="FF000000"/>
        <rFont val="맑은 고딕"/>
        <family val="0"/>
        <charset val="1"/>
      </rPr>
      <t xml:space="preserve">• HBM, </t>
    </r>
    <r>
      <rPr>
        <sz val="10"/>
        <color rgb="FF000000"/>
        <rFont val="Noto Sans CJK SC"/>
        <family val="2"/>
      </rPr>
      <t xml:space="preserve">글로벌 </t>
    </r>
    <r>
      <rPr>
        <sz val="10"/>
        <color rgb="FF000000"/>
        <rFont val="맑은 고딕"/>
        <family val="0"/>
        <charset val="1"/>
      </rPr>
      <t xml:space="preserve">CPU, GPU </t>
    </r>
    <r>
      <rPr>
        <sz val="10"/>
        <color rgb="FF000000"/>
        <rFont val="Noto Sans CJK SC"/>
        <family val="2"/>
      </rPr>
      <t xml:space="preserve">고객사 실장 테스트소켓 공동개발 및 장비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소켓 턴키 공급
• </t>
    </r>
    <r>
      <rPr>
        <sz val="10"/>
        <color rgb="FF000000"/>
        <rFont val="맑은 고딕"/>
        <family val="0"/>
        <charset val="1"/>
      </rPr>
      <t xml:space="preserve">LPCAMM, SOCAMM </t>
    </r>
    <r>
      <rPr>
        <sz val="10"/>
        <color rgb="FF000000"/>
        <rFont val="Noto Sans CJK SC"/>
        <family val="2"/>
      </rPr>
      <t xml:space="preserve">모듈 테스트 솔루션 개발</t>
    </r>
  </si>
  <si>
    <r>
      <rPr>
        <b val="true"/>
        <sz val="10"/>
        <color rgb="FF0000FF"/>
        <rFont val="Noto Sans CJK SC"/>
        <family val="2"/>
      </rPr>
      <t xml:space="preserve">번인 테스터 </t>
    </r>
    <r>
      <rPr>
        <b val="true"/>
        <sz val="10"/>
        <color rgb="FF0000FF"/>
        <rFont val="맑은 고딕"/>
        <family val="0"/>
        <charset val="1"/>
      </rPr>
      <t xml:space="preserve">(</t>
    </r>
    <r>
      <rPr>
        <b val="true"/>
        <sz val="10"/>
        <color rgb="FF0000FF"/>
        <rFont val="Noto Sans CJK SC"/>
        <family val="2"/>
      </rPr>
      <t xml:space="preserve">신규사업</t>
    </r>
    <r>
      <rPr>
        <b val="true"/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</si>
  <si>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고온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저온 환경에서 고속으로 </t>
    </r>
    <r>
      <rPr>
        <sz val="10"/>
        <color rgb="FF000000"/>
        <rFont val="맑은 고딕"/>
        <family val="0"/>
        <charset val="1"/>
      </rPr>
      <t xml:space="preserve">NAND </t>
    </r>
    <r>
      <rPr>
        <sz val="10"/>
        <color rgb="FF000000"/>
        <rFont val="Noto Sans CJK SC"/>
        <family val="2"/>
      </rPr>
      <t xml:space="preserve">패키지의 성능 평가 장비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</t>
    </r>
  </si>
  <si>
    <t xml:space="preserve">• 기존 번인소켓 대비 소켓 탑재량이 증가하면서 번인소켓 매출 증가 효과</t>
  </si>
  <si>
    <t xml:space="preserve">세정용 케미컬</t>
  </si>
  <si>
    <r>
      <rPr>
        <sz val="10"/>
        <color rgb="FF000000"/>
        <rFont val="Noto Sans CJK SC"/>
        <family val="2"/>
      </rPr>
      <t xml:space="preserve">• 식각 공정 후 발생된 이물질 제거를 위해 세정 시 사용하는 용액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
• 업계 유일 초순수를 사용</t>
    </r>
  </si>
  <si>
    <r>
      <rPr>
        <sz val="10"/>
        <color rgb="FF000000"/>
        <rFont val="맑은 고딕"/>
        <family val="0"/>
        <charset val="1"/>
      </rPr>
      <t xml:space="preserve">• HBM </t>
    </r>
    <r>
      <rPr>
        <sz val="10"/>
        <color rgb="FF000000"/>
        <rFont val="Noto Sans CJK SC"/>
        <family val="2"/>
      </rPr>
      <t xml:space="preserve">소재부품 매출 증가 효과</t>
    </r>
  </si>
  <si>
    <r>
      <rPr>
        <b val="true"/>
        <sz val="10"/>
        <color rgb="FF0000FF"/>
        <rFont val="맑은 고딕"/>
        <family val="0"/>
        <charset val="1"/>
      </rPr>
      <t xml:space="preserve">EFEM (</t>
    </r>
    <r>
      <rPr>
        <b val="true"/>
        <sz val="10"/>
        <color rgb="FF0000FF"/>
        <rFont val="Noto Sans CJK SC"/>
        <family val="2"/>
      </rPr>
      <t xml:space="preserve">신규사업</t>
    </r>
    <r>
      <rPr>
        <b val="true"/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</si>
  <si>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반도체 웨이퍼 등의 이동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로딩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언로딩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정렬 장비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</t>
    </r>
  </si>
  <si>
    <t xml:space="preserve">• 신사업 포트폴리오 확장</t>
  </si>
  <si>
    <t xml:space="preserve">테크드림</t>
  </si>
  <si>
    <r>
      <rPr>
        <b val="true"/>
        <sz val="10"/>
        <color rgb="FF0000FF"/>
        <rFont val="맑은 고딕"/>
        <family val="0"/>
        <charset val="1"/>
      </rPr>
      <t xml:space="preserve">PCB </t>
    </r>
    <r>
      <rPr>
        <b val="true"/>
        <sz val="10"/>
        <color rgb="FF0000FF"/>
        <rFont val="Noto Sans CJK SC"/>
        <family val="2"/>
      </rPr>
      <t xml:space="preserve">기판</t>
    </r>
  </si>
  <si>
    <r>
      <rPr>
        <sz val="10"/>
        <color rgb="FF000000"/>
        <rFont val="Noto Sans CJK SC"/>
        <family val="2"/>
      </rPr>
      <t xml:space="preserve">모듈 제작용 </t>
    </r>
    <r>
      <rPr>
        <sz val="10"/>
        <color rgb="FF000000"/>
        <rFont val="맑은 고딕"/>
        <family val="0"/>
        <charset val="1"/>
      </rPr>
      <t xml:space="preserve">PCB </t>
    </r>
    <r>
      <rPr>
        <sz val="10"/>
        <color rgb="FF000000"/>
        <rFont val="Noto Sans CJK SC"/>
        <family val="2"/>
      </rPr>
      <t xml:space="preserve">회로 기판 중개 판매</t>
    </r>
  </si>
  <si>
    <r>
      <rPr>
        <sz val="10"/>
        <color rgb="FF000000"/>
        <rFont val="Noto Sans CJK SC"/>
        <family val="2"/>
      </rPr>
      <t xml:space="preserve">• 테스터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보드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소켓의 </t>
    </r>
    <r>
      <rPr>
        <sz val="10"/>
        <color rgb="FF000000"/>
        <rFont val="맑은 고딕"/>
        <family val="0"/>
        <charset val="1"/>
      </rPr>
      <t xml:space="preserve">Total Test Solution </t>
    </r>
    <r>
      <rPr>
        <sz val="10"/>
        <color rgb="FF000000"/>
        <rFont val="Noto Sans CJK SC"/>
        <family val="2"/>
      </rPr>
      <t xml:space="preserve">라인업 구축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</si>
  <si>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원문은 이미지 형태의 도식이며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인쇄된 문구를 그대로 옮겼습니다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각 사업 부문의 제품 사진은 옮기지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</si>
  <si>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7. ISC </t>
    </r>
    <r>
      <rPr>
        <b val="true"/>
        <sz val="13"/>
        <color rgb="FF1F6E6A"/>
        <rFont val="Noto Sans CJK SC"/>
        <family val="2"/>
      </rPr>
      <t xml:space="preserve">분기 영업이익 </t>
    </r>
    <r>
      <rPr>
        <b val="true"/>
        <sz val="13"/>
        <color rgb="FF1F6E6A"/>
        <rFont val="맑은 고딕"/>
        <family val="0"/>
        <charset val="1"/>
      </rPr>
      <t xml:space="preserve">vs </t>
    </r>
    <r>
      <rPr>
        <b val="true"/>
        <sz val="13"/>
        <color rgb="FF1F6E6A"/>
        <rFont val="Noto Sans CJK SC"/>
        <family val="2"/>
      </rPr>
      <t xml:space="preserve">시가총액 추이</t>
    </r>
  </si>
  <si>
    <r>
      <rPr>
        <i val="true"/>
        <sz val="9"/>
        <color rgb="FF595959"/>
        <rFont val="Noto Sans CJK SC"/>
        <family val="2"/>
      </rPr>
      <t xml:space="preserve">원문은 </t>
    </r>
    <r>
      <rPr>
        <i val="true"/>
        <sz val="9"/>
        <color rgb="FF595959"/>
        <rFont val="맑은 고딕"/>
        <family val="0"/>
        <charset val="1"/>
      </rPr>
      <t xml:space="preserve">20.1~26.1 </t>
    </r>
    <r>
      <rPr>
        <i val="true"/>
        <sz val="9"/>
        <color rgb="FF595959"/>
        <rFont val="Noto Sans CJK SC"/>
        <family val="2"/>
      </rPr>
      <t xml:space="preserve">구간 이중축 차트입니다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분기 영업이익은 </t>
    </r>
    <r>
      <rPr>
        <i val="true"/>
        <sz val="9"/>
        <color rgb="FF595959"/>
        <rFont val="맑은 고딕"/>
        <family val="0"/>
        <charset val="1"/>
      </rPr>
      <t xml:space="preserve">1Q23</t>
    </r>
    <r>
      <rPr>
        <i val="true"/>
        <sz val="9"/>
        <color rgb="FF595959"/>
        <rFont val="Noto Sans CJK SC"/>
        <family val="2"/>
      </rPr>
      <t xml:space="preserve">부터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시가총액은 </t>
    </r>
    <r>
      <rPr>
        <i val="true"/>
        <sz val="9"/>
        <color rgb="FF595959"/>
        <rFont val="맑은 고딕"/>
        <family val="0"/>
        <charset val="1"/>
      </rPr>
      <t xml:space="preserve">1Q22</t>
    </r>
    <r>
      <rPr>
        <i val="true"/>
        <sz val="9"/>
        <color rgb="FF595959"/>
        <rFont val="Noto Sans CJK SC"/>
        <family val="2"/>
      </rPr>
      <t xml:space="preserve">부터 공개 자료로 확보했습니다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회색 칸은 미확보 구간입니다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</si>
  <si>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영업이익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확정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</si>
  <si>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하나증권 추정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</si>
  <si>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</si>
  <si>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    OPM (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</si>
  <si>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 연율화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당분기 </t>
    </r>
    <r>
      <rPr>
        <sz val="10"/>
        <color rgb="FF000000"/>
        <rFont val="맑은 고딕"/>
        <family val="0"/>
        <charset val="1"/>
      </rPr>
      <t xml:space="preserve">×4)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</si>
  <si>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TTM (</t>
    </r>
    <r>
      <rPr>
        <sz val="10"/>
        <color rgb="FF000000"/>
        <rFont val="Noto Sans CJK SC"/>
        <family val="2"/>
      </rPr>
      <t xml:space="preserve">최근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개 분기 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</si>
  <si>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시가총액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연율화 영업이익</t>
    </r>
  </si>
  <si>
    <r>
      <rPr>
        <b val="true"/>
        <sz val="10"/>
        <color rgb="FF000000"/>
        <rFont val="Noto Sans CJK SC"/>
        <family val="2"/>
      </rPr>
      <t xml:space="preserve">시가총액 </t>
    </r>
    <r>
      <rPr>
        <b val="true"/>
        <sz val="10"/>
        <color rgb="FF000000"/>
        <rFont val="맑은 고딕"/>
        <family val="0"/>
        <charset val="1"/>
      </rPr>
      <t xml:space="preserve">/ TTM </t>
    </r>
    <r>
      <rPr>
        <b val="true"/>
        <sz val="10"/>
        <color rgb="FF000000"/>
        <rFont val="Noto Sans CJK SC"/>
        <family val="2"/>
      </rPr>
      <t xml:space="preserve">영업이익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</si>
  <si>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회색 칸은 공개 자료로 확보하지 못한 구간입니다</t>
    </r>
    <r>
      <rPr>
        <i val="true"/>
        <sz val="9"/>
        <color rgb="FF595959"/>
        <rFont val="맑은 고딕"/>
        <family val="0"/>
        <charset val="1"/>
      </rPr>
      <t xml:space="preserve">. 2020~2022</t>
    </r>
    <r>
      <rPr>
        <i val="true"/>
        <sz val="9"/>
        <color rgb="FF595959"/>
        <rFont val="Noto Sans CJK SC"/>
        <family val="2"/>
      </rPr>
      <t xml:space="preserve">년 분기 영업이익은 </t>
    </r>
    <r>
      <rPr>
        <i val="true"/>
        <sz val="9"/>
        <color rgb="FF595959"/>
        <rFont val="맑은 고딕"/>
        <family val="0"/>
        <charset val="1"/>
      </rPr>
      <t xml:space="preserve">DART </t>
    </r>
    <r>
      <rPr>
        <i val="true"/>
        <sz val="9"/>
        <color rgb="FF595959"/>
        <rFont val="Noto Sans CJK SC"/>
        <family val="2"/>
      </rPr>
      <t xml:space="preserve">분기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반기보고서를 직접 열어야 채울 수 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연간값은 </t>
    </r>
    <r>
      <rPr>
        <i val="true"/>
        <sz val="9"/>
        <color rgb="FF595959"/>
        <rFont val="맑은 고딕"/>
        <family val="0"/>
        <charset val="1"/>
      </rPr>
      <t xml:space="preserve">13_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9_</t>
    </r>
    <r>
      <rPr>
        <i val="true"/>
        <sz val="9"/>
        <color rgb="FF595959"/>
        <rFont val="Noto Sans CJK SC"/>
        <family val="2"/>
      </rPr>
      <t xml:space="preserve">연간실적추이 시트에 </t>
    </r>
    <r>
      <rPr>
        <i val="true"/>
        <sz val="9"/>
        <color rgb="FF595959"/>
        <rFont val="맑은 고딕"/>
        <family val="0"/>
        <charset val="1"/>
      </rPr>
      <t xml:space="preserve">2018</t>
    </r>
    <r>
      <rPr>
        <i val="true"/>
        <sz val="9"/>
        <color rgb="FF595959"/>
        <rFont val="Noto Sans CJK SC"/>
        <family val="2"/>
      </rPr>
      <t xml:space="preserve">년부터 들어 있습니다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</si>
  <si>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3Q23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-8.0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적자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하나증권 도표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3Q24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YoY -273%</t>
    </r>
    <r>
      <rPr>
        <i val="true"/>
        <sz val="9"/>
        <color rgb="FF595959"/>
        <rFont val="Noto Sans CJK SC"/>
        <family val="2"/>
      </rPr>
      <t xml:space="preserve">와 정확히 맞아떨어집니다 </t>
    </r>
    <r>
      <rPr>
        <i val="true"/>
        <sz val="9"/>
        <color rgb="FF595959"/>
        <rFont val="맑은 고딕"/>
        <family val="0"/>
        <charset val="1"/>
      </rPr>
      <t xml:space="preserve">(13.8 ÷ (1-2.73) = -7.98). </t>
    </r>
    <r>
      <rPr>
        <i val="true"/>
        <sz val="9"/>
        <color rgb="FF595959"/>
        <rFont val="Noto Sans CJK SC"/>
        <family val="2"/>
      </rPr>
      <t xml:space="preserve">미래에셋</t>
    </r>
    <r>
      <rPr>
        <i val="true"/>
        <sz val="9"/>
        <color rgb="FF595959"/>
        <rFont val="맑은 고딕"/>
        <family val="0"/>
        <charset val="1"/>
      </rPr>
      <t xml:space="preserve">·IM</t>
    </r>
    <r>
      <rPr>
        <i val="true"/>
        <sz val="9"/>
        <color rgb="FF595959"/>
        <rFont val="Noto Sans CJK SC"/>
        <family val="2"/>
      </rPr>
      <t xml:space="preserve">증권 두 리포트의 값도 동일해 교차검증됩니다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</si>
  <si>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3Q23 → 4Q23 </t>
    </r>
    <r>
      <rPr>
        <i val="true"/>
        <sz val="9"/>
        <color rgb="FF595959"/>
        <rFont val="Noto Sans CJK SC"/>
        <family val="2"/>
      </rPr>
      <t xml:space="preserve">시가총액 증가는 주가</t>
    </r>
    <r>
      <rPr>
        <i val="true"/>
        <sz val="9"/>
        <color rgb="FF595959"/>
        <rFont val="맑은 고딕"/>
        <family val="0"/>
        <charset val="1"/>
      </rPr>
      <t xml:space="preserve">(78,800 → 80,300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+1.9%)</t>
    </r>
    <r>
      <rPr>
        <i val="true"/>
        <sz val="9"/>
        <color rgb="FF595959"/>
        <rFont val="Noto Sans CJK SC"/>
        <family val="2"/>
      </rPr>
      <t xml:space="preserve">보다 주식수</t>
    </r>
    <r>
      <rPr>
        <i val="true"/>
        <sz val="9"/>
        <color rgb="FF595959"/>
        <rFont val="맑은 고딕"/>
        <family val="0"/>
        <charset val="1"/>
      </rPr>
      <t xml:space="preserve">(17,339</t>
    </r>
    <r>
      <rPr>
        <i val="true"/>
        <sz val="9"/>
        <color rgb="FF595959"/>
        <rFont val="Noto Sans CJK SC"/>
        <family val="2"/>
      </rPr>
      <t xml:space="preserve">천주 → </t>
    </r>
    <r>
      <rPr>
        <i val="true"/>
        <sz val="9"/>
        <color rgb="FF595959"/>
        <rFont val="맑은 고딕"/>
        <family val="0"/>
        <charset val="1"/>
      </rPr>
      <t xml:space="preserve">21,137</t>
    </r>
    <r>
      <rPr>
        <i val="true"/>
        <sz val="9"/>
        <color rgb="FF595959"/>
        <rFont val="Noto Sans CJK SC"/>
        <family val="2"/>
      </rPr>
      <t xml:space="preserve">천주</t>
    </r>
    <r>
      <rPr>
        <i val="true"/>
        <sz val="9"/>
        <color rgb="FF595959"/>
        <rFont val="맑은 고딕"/>
        <family val="0"/>
        <charset val="1"/>
      </rPr>
      <t xml:space="preserve">, +21.9%) </t>
    </r>
    <r>
      <rPr>
        <i val="true"/>
        <sz val="9"/>
        <color rgb="FF595959"/>
        <rFont val="Noto Sans CJK SC"/>
        <family val="2"/>
      </rPr>
      <t xml:space="preserve">요인이 큽니다</t>
    </r>
    <r>
      <rPr>
        <i val="true"/>
        <sz val="9"/>
        <color rgb="FF595959"/>
        <rFont val="맑은 고딕"/>
        <family val="0"/>
        <charset val="1"/>
      </rPr>
      <t xml:space="preserve">. 2023</t>
    </r>
    <r>
      <rPr>
        <i val="true"/>
        <sz val="9"/>
        <color rgb="FF595959"/>
        <rFont val="Noto Sans CJK SC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월 유상증자 때문이므로 시가총액 레벨 변화를 주가 상승으로 읽지 않도록 주의하세요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</si>
  <si>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상장주식수가 </t>
    </r>
    <r>
      <rPr>
        <i val="true"/>
        <sz val="9"/>
        <color rgb="FF595959"/>
        <rFont val="맑은 고딕"/>
        <family val="0"/>
        <charset val="1"/>
      </rPr>
      <t xml:space="preserve">21,137,058</t>
    </r>
    <r>
      <rPr>
        <i val="true"/>
        <sz val="9"/>
        <color rgb="FF595959"/>
        <rFont val="Noto Sans CJK SC"/>
        <family val="2"/>
      </rPr>
      <t xml:space="preserve">주에서 </t>
    </r>
    <r>
      <rPr>
        <i val="true"/>
        <sz val="9"/>
        <color rgb="FF595959"/>
        <rFont val="맑은 고딕"/>
        <family val="0"/>
        <charset val="1"/>
      </rPr>
      <t xml:space="preserve">21,197,058</t>
    </r>
    <r>
      <rPr>
        <i val="true"/>
        <sz val="9"/>
        <color rgb="FF595959"/>
        <rFont val="Noto Sans CJK SC"/>
        <family val="2"/>
      </rPr>
      <t xml:space="preserve">주로 늘어난 정확한 시점은 확인하지 못했습니다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리포트의 </t>
    </r>
    <r>
      <rPr>
        <i val="true"/>
        <sz val="9"/>
        <color rgb="FF595959"/>
        <rFont val="맑은 고딕"/>
        <family val="0"/>
        <charset val="1"/>
      </rPr>
      <t xml:space="preserve">2026.02.04 </t>
    </r>
    <r>
      <rPr>
        <i val="true"/>
        <sz val="9"/>
        <color rgb="FF595959"/>
        <rFont val="Noto Sans CJK SC"/>
        <family val="2"/>
      </rPr>
      <t xml:space="preserve">시가총액 </t>
    </r>
    <r>
      <rPr>
        <i val="true"/>
        <sz val="9"/>
        <color rgb="FF595959"/>
        <rFont val="맑은 고딕"/>
        <family val="0"/>
        <charset val="1"/>
      </rPr>
      <t xml:space="preserve">3,033.3</t>
    </r>
    <r>
      <rPr>
        <i val="true"/>
        <sz val="9"/>
        <color rgb="FF595959"/>
        <rFont val="Noto Sans CJK SC"/>
        <family val="2"/>
      </rPr>
      <t xml:space="preserve">십억원이 </t>
    </r>
    <r>
      <rPr>
        <i val="true"/>
        <sz val="9"/>
        <color rgb="FF595959"/>
        <rFont val="맑은 고딕"/>
        <family val="0"/>
        <charset val="1"/>
      </rPr>
      <t xml:space="preserve">21,197,058</t>
    </r>
    <r>
      <rPr>
        <i val="true"/>
        <sz val="9"/>
        <color rgb="FF595959"/>
        <rFont val="Noto Sans CJK SC"/>
        <family val="2"/>
      </rPr>
      <t xml:space="preserve">주 기준이므로 </t>
    </r>
    <r>
      <rPr>
        <i val="true"/>
        <sz val="9"/>
        <color rgb="FF595959"/>
        <rFont val="맑은 고딕"/>
        <family val="0"/>
        <charset val="1"/>
      </rPr>
      <t xml:space="preserve">4Q25</t>
    </r>
    <r>
      <rPr>
        <i val="true"/>
        <sz val="9"/>
        <color rgb="FF595959"/>
        <rFont val="Noto Sans CJK SC"/>
        <family val="2"/>
      </rPr>
      <t xml:space="preserve">부터 적용했습니다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필요하면 해당 행을 직접 수정하세요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</si>
  <si>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1Q23~4Q23</t>
    </r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</si>
  <si>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 및 </t>
    </r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두 리포트 수치 동일</t>
    </r>
    <r>
      <rPr>
        <sz val="9"/>
        <color rgb="FF000000"/>
        <rFont val="맑은 고딕"/>
        <family val="0"/>
        <charset val="1"/>
      </rPr>
      <t xml:space="preserve">)</t>
    </r>
  </si>
  <si>
    <t xml:space="preserve">miraeasset / imfnsec PDF</t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</si>
  <si>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1Q24~4Q24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</si>
  <si>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5 (11</t>
    </r>
    <r>
      <rPr>
        <sz val="9"/>
        <color rgb="FF000000"/>
        <rFont val="Noto Sans CJK SC"/>
        <family val="2"/>
      </rPr>
      <t xml:space="preserve">번 시트 참조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</si>
  <si>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본 워크북 내부 참조</t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</si>
  <si>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1Q25~4Q25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</si>
  <si>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4 (10</t>
    </r>
    <r>
      <rPr>
        <sz val="9"/>
        <color rgb="FF000000"/>
        <rFont val="Noto Sans CJK SC"/>
        <family val="2"/>
      </rPr>
      <t xml:space="preserve">번 시트 참조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</si>
  <si>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1Q26 (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</si>
  <si>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연결재무제표기준영업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잠정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실적 공정공시 </t>
    </r>
    <r>
      <rPr>
        <sz val="9"/>
        <color rgb="FF000000"/>
        <rFont val="맑은 고딕"/>
        <family val="0"/>
        <charset val="1"/>
      </rPr>
      <t xml:space="preserve">2026.04.27 —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683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236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순이익 </t>
    </r>
    <r>
      <rPr>
        <sz val="9"/>
        <color rgb="FF000000"/>
        <rFont val="맑은 고딕"/>
        <family val="0"/>
        <charset val="1"/>
      </rPr>
      <t xml:space="preserve">206</t>
    </r>
    <r>
      <rPr>
        <sz val="9"/>
        <color rgb="FF000000"/>
        <rFont val="Noto Sans CJK SC"/>
        <family val="2"/>
      </rPr>
      <t xml:space="preserve">억</t>
    </r>
  </si>
  <si>
    <r>
      <rPr>
        <sz val="9"/>
        <color rgb="FF595959"/>
        <rFont val="맑은 고딕"/>
        <family val="0"/>
        <charset val="1"/>
      </rPr>
      <t xml:space="preserve">DART </t>
    </r>
    <r>
      <rPr>
        <sz val="9"/>
        <color rgb="FF595959"/>
        <rFont val="Noto Sans CJK SC"/>
        <family val="2"/>
      </rPr>
      <t xml:space="preserve">접수번호 </t>
    </r>
    <r>
      <rPr>
        <sz val="9"/>
        <color rgb="FF595959"/>
        <rFont val="맑은 고딕"/>
        <family val="0"/>
        <charset val="1"/>
      </rPr>
      <t xml:space="preserve">20260427900108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</si>
  <si>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1Q26F~4Q26F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</si>
  <si>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추정치</t>
    </r>
  </si>
  <si>
    <r>
      <rPr>
        <sz val="10"/>
        <color rgb="FF000000"/>
        <rFont val="Noto Sans CJK SC"/>
        <family val="2"/>
      </rPr>
      <t xml:space="preserve">분기말 종가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상장주식수</t>
    </r>
  </si>
  <si>
    <r>
      <rPr>
        <sz val="9"/>
        <color rgb="FF000000"/>
        <rFont val="맑은 고딕"/>
        <family val="0"/>
        <charset val="1"/>
      </rPr>
      <t xml:space="preserve">03_p1_</t>
    </r>
    <r>
      <rPr>
        <sz val="9"/>
        <color rgb="FF000000"/>
        <rFont val="Noto Sans CJK SC"/>
        <family val="2"/>
      </rPr>
      <t xml:space="preserve">주가추이 시트의 출처와 동일</t>
    </r>
  </si>
  <si>
    <r>
      <rPr>
        <sz val="9"/>
        <color rgb="FF595959"/>
        <rFont val="맑은 고딕"/>
        <family val="0"/>
        <charset val="1"/>
      </rPr>
      <t xml:space="preserve">stockanalysis / MarketScreener / SK</t>
    </r>
    <r>
      <rPr>
        <sz val="9"/>
        <color rgb="FF595959"/>
        <rFont val="Noto Sans CJK SC"/>
        <family val="2"/>
      </rPr>
      <t xml:space="preserve">증권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</si>
  <si>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세 번째 차트의 배수는 </t>
    </r>
    <r>
      <rPr>
        <i val="true"/>
        <sz val="9"/>
        <color rgb="FF595959"/>
        <rFont val="맑은 고딕"/>
        <family val="0"/>
        <charset val="1"/>
      </rPr>
      <t xml:space="preserve">2023</t>
    </r>
    <r>
      <rPr>
        <i val="true"/>
        <sz val="9"/>
        <color rgb="FF595959"/>
        <rFont val="Noto Sans CJK SC"/>
        <family val="2"/>
      </rPr>
      <t xml:space="preserve">년 실적 저점</t>
    </r>
    <r>
      <rPr>
        <i val="true"/>
        <sz val="9"/>
        <color rgb="FF595959"/>
        <rFont val="맑은 고딕"/>
        <family val="0"/>
        <charset val="1"/>
      </rPr>
      <t xml:space="preserve">(TTM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10.8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때문에 </t>
    </r>
    <r>
      <rPr>
        <i val="true"/>
        <sz val="9"/>
        <color rgb="FF595959"/>
        <rFont val="맑은 고딕"/>
        <family val="0"/>
        <charset val="1"/>
      </rPr>
      <t xml:space="preserve">4Q23~3Q24 </t>
    </r>
    <r>
      <rPr>
        <i val="true"/>
        <sz val="9"/>
        <color rgb="FF595959"/>
        <rFont val="Noto Sans CJK SC"/>
        <family val="2"/>
      </rPr>
      <t xml:space="preserve">구간이 </t>
    </r>
    <r>
      <rPr>
        <i val="true"/>
        <sz val="9"/>
        <color rgb="FF595959"/>
        <rFont val="맑은 고딕"/>
        <family val="0"/>
        <charset val="1"/>
      </rPr>
      <t xml:space="preserve">100</t>
    </r>
    <r>
      <rPr>
        <i val="true"/>
        <sz val="9"/>
        <color rgb="FF595959"/>
        <rFont val="Noto Sans CJK SC"/>
        <family val="2"/>
      </rPr>
      <t xml:space="preserve">배를 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이익이 </t>
    </r>
    <r>
      <rPr>
        <i val="true"/>
        <sz val="9"/>
        <color rgb="FF595959"/>
        <rFont val="맑은 고딕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에 가까운 구간의 배수는 해석하기 어렵다는 점을 감안해 보시고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그 구간은 절대 이익 금액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첫 번째 차트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으로 판단하는 편이 낫습니다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</si>
  <si>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원문처럼 두 계열을 한 그림에 겹치지 않고 나눈 것은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이중축 차트가 두 축의 눈금을 자의적으로 맞추게 되어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영업이익이 시가총액을 따라간다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는 식의 잘못된 인상을 주기 쉽기 때문입니다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세 번째 차트가 그 관계를 배수로 직접 보여줍니다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</si>
  <si>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8. ISC </t>
    </r>
    <r>
      <rPr>
        <b val="true"/>
        <sz val="13"/>
        <color rgb="FF1F6E6A"/>
        <rFont val="Noto Sans CJK SC"/>
        <family val="2"/>
      </rPr>
      <t xml:space="preserve">어플리케이션별 매출 비중 추이</t>
    </r>
  </si>
  <si>
    <r>
      <rPr>
        <i val="true"/>
        <sz val="9"/>
        <color rgb="FF595959"/>
        <rFont val="Noto Sans CJK SC"/>
        <family val="2"/>
      </rPr>
      <t xml:space="preserve">원문 구간은 </t>
    </r>
    <r>
      <rPr>
        <i val="true"/>
        <sz val="9"/>
        <color rgb="FF595959"/>
        <rFont val="맑은 고딕"/>
        <family val="0"/>
        <charset val="1"/>
      </rPr>
      <t xml:space="preserve">1Q21~3Q25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어플리케이션 구분은 하나증권 자체 분류라 공시 항목이 아니고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표로 인쇄된 </t>
    </r>
    <r>
      <rPr>
        <i val="true"/>
        <sz val="9"/>
        <color rgb="FF595959"/>
        <rFont val="맑은 고딕"/>
        <family val="0"/>
        <charset val="1"/>
      </rPr>
      <t xml:space="preserve">1Q24 </t>
    </r>
    <r>
      <rPr>
        <i val="true"/>
        <sz val="9"/>
        <color rgb="FF595959"/>
        <rFont val="Noto Sans CJK SC"/>
        <family val="2"/>
      </rPr>
      <t xml:space="preserve">이후만 확보됩니다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다른 기준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메모리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비메모리</t>
    </r>
    <r>
      <rPr>
        <i val="true"/>
        <sz val="9"/>
        <color rgb="FF595959"/>
        <rFont val="맑은 고딕"/>
        <family val="0"/>
        <charset val="1"/>
      </rPr>
      <t xml:space="preserve">, AI/</t>
    </r>
    <r>
      <rPr>
        <i val="true"/>
        <sz val="9"/>
        <color rgb="FF595959"/>
        <rFont val="Noto Sans CJK SC"/>
        <family val="2"/>
      </rPr>
      <t xml:space="preserve">비</t>
    </r>
    <r>
      <rPr>
        <i val="true"/>
        <sz val="9"/>
        <color rgb="FF595959"/>
        <rFont val="맑은 고딕"/>
        <family val="0"/>
        <charset val="1"/>
      </rPr>
      <t xml:space="preserve">AI)</t>
    </r>
    <r>
      <rPr>
        <i val="true"/>
        <sz val="9"/>
        <color rgb="FF595959"/>
        <rFont val="Noto Sans CJK SC"/>
        <family val="2"/>
      </rPr>
      <t xml:space="preserve">의 매출 분해는 </t>
    </r>
    <r>
      <rPr>
        <i val="true"/>
        <sz val="9"/>
        <color rgb="FF595959"/>
        <rFont val="맑은 고딕"/>
        <family val="0"/>
        <charset val="1"/>
      </rPr>
      <t xml:space="preserve">D3_</t>
    </r>
    <r>
      <rPr>
        <i val="true"/>
        <sz val="9"/>
        <color rgb="FF595959"/>
        <rFont val="Noto Sans CJK SC"/>
        <family val="2"/>
      </rPr>
      <t xml:space="preserve">매출분해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대체분류 시트에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</si>
  <si>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어플리케이션별 매출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십억원</t>
    </r>
    <r>
      <rPr>
        <b val="true"/>
        <sz val="10"/>
        <color rgb="FF1F6E6A"/>
        <rFont val="맑은 고딕"/>
        <family val="0"/>
        <charset val="1"/>
      </rPr>
      <t xml:space="preserve">) — </t>
    </r>
    <r>
      <rPr>
        <b val="true"/>
        <sz val="10"/>
        <color rgb="FF1F6E6A"/>
        <rFont val="Noto Sans CJK SC"/>
        <family val="2"/>
      </rPr>
      <t xml:space="preserve">하나증권 도표 </t>
    </r>
    <r>
      <rPr>
        <b val="true"/>
        <sz val="10"/>
        <color rgb="FF1F6E6A"/>
        <rFont val="맑은 고딕"/>
        <family val="0"/>
        <charset val="1"/>
      </rPr>
      <t xml:space="preserve">4·5</t>
    </r>
  </si>
  <si>
    <t xml:space="preserve">  ② 어플리케이션별 매출 비중</t>
  </si>
  <si>
    <t xml:space="preserve">데이터센터 비중</t>
  </si>
  <si>
    <t xml:space="preserve">스마트폰 비중</t>
  </si>
  <si>
    <r>
      <rPr>
        <sz val="10"/>
        <color rgb="FF000000"/>
        <rFont val="맑은 고딕"/>
        <family val="0"/>
        <charset val="1"/>
      </rPr>
      <t xml:space="preserve">PC/Laptop </t>
    </r>
    <r>
      <rPr>
        <sz val="10"/>
        <color rgb="FF000000"/>
        <rFont val="Noto Sans CJK SC"/>
        <family val="2"/>
      </rPr>
      <t xml:space="preserve">비중</t>
    </r>
  </si>
  <si>
    <t xml:space="preserve">오토모티브 비중</t>
  </si>
  <si>
    <t xml:space="preserve">웨어러블 비중</t>
  </si>
  <si>
    <r>
      <rPr>
        <sz val="10"/>
        <color rgb="FF000000"/>
        <rFont val="맑은 고딕"/>
        <family val="0"/>
        <charset val="1"/>
      </rPr>
      <t xml:space="preserve">LSI </t>
    </r>
    <r>
      <rPr>
        <sz val="10"/>
        <color rgb="FF000000"/>
        <rFont val="Noto Sans CJK SC"/>
        <family val="2"/>
      </rPr>
      <t xml:space="preserve">비중</t>
    </r>
  </si>
  <si>
    <t xml:space="preserve">기타 비중</t>
  </si>
  <si>
    <t xml:space="preserve">합계 검산</t>
  </si>
  <si>
    <r>
      <rPr>
        <sz val="10"/>
        <color rgb="FF000000"/>
        <rFont val="Noto Sans CJK SC"/>
        <family val="2"/>
      </rPr>
      <t xml:space="preserve">어플리케이션별 매출 </t>
    </r>
    <r>
      <rPr>
        <sz val="10"/>
        <color rgb="FF000000"/>
        <rFont val="맑은 고딕"/>
        <family val="0"/>
        <charset val="1"/>
      </rPr>
      <t xml:space="preserve">1Q24~4Q26F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</si>
  <si>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4·5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</si>
  <si>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10·11</t>
    </r>
    <r>
      <rPr>
        <sz val="9"/>
        <color rgb="FF595959"/>
        <rFont val="Noto Sans CJK SC"/>
        <family val="2"/>
      </rPr>
      <t xml:space="preserve">번 시트</t>
    </r>
  </si>
  <si>
    <r>
      <rPr>
        <sz val="10"/>
        <color rgb="FF000000"/>
        <rFont val="Noto Sans CJK SC"/>
        <family val="2"/>
      </rPr>
      <t xml:space="preserve">어플리케이션별 매출 </t>
    </r>
    <r>
      <rPr>
        <sz val="10"/>
        <color rgb="FF000000"/>
        <rFont val="맑은 고딕"/>
        <family val="0"/>
        <charset val="1"/>
      </rPr>
      <t xml:space="preserve">1Q21~4Q23</t>
    </r>
  </si>
  <si>
    <r>
      <rPr>
        <sz val="9"/>
        <color rgb="FF000000"/>
        <rFont val="Noto Sans CJK SC"/>
        <family val="2"/>
      </rPr>
      <t xml:space="preserve">미확보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하나증권 자체 분류이며 공시 항목이 아니라 과거 하나증권 리포트를 직접 확인해야 함 </t>
    </r>
    <r>
      <rPr>
        <sz val="9"/>
        <color rgb="FF000000"/>
        <rFont val="맑은 고딕"/>
        <family val="0"/>
        <charset val="1"/>
      </rPr>
      <t xml:space="preserve">(hanaw.com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robots.txt</t>
    </r>
    <r>
      <rPr>
        <sz val="9"/>
        <color rgb="FF000000"/>
        <rFont val="Noto Sans CJK SC"/>
        <family val="2"/>
      </rPr>
      <t xml:space="preserve">로 자동 수집 차단</t>
    </r>
    <r>
      <rPr>
        <sz val="9"/>
        <color rgb="FF000000"/>
        <rFont val="맑은 고딕"/>
        <family val="0"/>
        <charset val="1"/>
      </rPr>
      <t xml:space="preserve">)</t>
    </r>
  </si>
  <si>
    <t xml:space="preserve">—</t>
  </si>
  <si>
    <r>
      <rPr>
        <sz val="10"/>
        <color rgb="FF000000"/>
        <rFont val="Noto Sans CJK SC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비메모리 </t>
    </r>
    <r>
      <rPr>
        <sz val="10"/>
        <color rgb="FF000000"/>
        <rFont val="맑은 고딕"/>
        <family val="0"/>
        <charset val="1"/>
      </rPr>
      <t xml:space="preserve">· AI/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분해</t>
    </r>
  </si>
  <si>
    <r>
      <rPr>
        <sz val="9"/>
        <color rgb="FF000000"/>
        <rFont val="Noto Sans CJK SC"/>
        <family val="2"/>
      </rPr>
      <t xml:space="preserve">원문에 없는 대체 분류이므로 </t>
    </r>
    <r>
      <rPr>
        <sz val="9"/>
        <color rgb="FF000000"/>
        <rFont val="맑은 고딕"/>
        <family val="0"/>
        <charset val="1"/>
      </rPr>
      <t xml:space="preserve">D3_</t>
    </r>
    <r>
      <rPr>
        <sz val="9"/>
        <color rgb="FF000000"/>
        <rFont val="Noto Sans CJK SC"/>
        <family val="2"/>
      </rPr>
      <t xml:space="preserve">매출분해</t>
    </r>
    <r>
      <rPr>
        <sz val="9"/>
        <color rgb="FF000000"/>
        <rFont val="맑은 고딕"/>
        <family val="0"/>
        <charset val="1"/>
      </rPr>
      <t xml:space="preserve">_</t>
    </r>
    <r>
      <rPr>
        <sz val="9"/>
        <color rgb="FF000000"/>
        <rFont val="Noto Sans CJK SC"/>
        <family val="2"/>
      </rPr>
      <t xml:space="preserve">대체분류 시트로 분리했습니다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</si>
  <si>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D3 </t>
    </r>
    <r>
      <rPr>
        <sz val="9"/>
        <color rgb="FF595959"/>
        <rFont val="Noto Sans CJK SC"/>
        <family val="2"/>
      </rPr>
      <t xml:space="preserve">시트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</si>
  <si>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9. ISC </t>
    </r>
    <r>
      <rPr>
        <b val="true"/>
        <sz val="13"/>
        <color rgb="FF1F6E6A"/>
        <rFont val="Noto Sans CJK SC"/>
        <family val="2"/>
      </rPr>
      <t xml:space="preserve">연간 실적 추이 및 전망</t>
    </r>
  </si>
  <si>
    <r>
      <rPr>
        <i val="true"/>
        <sz val="9"/>
        <color rgb="FF595959"/>
        <rFont val="Noto Sans CJK SC"/>
        <family val="2"/>
      </rPr>
      <t xml:space="preserve">원문 구간은 </t>
    </r>
    <r>
      <rPr>
        <i val="true"/>
        <sz val="9"/>
        <color rgb="FF595959"/>
        <rFont val="맑은 고딕"/>
        <family val="0"/>
        <charset val="1"/>
      </rPr>
      <t xml:space="preserve">2019~2027F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2018~2022</t>
    </r>
    <r>
      <rPr>
        <i val="true"/>
        <sz val="9"/>
        <color rgb="FF595959"/>
        <rFont val="Noto Sans CJK SC"/>
        <family val="2"/>
      </rPr>
      <t xml:space="preserve">년은 언론 보도와 리서치 자료로 확보해 원문 구간을 모두 채웠습니다 </t>
    </r>
    <r>
      <rPr>
        <i val="true"/>
        <sz val="9"/>
        <color rgb="FF595959"/>
        <rFont val="맑은 고딕"/>
        <family val="0"/>
        <charset val="1"/>
      </rPr>
      <t xml:space="preserve">(2018</t>
    </r>
    <r>
      <rPr>
        <i val="true"/>
        <sz val="9"/>
        <color rgb="FF595959"/>
        <rFont val="Noto Sans CJK SC"/>
        <family val="2"/>
      </rPr>
      <t xml:space="preserve">년은 보너스</t>
    </r>
    <r>
      <rPr>
        <i val="true"/>
        <sz val="9"/>
        <color rgb="FF595959"/>
        <rFont val="맑은 고딕"/>
        <family val="0"/>
        <charset val="1"/>
      </rPr>
      <t xml:space="preserve">). 2023</t>
    </r>
    <r>
      <rPr>
        <i val="true"/>
        <sz val="9"/>
        <color rgb="FF595959"/>
        <rFont val="Noto Sans CJK SC"/>
        <family val="2"/>
      </rPr>
      <t xml:space="preserve">년 이후는 </t>
    </r>
    <r>
      <rPr>
        <i val="true"/>
        <sz val="9"/>
        <color rgb="FF595959"/>
        <rFont val="맑은 고딕"/>
        <family val="0"/>
        <charset val="1"/>
      </rPr>
      <t xml:space="preserve">15_p5_</t>
    </r>
    <r>
      <rPr>
        <i val="true"/>
        <sz val="9"/>
        <color rgb="FF595959"/>
        <rFont val="Noto Sans CJK SC"/>
        <family val="2"/>
      </rPr>
      <t xml:space="preserve">손익계산서와 연결됩니다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</si>
  <si>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</si>
  <si>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</si>
  <si>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</si>
  <si>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</si>
  <si>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</si>
  <si>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r>
      <rPr>
        <b val="true"/>
        <sz val="10"/>
        <color rgb="FF000000"/>
        <rFont val="Noto Sans CJK SC"/>
        <family val="2"/>
      </rPr>
      <t xml:space="preserve">영업이익률 </t>
    </r>
    <r>
      <rPr>
        <b val="true"/>
        <sz val="10"/>
        <color rgb="FF000000"/>
        <rFont val="맑은 고딕"/>
        <family val="0"/>
        <charset val="1"/>
      </rPr>
      <t xml:space="preserve">(OPM)</t>
    </r>
  </si>
  <si>
    <r>
      <rPr>
        <sz val="10"/>
        <color rgb="FF000000"/>
        <rFont val="Noto Sans CJK SC"/>
        <family val="2"/>
      </rPr>
      <t xml:space="preserve">  매출액 </t>
    </r>
    <r>
      <rPr>
        <sz val="10"/>
        <color rgb="FF000000"/>
        <rFont val="맑은 고딕"/>
        <family val="0"/>
        <charset val="1"/>
      </rPr>
      <t xml:space="preserve">YoY</t>
    </r>
  </si>
  <si>
    <r>
      <rPr>
        <sz val="10"/>
        <color rgb="FF000000"/>
        <rFont val="Noto Sans CJK SC"/>
        <family val="2"/>
      </rPr>
      <t xml:space="preserve">  영업이익 </t>
    </r>
    <r>
      <rPr>
        <sz val="10"/>
        <color rgb="FF000000"/>
        <rFont val="맑은 고딕"/>
        <family val="0"/>
        <charset val="1"/>
      </rPr>
      <t xml:space="preserve">YoY</t>
    </r>
  </si>
  <si>
    <t xml:space="preserve">  구분</t>
  </si>
  <si>
    <r>
      <rPr>
        <sz val="8"/>
        <color rgb="FF595959"/>
        <rFont val="Noto Sans CJK SC"/>
        <family val="2"/>
      </rPr>
      <t xml:space="preserve">확정 </t>
    </r>
    <r>
      <rPr>
        <sz val="8"/>
        <color rgb="FF595959"/>
        <rFont val="맑은 고딕"/>
        <family val="0"/>
        <charset val="1"/>
      </rPr>
      <t xml:space="preserve">(</t>
    </r>
    <r>
      <rPr>
        <sz val="8"/>
        <color rgb="FF595959"/>
        <rFont val="Noto Sans CJK SC"/>
        <family val="2"/>
      </rPr>
      <t xml:space="preserve">외부 확보</t>
    </r>
    <r>
      <rPr>
        <sz val="8"/>
        <color rgb="FF595959"/>
        <rFont val="맑은 고딕"/>
        <family val="0"/>
        <charset val="1"/>
      </rPr>
      <t xml:space="preserve">)</t>
    </r>
  </si>
  <si>
    <r>
      <rPr>
        <sz val="8"/>
        <color rgb="FF595959"/>
        <rFont val="Noto Sans CJK SC"/>
        <family val="2"/>
      </rPr>
      <t xml:space="preserve">확정 </t>
    </r>
    <r>
      <rPr>
        <sz val="8"/>
        <color rgb="FF595959"/>
        <rFont val="맑은 고딕"/>
        <family val="0"/>
        <charset val="1"/>
      </rPr>
      <t xml:space="preserve">(</t>
    </r>
    <r>
      <rPr>
        <sz val="8"/>
        <color rgb="FF595959"/>
        <rFont val="Noto Sans CJK SC"/>
        <family val="2"/>
      </rPr>
      <t xml:space="preserve">리포트</t>
    </r>
    <r>
      <rPr>
        <sz val="8"/>
        <color rgb="FF595959"/>
        <rFont val="맑은 고딕"/>
        <family val="0"/>
        <charset val="1"/>
      </rPr>
      <t xml:space="preserve">)</t>
    </r>
  </si>
  <si>
    <t xml:space="preserve">하나증권 추정</t>
  </si>
  <si>
    <t xml:space="preserve">  정합성 체크</t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</si>
  <si>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매출액 역산 검증</t>
    </r>
  </si>
  <si>
    <r>
      <rPr>
        <sz val="9"/>
        <color rgb="FF595959"/>
        <rFont val="Noto Sans CJK SC"/>
        <family val="2"/>
      </rPr>
      <t xml:space="preserve">← 왼쪽은 하나증권 </t>
    </r>
    <r>
      <rPr>
        <sz val="9"/>
        <color rgb="FF595959"/>
        <rFont val="맑은 고딕"/>
        <family val="0"/>
        <charset val="1"/>
      </rPr>
      <t xml:space="preserve">2023</t>
    </r>
    <r>
      <rPr>
        <sz val="9"/>
        <color rgb="FF595959"/>
        <rFont val="Noto Sans CJK SC"/>
        <family val="2"/>
      </rPr>
      <t xml:space="preserve">년 매출액증가율</t>
    </r>
    <r>
      <rPr>
        <sz val="9"/>
        <color rgb="FF595959"/>
        <rFont val="맑은 고딕"/>
        <family val="0"/>
        <charset val="1"/>
      </rPr>
      <t xml:space="preserve">(-21.63%) </t>
    </r>
    <r>
      <rPr>
        <sz val="9"/>
        <color rgb="FF595959"/>
        <rFont val="Noto Sans CJK SC"/>
        <family val="2"/>
      </rPr>
      <t xml:space="preserve">역산값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오른쪽은 표 입력값</t>
    </r>
    <r>
      <rPr>
        <sz val="9"/>
        <color rgb="FF595959"/>
        <rFont val="맑은 고딕"/>
        <family val="0"/>
        <charset val="1"/>
      </rPr>
      <t xml:space="preserve">(IM</t>
    </r>
    <r>
      <rPr>
        <sz val="9"/>
        <color rgb="FF595959"/>
        <rFont val="Noto Sans CJK SC"/>
        <family val="2"/>
      </rPr>
      <t xml:space="preserve">증권 </t>
    </r>
    <r>
      <rPr>
        <sz val="9"/>
        <color rgb="FF595959"/>
        <rFont val="맑은 고딕"/>
        <family val="0"/>
        <charset val="1"/>
      </rPr>
      <t xml:space="preserve">178.9). </t>
    </r>
    <r>
      <rPr>
        <sz val="9"/>
        <color rgb="FF595959"/>
        <rFont val="Noto Sans CJK SC"/>
        <family val="2"/>
      </rPr>
      <t xml:space="preserve">일치하면 정상</t>
    </r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</si>
  <si>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영업이익 역산 검증</t>
    </r>
  </si>
  <si>
    <r>
      <rPr>
        <sz val="9"/>
        <color rgb="FF595959"/>
        <rFont val="Noto Sans CJK SC"/>
        <family val="2"/>
      </rPr>
      <t xml:space="preserve">← 하나증권 </t>
    </r>
    <r>
      <rPr>
        <sz val="9"/>
        <color rgb="FF595959"/>
        <rFont val="맑은 고딕"/>
        <family val="0"/>
        <charset val="1"/>
      </rPr>
      <t xml:space="preserve">2023</t>
    </r>
    <r>
      <rPr>
        <sz val="9"/>
        <color rgb="FF595959"/>
        <rFont val="Noto Sans CJK SC"/>
        <family val="2"/>
      </rPr>
      <t xml:space="preserve">년 영업이익증가율</t>
    </r>
    <r>
      <rPr>
        <sz val="9"/>
        <color rgb="FF595959"/>
        <rFont val="맑은 고딕"/>
        <family val="0"/>
        <charset val="1"/>
      </rPr>
      <t xml:space="preserve">(-80.86%) </t>
    </r>
    <r>
      <rPr>
        <sz val="9"/>
        <color rgb="FF595959"/>
        <rFont val="Noto Sans CJK SC"/>
        <family val="2"/>
      </rPr>
      <t xml:space="preserve">역산값 </t>
    </r>
    <r>
      <rPr>
        <sz val="9"/>
        <color rgb="FF595959"/>
        <rFont val="맑은 고딕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표 입력값 </t>
    </r>
    <r>
      <rPr>
        <sz val="9"/>
        <color rgb="FF595959"/>
        <rFont val="맑은 고딕"/>
        <family val="0"/>
        <charset val="1"/>
      </rPr>
      <t xml:space="preserve">55.9 (</t>
    </r>
    <r>
      <rPr>
        <sz val="9"/>
        <color rgb="FF595959"/>
        <rFont val="Noto Sans CJK SC"/>
        <family val="2"/>
      </rPr>
      <t xml:space="preserve">미래에셋 리포트 표기 </t>
    </r>
    <r>
      <rPr>
        <sz val="9"/>
        <color rgb="FF595959"/>
        <rFont val="맑은 고딕"/>
        <family val="0"/>
        <charset val="1"/>
      </rPr>
      <t xml:space="preserve">56)</t>
    </r>
  </si>
  <si>
    <r>
      <rPr>
        <sz val="10"/>
        <color rgb="FF000000"/>
        <rFont val="맑은 고딕"/>
        <family val="0"/>
        <charset val="1"/>
      </rPr>
      <t xml:space="preserve">2018</t>
    </r>
    <r>
      <rPr>
        <sz val="10"/>
        <color rgb="FF000000"/>
        <rFont val="Noto Sans CJK SC"/>
        <family val="2"/>
      </rPr>
      <t xml:space="preserve">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</si>
  <si>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r>
      <rPr>
        <sz val="9"/>
        <color rgb="FF000000"/>
        <rFont val="Noto Sans CJK SC"/>
        <family val="2"/>
      </rPr>
      <t xml:space="preserve">디일렉 </t>
    </r>
    <r>
      <rPr>
        <sz val="9"/>
        <color rgb="FF000000"/>
        <rFont val="맑은 고딕"/>
        <family val="0"/>
        <charset val="1"/>
      </rPr>
      <t xml:space="preserve">2019.03 </t>
    </r>
    <r>
      <rPr>
        <sz val="9"/>
        <color rgb="FF000000"/>
        <rFont val="Noto Sans CJK SC"/>
        <family val="2"/>
      </rPr>
      <t xml:space="preserve">기사 </t>
    </r>
    <r>
      <rPr>
        <sz val="9"/>
        <color rgb="FF000000"/>
        <rFont val="맑은 고딕"/>
        <family val="0"/>
        <charset val="1"/>
      </rPr>
      <t xml:space="preserve">(2018</t>
    </r>
    <r>
      <rPr>
        <sz val="9"/>
        <color rgb="FF000000"/>
        <rFont val="Noto Sans CJK SC"/>
        <family val="2"/>
      </rPr>
      <t xml:space="preserve">년 확정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1,161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127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</si>
  <si>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thelec.kr</t>
  </si>
  <si>
    <r>
      <rPr>
        <sz val="10"/>
        <color rgb="FF000000"/>
        <rFont val="맑은 고딕"/>
        <family val="0"/>
        <charset val="1"/>
      </rPr>
      <t xml:space="preserve">2019~2021</t>
    </r>
    <r>
      <rPr>
        <sz val="10"/>
        <color rgb="FF000000"/>
        <rFont val="Noto Sans CJK SC"/>
        <family val="2"/>
      </rPr>
      <t xml:space="preserve">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</si>
  <si>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r>
      <rPr>
        <sz val="9"/>
        <color rgb="FF000000"/>
        <rFont val="Noto Sans CJK SC"/>
        <family val="2"/>
      </rPr>
      <t xml:space="preserve">디일렉 </t>
    </r>
    <r>
      <rPr>
        <sz val="9"/>
        <color rgb="FF000000"/>
        <rFont val="맑은 고딕"/>
        <family val="0"/>
        <charset val="1"/>
      </rPr>
      <t xml:space="preserve">2023.02.02 </t>
    </r>
    <r>
      <rPr>
        <sz val="9"/>
        <color rgb="FF000000"/>
        <rFont val="Noto Sans CJK SC"/>
        <family val="2"/>
      </rPr>
      <t xml:space="preserve">기사 — </t>
    </r>
    <r>
      <rPr>
        <sz val="9"/>
        <color rgb="FF000000"/>
        <rFont val="맑은 고딕"/>
        <family val="0"/>
        <charset val="1"/>
      </rPr>
      <t xml:space="preserve">2019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877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/20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2020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1,218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/181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2021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1,447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/375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미래에셋 리포트</t>
    </r>
    <r>
      <rPr>
        <sz val="9"/>
        <color rgb="FF000000"/>
        <rFont val="맑은 고딕"/>
        <family val="0"/>
        <charset val="1"/>
      </rPr>
      <t xml:space="preserve">(122/18, 145/38)</t>
    </r>
    <r>
      <rPr>
        <sz val="9"/>
        <color rgb="FF000000"/>
        <rFont val="Noto Sans CJK SC"/>
        <family val="2"/>
      </rPr>
      <t xml:space="preserve">와 정합</t>
    </r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</si>
  <si>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매출액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</si>
  <si>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FY22 178.9</t>
    </r>
    <r>
      <rPr>
        <sz val="9"/>
        <color rgb="FF000000"/>
        <rFont val="Noto Sans CJK SC"/>
        <family val="2"/>
      </rPr>
      <t xml:space="preserve">십억원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미래에셋 </t>
    </r>
    <r>
      <rPr>
        <sz val="9"/>
        <color rgb="FF000000"/>
        <rFont val="맑은 고딕"/>
        <family val="0"/>
        <charset val="1"/>
      </rPr>
      <t xml:space="preserve">179, </t>
    </r>
    <r>
      <rPr>
        <sz val="9"/>
        <color rgb="FF000000"/>
        <rFont val="Noto Sans CJK SC"/>
        <family val="2"/>
      </rPr>
      <t xml:space="preserve">하나증권 증가율 역산값과 모두 정합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</si>
  <si>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imfnsec PDF</t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</si>
  <si>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영업이익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</si>
  <si>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영업이익증가율 </t>
    </r>
    <r>
      <rPr>
        <sz val="9"/>
        <color rgb="FF000000"/>
        <rFont val="맑은 고딕"/>
        <family val="0"/>
        <charset val="1"/>
      </rPr>
      <t xml:space="preserve">-80.86% </t>
    </r>
    <r>
      <rPr>
        <sz val="9"/>
        <color rgb="FF000000"/>
        <rFont val="Noto Sans CJK SC"/>
        <family val="2"/>
      </rPr>
      <t xml:space="preserve">역산 </t>
    </r>
    <r>
      <rPr>
        <sz val="9"/>
        <color rgb="FF000000"/>
        <rFont val="맑은 고딕"/>
        <family val="0"/>
        <charset val="1"/>
      </rPr>
      <t xml:space="preserve">(55.9). </t>
    </r>
    <r>
      <rPr>
        <sz val="9"/>
        <color rgb="FF000000"/>
        <rFont val="Noto Sans CJK SC"/>
        <family val="2"/>
      </rPr>
      <t xml:space="preserve">미래에셋 리포트 표기 </t>
    </r>
    <r>
      <rPr>
        <sz val="9"/>
        <color rgb="FF000000"/>
        <rFont val="맑은 고딕"/>
        <family val="0"/>
        <charset val="1"/>
      </rPr>
      <t xml:space="preserve">56</t>
    </r>
    <r>
      <rPr>
        <sz val="9"/>
        <color rgb="FF000000"/>
        <rFont val="Noto Sans CJK SC"/>
        <family val="2"/>
      </rPr>
      <t xml:space="preserve">과 정합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</si>
  <si>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번 시트</t>
    </r>
  </si>
  <si>
    <t xml:space="preserve">2023~2027F</t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</si>
  <si>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추정 재무제표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</si>
  <si>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10. ISC </t>
    </r>
    <r>
      <rPr>
        <b val="true"/>
        <sz val="13"/>
        <color rgb="FF1F6E6A"/>
        <rFont val="Noto Sans CJK SC"/>
        <family val="2"/>
      </rPr>
      <t xml:space="preserve">제품별 매출 추이 및 전망 </t>
    </r>
    <r>
      <rPr>
        <b val="true"/>
        <sz val="13"/>
        <color rgb="FF1F6E6A"/>
        <rFont val="맑은 고딕"/>
        <family val="0"/>
        <charset val="1"/>
      </rPr>
      <t xml:space="preserve">(Socket / Non-socket)</t>
    </r>
  </si>
  <si>
    <r>
      <rPr>
        <i val="true"/>
        <sz val="9"/>
        <color rgb="FF595959"/>
        <rFont val="Noto Sans CJK SC"/>
        <family val="2"/>
      </rPr>
      <t xml:space="preserve">원문 구간은 </t>
    </r>
    <r>
      <rPr>
        <i val="true"/>
        <sz val="9"/>
        <color rgb="FF595959"/>
        <rFont val="맑은 고딕"/>
        <family val="0"/>
        <charset val="1"/>
      </rPr>
      <t xml:space="preserve">1Q19~1Q26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IM</t>
    </r>
    <r>
      <rPr>
        <i val="true"/>
        <sz val="9"/>
        <color rgb="FF595959"/>
        <rFont val="Noto Sans CJK SC"/>
        <family val="2"/>
      </rPr>
      <t xml:space="preserve">증권 리포트에서 분기별 </t>
    </r>
    <r>
      <rPr>
        <i val="true"/>
        <sz val="9"/>
        <color rgb="FF595959"/>
        <rFont val="맑은 고딕"/>
        <family val="0"/>
        <charset val="1"/>
      </rPr>
      <t xml:space="preserve">Non Socket </t>
    </r>
    <r>
      <rPr>
        <i val="true"/>
        <sz val="9"/>
        <color rgb="FF595959"/>
        <rFont val="Noto Sans CJK SC"/>
        <family val="2"/>
      </rPr>
      <t xml:space="preserve">매출을 확보해 </t>
    </r>
    <r>
      <rPr>
        <i val="true"/>
        <sz val="9"/>
        <color rgb="FF595959"/>
        <rFont val="맑은 고딕"/>
        <family val="0"/>
        <charset val="1"/>
      </rPr>
      <t xml:space="preserve">1Q23~4Q25 </t>
    </r>
    <r>
      <rPr>
        <i val="true"/>
        <sz val="9"/>
        <color rgb="FF595959"/>
        <rFont val="Noto Sans CJK SC"/>
        <family val="2"/>
      </rPr>
      <t xml:space="preserve">구간을 채웠습니다</t>
    </r>
    <r>
      <rPr>
        <i val="true"/>
        <sz val="9"/>
        <color rgb="FF595959"/>
        <rFont val="맑은 고딕"/>
        <family val="0"/>
        <charset val="1"/>
      </rPr>
      <t xml:space="preserve">. 1Q19~4Q22 </t>
    </r>
    <r>
      <rPr>
        <i val="true"/>
        <sz val="9"/>
        <color rgb="FF595959"/>
        <rFont val="Noto Sans CJK SC"/>
        <family val="2"/>
      </rPr>
      <t xml:space="preserve">분기 구분은 미확보이며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연간값은 </t>
    </r>
    <r>
      <rPr>
        <i val="true"/>
        <sz val="9"/>
        <color rgb="FF595959"/>
        <rFont val="맑은 고딕"/>
        <family val="0"/>
        <charset val="1"/>
      </rPr>
      <t xml:space="preserve">FY22</t>
    </r>
    <r>
      <rPr>
        <i val="true"/>
        <sz val="9"/>
        <color rgb="FF595959"/>
        <rFont val="Noto Sans CJK SC"/>
        <family val="2"/>
      </rPr>
      <t xml:space="preserve">부터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</si>
  <si>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분기 제품별 매출 </t>
    </r>
    <r>
      <rPr>
        <b val="true"/>
        <sz val="10"/>
        <color rgb="FF1F6E6A"/>
        <rFont val="맑은 고딕"/>
        <family val="0"/>
        <charset val="1"/>
      </rPr>
      <t xml:space="preserve">(IM</t>
    </r>
    <r>
      <rPr>
        <b val="true"/>
        <sz val="10"/>
        <color rgb="FF1F6E6A"/>
        <rFont val="Noto Sans CJK SC"/>
        <family val="2"/>
      </rPr>
      <t xml:space="preserve">증권 </t>
    </r>
    <r>
      <rPr>
        <b val="true"/>
        <sz val="10"/>
        <color rgb="FF1F6E6A"/>
        <rFont val="맑은 고딕"/>
        <family val="0"/>
        <charset val="1"/>
      </rPr>
      <t xml:space="preserve">2025.10.13)</t>
    </r>
  </si>
  <si>
    <t xml:space="preserve">3Q25E</t>
  </si>
  <si>
    <t xml:space="preserve">4Q25E</t>
  </si>
  <si>
    <t xml:space="preserve">총매출</t>
  </si>
  <si>
    <r>
      <rPr>
        <sz val="10"/>
        <color rgb="FF000000"/>
        <rFont val="맑은 고딕"/>
        <family val="0"/>
        <charset val="1"/>
      </rPr>
      <t xml:space="preserve">Non Socket (</t>
    </r>
    <r>
      <rPr>
        <sz val="10"/>
        <color rgb="FF000000"/>
        <rFont val="Noto Sans CJK SC"/>
        <family val="2"/>
      </rPr>
      <t xml:space="preserve">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소재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</si>
  <si>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Socket (= </t>
    </r>
    <r>
      <rPr>
        <b val="true"/>
        <sz val="10"/>
        <color rgb="FF000000"/>
        <rFont val="Noto Sans CJK SC"/>
        <family val="2"/>
      </rPr>
      <t xml:space="preserve">총매출 − </t>
    </r>
    <r>
      <rPr>
        <b val="true"/>
        <sz val="10"/>
        <color rgb="FF000000"/>
        <rFont val="맑은 고딕"/>
        <family val="0"/>
        <charset val="1"/>
      </rPr>
      <t xml:space="preserve">Non Socket)</t>
    </r>
  </si>
  <si>
    <r>
      <rPr>
        <sz val="10"/>
        <color rgb="FF000000"/>
        <rFont val="맑은 고딕"/>
        <family val="0"/>
        <charset val="1"/>
      </rPr>
      <t xml:space="preserve">  Socket </t>
    </r>
    <r>
      <rPr>
        <sz val="10"/>
        <color rgb="FF000000"/>
        <rFont val="Noto Sans CJK SC"/>
        <family val="2"/>
      </rPr>
      <t xml:space="preserve">비중</t>
    </r>
  </si>
  <si>
    <r>
      <rPr>
        <sz val="10"/>
        <color rgb="FF000000"/>
        <rFont val="맑은 고딕"/>
        <family val="0"/>
        <charset val="1"/>
      </rPr>
      <t xml:space="preserve">  Non Socket </t>
    </r>
    <r>
      <rPr>
        <sz val="10"/>
        <color rgb="FF000000"/>
        <rFont val="Noto Sans CJK SC"/>
        <family val="2"/>
      </rPr>
      <t xml:space="preserve">비중</t>
    </r>
  </si>
  <si>
    <r>
      <rPr>
        <sz val="10"/>
        <color rgb="FF000000"/>
        <rFont val="Noto Sans CJK SC"/>
        <family val="2"/>
      </rPr>
      <t xml:space="preserve">  검산</t>
    </r>
    <r>
      <rPr>
        <sz val="10"/>
        <color rgb="FF000000"/>
        <rFont val="맑은 고딕"/>
        <family val="0"/>
        <charset val="1"/>
      </rPr>
      <t xml:space="preserve">: Memory + Non-Memory + Non Socket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</si>
  <si>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위 검산 행은 총매출 행과 전 분기에서 일치합니다</t>
    </r>
    <r>
      <rPr>
        <i val="true"/>
        <sz val="9"/>
        <color rgb="FF595959"/>
        <rFont val="맑은 고딕"/>
        <family val="0"/>
        <charset val="1"/>
      </rPr>
      <t xml:space="preserve">. IM</t>
    </r>
    <r>
      <rPr>
        <i val="true"/>
        <sz val="9"/>
        <color rgb="FF595959"/>
        <rFont val="Noto Sans CJK SC"/>
        <family val="2"/>
      </rPr>
      <t xml:space="preserve">증권의 </t>
    </r>
    <r>
      <rPr>
        <i val="true"/>
        <sz val="9"/>
        <color rgb="FF595959"/>
        <rFont val="맑은 고딕"/>
        <family val="0"/>
        <charset val="1"/>
      </rPr>
      <t xml:space="preserve">Memory·Non-Memory </t>
    </r>
    <r>
      <rPr>
        <i val="true"/>
        <sz val="9"/>
        <color rgb="FF595959"/>
        <rFont val="Noto Sans CJK SC"/>
        <family val="2"/>
      </rPr>
      <t xml:space="preserve">합계가 곧 </t>
    </r>
    <r>
      <rPr>
        <i val="true"/>
        <sz val="9"/>
        <color rgb="FF595959"/>
        <rFont val="맑은 고딕"/>
        <family val="0"/>
        <charset val="1"/>
      </rPr>
      <t xml:space="preserve">Socket </t>
    </r>
    <r>
      <rPr>
        <i val="true"/>
        <sz val="9"/>
        <color rgb="FF595959"/>
        <rFont val="Noto Sans CJK SC"/>
        <family val="2"/>
      </rPr>
      <t xml:space="preserve">매출이라는 뜻이며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 구조가 도표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Socket / Non-socket </t>
    </r>
    <r>
      <rPr>
        <i val="true"/>
        <sz val="9"/>
        <color rgb="FF595959"/>
        <rFont val="Noto Sans CJK SC"/>
        <family val="2"/>
      </rPr>
      <t xml:space="preserve">구분과 같습니다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</si>
  <si>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② 연간 제품별 매출 </t>
    </r>
    <r>
      <rPr>
        <b val="true"/>
        <sz val="10"/>
        <color rgb="FF1F6E6A"/>
        <rFont val="맑은 고딕"/>
        <family val="0"/>
        <charset val="1"/>
      </rPr>
      <t xml:space="preserve">(IM</t>
    </r>
    <r>
      <rPr>
        <b val="true"/>
        <sz val="10"/>
        <color rgb="FF1F6E6A"/>
        <rFont val="Noto Sans CJK SC"/>
        <family val="2"/>
      </rPr>
      <t xml:space="preserve">증권 </t>
    </r>
    <r>
      <rPr>
        <b val="true"/>
        <sz val="10"/>
        <color rgb="FF1F6E6A"/>
        <rFont val="맑은 고딕"/>
        <family val="0"/>
        <charset val="1"/>
      </rPr>
      <t xml:space="preserve">2025.10.13)</t>
    </r>
  </si>
  <si>
    <t xml:space="preserve">FY22</t>
  </si>
  <si>
    <t xml:space="preserve">FY23</t>
  </si>
  <si>
    <t xml:space="preserve">FY24</t>
  </si>
  <si>
    <t xml:space="preserve">FY25E</t>
  </si>
  <si>
    <t xml:space="preserve">FY26E</t>
  </si>
  <si>
    <t xml:space="preserve">Non Socket</t>
  </si>
  <si>
    <t xml:space="preserve">  ③ 확보하지 못한 구간과 채우는 방법</t>
  </si>
  <si>
    <t xml:space="preserve">미확보 구간</t>
  </si>
  <si>
    <r>
      <rPr>
        <sz val="10"/>
        <color rgb="FF000000"/>
        <rFont val="맑은 고딕"/>
        <family val="0"/>
        <charset val="1"/>
      </rPr>
      <t xml:space="preserve">1Q19 ~ 4Q22 </t>
    </r>
    <r>
      <rPr>
        <sz val="10"/>
        <color rgb="FF000000"/>
        <rFont val="Noto Sans CJK SC"/>
        <family val="2"/>
      </rPr>
      <t xml:space="preserve">분기별 </t>
    </r>
    <r>
      <rPr>
        <sz val="10"/>
        <color rgb="FF000000"/>
        <rFont val="맑은 고딕"/>
        <family val="0"/>
        <charset val="1"/>
      </rPr>
      <t xml:space="preserve">Socket / Non-socket </t>
    </r>
    <r>
      <rPr>
        <sz val="10"/>
        <color rgb="FF000000"/>
        <rFont val="Noto Sans CJK SC"/>
        <family val="2"/>
      </rPr>
      <t xml:space="preserve">구분</t>
    </r>
    <r>
      <rPr>
        <sz val="10"/>
        <color rgb="FF000000"/>
        <rFont val="맑은 고딕"/>
        <family val="0"/>
        <charset val="1"/>
      </rPr>
      <t xml:space="preserve">. IM</t>
    </r>
    <r>
      <rPr>
        <sz val="10"/>
        <color rgb="FF000000"/>
        <rFont val="Noto Sans CJK SC"/>
        <family val="2"/>
      </rPr>
      <t xml:space="preserve">증권 리포트는 </t>
    </r>
    <r>
      <rPr>
        <sz val="10"/>
        <color rgb="FF000000"/>
        <rFont val="맑은 고딕"/>
        <family val="0"/>
        <charset val="1"/>
      </rPr>
      <t xml:space="preserve">1Q23</t>
    </r>
    <r>
      <rPr>
        <sz val="10"/>
        <color rgb="FF000000"/>
        <rFont val="Noto Sans CJK SC"/>
        <family val="2"/>
      </rPr>
      <t xml:space="preserve">부터만 제공하고 </t>
    </r>
    <r>
      <rPr>
        <sz val="10"/>
        <color rgb="FF000000"/>
        <rFont val="맑은 고딕"/>
        <family val="0"/>
        <charset val="1"/>
      </rPr>
      <t xml:space="preserve">FY22 Non Socket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맑은 고딕"/>
        <family val="0"/>
        <charset val="1"/>
      </rPr>
      <t xml:space="preserve">0.0</t>
    </r>
    <r>
      <rPr>
        <sz val="10"/>
        <color rgb="FF000000"/>
        <rFont val="Noto Sans CJK SC"/>
        <family val="2"/>
      </rPr>
      <t xml:space="preserve">으로 표기하므로</t>
    </r>
    <r>
      <rPr>
        <sz val="10"/>
        <color rgb="FF000000"/>
        <rFont val="맑은 고딕"/>
        <family val="0"/>
        <charset val="1"/>
      </rPr>
      <t xml:space="preserve">, 2022</t>
    </r>
    <r>
      <rPr>
        <sz val="10"/>
        <color rgb="FF000000"/>
        <rFont val="Noto Sans CJK SC"/>
        <family val="2"/>
      </rPr>
      <t xml:space="preserve">년 이전에는 비소켓 매출이 사실상 없었던 것으로 보입니다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</si>
  <si>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차 자료 위치</t>
    </r>
  </si>
  <si>
    <r>
      <rPr>
        <sz val="10"/>
        <color rgb="FF000000"/>
        <rFont val="맑은 고딕"/>
        <family val="0"/>
        <charset val="1"/>
      </rPr>
      <t xml:space="preserve">DART </t>
    </r>
    <r>
      <rPr>
        <sz val="10"/>
        <color rgb="FF000000"/>
        <rFont val="Noto Sans CJK SC"/>
        <family val="2"/>
      </rPr>
      <t xml:space="preserve">사업보고서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분기보고서의 「</t>
    </r>
    <r>
      <rPr>
        <sz val="10"/>
        <color rgb="FF000000"/>
        <rFont val="맑은 고딕"/>
        <family val="0"/>
        <charset val="1"/>
      </rPr>
      <t xml:space="preserve">II. </t>
    </r>
    <r>
      <rPr>
        <sz val="10"/>
        <color rgb="FF000000"/>
        <rFont val="Noto Sans CJK SC"/>
        <family val="2"/>
      </rPr>
      <t xml:space="preserve">사업의 내용 </t>
    </r>
    <r>
      <rPr>
        <sz val="10"/>
        <color rgb="FF000000"/>
        <rFont val="맑은 고딕"/>
        <family val="0"/>
        <charset val="1"/>
      </rPr>
      <t xml:space="preserve">&gt; 4. </t>
    </r>
    <r>
      <rPr>
        <sz val="10"/>
        <color rgb="FF000000"/>
        <rFont val="Noto Sans CJK SC"/>
        <family val="2"/>
      </rPr>
      <t xml:space="preserve">매출 및 수주상황」에 품목별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제품별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매출이 실려 있습니다</t>
    </r>
    <r>
      <rPr>
        <sz val="10"/>
        <color rgb="FF000000"/>
        <rFont val="맑은 고딕"/>
        <family val="0"/>
        <charset val="1"/>
      </rPr>
      <t xml:space="preserve">. ISC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DART </t>
    </r>
    <r>
      <rPr>
        <sz val="10"/>
        <color rgb="FF000000"/>
        <rFont val="Noto Sans CJK SC"/>
        <family val="2"/>
      </rPr>
      <t xml:space="preserve">고유번호는 </t>
    </r>
    <r>
      <rPr>
        <sz val="10"/>
        <color rgb="FF000000"/>
        <rFont val="맑은 고딕"/>
        <family val="0"/>
        <charset val="1"/>
      </rPr>
      <t xml:space="preserve">00572905</t>
    </r>
    <r>
      <rPr>
        <sz val="10"/>
        <color rgb="FF000000"/>
        <rFont val="Noto Sans CJK SC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</si>
  <si>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최근 보고서 접수번호</t>
  </si>
  <si>
    <r>
      <rPr>
        <sz val="10"/>
        <color rgb="FF000000"/>
        <rFont val="Noto Sans CJK SC"/>
        <family val="2"/>
      </rPr>
      <t xml:space="preserve">사업보고서</t>
    </r>
    <r>
      <rPr>
        <sz val="10"/>
        <color rgb="FF000000"/>
        <rFont val="맑은 고딕"/>
        <family val="0"/>
        <charset val="1"/>
      </rPr>
      <t xml:space="preserve">(2025.12) 20260318000018 · </t>
    </r>
    <r>
      <rPr>
        <sz val="10"/>
        <color rgb="FF000000"/>
        <rFont val="Noto Sans CJK SC"/>
        <family val="2"/>
      </rPr>
      <t xml:space="preserve">분기보고서</t>
    </r>
    <r>
      <rPr>
        <sz val="10"/>
        <color rgb="FF000000"/>
        <rFont val="맑은 고딕"/>
        <family val="0"/>
        <charset val="1"/>
      </rPr>
      <t xml:space="preserve">(2026.03) 20260515000092 · </t>
    </r>
    <r>
      <rPr>
        <sz val="10"/>
        <color rgb="FF000000"/>
        <rFont val="Noto Sans CJK SC"/>
        <family val="2"/>
      </rPr>
      <t xml:space="preserve">연결영업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잠정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실적 </t>
    </r>
    <r>
      <rPr>
        <sz val="10"/>
        <color rgb="FF000000"/>
        <rFont val="맑은 고딕"/>
        <family val="0"/>
        <charset val="1"/>
      </rPr>
      <t xml:space="preserve">20260427900108</t>
    </r>
  </si>
  <si>
    <t xml:space="preserve">자동 수집이 안 된 이유</t>
  </si>
  <si>
    <r>
      <rPr>
        <sz val="10"/>
        <color rgb="FF000000"/>
        <rFont val="맑은 고딕"/>
        <family val="0"/>
        <charset val="1"/>
      </rPr>
      <t xml:space="preserve">dart.fss.or.kr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robots.txt</t>
    </r>
    <r>
      <rPr>
        <sz val="10"/>
        <color rgb="FF000000"/>
        <rFont val="Noto Sans CJK SC"/>
        <family val="2"/>
      </rPr>
      <t xml:space="preserve">가 보고서 본문 경로</t>
    </r>
    <r>
      <rPr>
        <sz val="10"/>
        <color rgb="FF000000"/>
        <rFont val="맑은 고딕"/>
        <family val="0"/>
        <charset val="1"/>
      </rPr>
      <t xml:space="preserve">(/dsaf001/main.do, /report/viewer.do)</t>
    </r>
    <r>
      <rPr>
        <sz val="10"/>
        <color rgb="FF000000"/>
        <rFont val="Noto Sans CJK SC"/>
        <family val="2"/>
      </rPr>
      <t xml:space="preserve">를 수집 금지로 두고 있어 본문을 직접 읽지 않았습니다</t>
    </r>
    <r>
      <rPr>
        <sz val="10"/>
        <color rgb="FF000000"/>
        <rFont val="맑은 고딕"/>
        <family val="0"/>
        <charset val="1"/>
      </rPr>
      <t xml:space="preserve">. DART Open API </t>
    </r>
    <r>
      <rPr>
        <sz val="10"/>
        <color rgb="FF000000"/>
        <rFont val="Noto Sans CJK SC"/>
        <family val="2"/>
      </rPr>
      <t xml:space="preserve">키를 발급받으면 프로그램으로 받을 수 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보고서 </t>
    </r>
    <r>
      <rPr>
        <sz val="10"/>
        <color rgb="FF000000"/>
        <rFont val="맑은 고딕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를 첨부해 주시면 바로 표에 채워 넣을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</si>
  <si>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본문에 있는 단서</t>
  </si>
  <si>
    <r>
      <rPr>
        <sz val="10"/>
        <color rgb="FF000000"/>
        <rFont val="Noto Sans CJK SC"/>
        <family val="2"/>
      </rPr>
      <t xml:space="preserve">하나증권 본문</t>
    </r>
    <r>
      <rPr>
        <sz val="10"/>
        <color rgb="FF000000"/>
        <rFont val="맑은 고딕"/>
        <family val="0"/>
        <charset val="1"/>
      </rPr>
      <t xml:space="preserve">: 4Q25 AI </t>
    </r>
    <r>
      <rPr>
        <sz val="10"/>
        <color rgb="FF000000"/>
        <rFont val="Noto Sans CJK SC"/>
        <family val="2"/>
      </rPr>
      <t xml:space="preserve">반도체용 테스트 소켓 매출 비중 </t>
    </r>
    <r>
      <rPr>
        <sz val="10"/>
        <color rgb="FF000000"/>
        <rFont val="맑은 고딕"/>
        <family val="0"/>
        <charset val="1"/>
      </rPr>
      <t xml:space="preserve">75% (</t>
    </r>
    <r>
      <rPr>
        <sz val="10"/>
        <color rgb="FF000000"/>
        <rFont val="Noto Sans CJK SC"/>
        <family val="2"/>
      </rPr>
      <t xml:space="preserve">전분기 대비 </t>
    </r>
    <r>
      <rPr>
        <sz val="10"/>
        <color rgb="FF000000"/>
        <rFont val="맑은 고딕"/>
        <family val="0"/>
        <charset val="1"/>
      </rPr>
      <t xml:space="preserve">+8%p). 25</t>
    </r>
    <r>
      <rPr>
        <sz val="10"/>
        <color rgb="FF000000"/>
        <rFont val="Noto Sans CJK SC"/>
        <family val="2"/>
      </rPr>
      <t xml:space="preserve">년 인수한 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소재 부문 </t>
    </r>
    <r>
      <rPr>
        <sz val="10"/>
        <color rgb="FF000000"/>
        <rFont val="맑은 고딕"/>
        <family val="0"/>
        <charset val="1"/>
      </rPr>
      <t xml:space="preserve">4Q25 </t>
    </r>
    <r>
      <rPr>
        <sz val="10"/>
        <color rgb="FF000000"/>
        <rFont val="Noto Sans CJK SC"/>
        <family val="2"/>
      </rPr>
      <t xml:space="preserve">매출 약 </t>
    </r>
    <r>
      <rPr>
        <sz val="10"/>
        <color rgb="FF000000"/>
        <rFont val="맑은 고딕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억원 → </t>
    </r>
    <r>
      <rPr>
        <sz val="10"/>
        <color rgb="FF000000"/>
        <rFont val="맑은 고딕"/>
        <family val="0"/>
        <charset val="1"/>
      </rPr>
      <t xml:space="preserve">IM</t>
    </r>
    <r>
      <rPr>
        <sz val="10"/>
        <color rgb="FF000000"/>
        <rFont val="Noto Sans CJK SC"/>
        <family val="2"/>
      </rPr>
      <t xml:space="preserve">증권 </t>
    </r>
    <r>
      <rPr>
        <sz val="10"/>
        <color rgb="FF000000"/>
        <rFont val="맑은 고딕"/>
        <family val="0"/>
        <charset val="1"/>
      </rPr>
      <t xml:space="preserve">4Q25E Non Socket 10.0</t>
    </r>
    <r>
      <rPr>
        <sz val="10"/>
        <color rgb="FF000000"/>
        <rFont val="Noto Sans CJK SC"/>
        <family val="2"/>
      </rPr>
      <t xml:space="preserve">십억원과 부합합니다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</si>
  <si>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연간 </t>
    </r>
    <r>
      <rPr>
        <sz val="10"/>
        <color rgb="FF000000"/>
        <rFont val="맑은 고딕"/>
        <family val="0"/>
        <charset val="1"/>
      </rPr>
      <t xml:space="preserve">Socket / Non Socket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</si>
  <si>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총매출 </t>
    </r>
    <r>
      <rPr>
        <sz val="9"/>
        <color rgb="FF000000"/>
        <rFont val="맑은 고딕"/>
        <family val="0"/>
        <charset val="1"/>
      </rPr>
      <t xml:space="preserve">= Memory + Non-Memory + Non Socket </t>
    </r>
    <r>
      <rPr>
        <sz val="9"/>
        <color rgb="FF000000"/>
        <rFont val="Noto Sans CJK SC"/>
        <family val="2"/>
      </rPr>
      <t xml:space="preserve">검산 일치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</si>
  <si>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3Q25E·4Q25E</t>
    </r>
    <r>
      <rPr>
        <sz val="10"/>
        <color rgb="FF000000"/>
        <rFont val="Noto Sans CJK SC"/>
        <family val="2"/>
      </rPr>
      <t xml:space="preserve">는 추정치</t>
    </r>
  </si>
  <si>
    <r>
      <rPr>
        <sz val="9"/>
        <color rgb="FF000000"/>
        <rFont val="Noto Sans CJK SC"/>
        <family val="2"/>
      </rPr>
      <t xml:space="preserve">실제 </t>
    </r>
    <r>
      <rPr>
        <sz val="9"/>
        <color rgb="FF000000"/>
        <rFont val="맑은 고딕"/>
        <family val="0"/>
        <charset val="1"/>
      </rPr>
      <t xml:space="preserve">3Q25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64.5 / 4Q25 72.3</t>
    </r>
    <r>
      <rPr>
        <sz val="9"/>
        <color rgb="FF000000"/>
        <rFont val="Noto Sans CJK SC"/>
        <family val="2"/>
      </rPr>
      <t xml:space="preserve">십억원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하나증권 도표 </t>
    </r>
    <r>
      <rPr>
        <sz val="9"/>
        <color rgb="FF000000"/>
        <rFont val="맑은 고딕"/>
        <family val="0"/>
        <charset val="1"/>
      </rPr>
      <t xml:space="preserve">4). Non Socket </t>
    </r>
    <r>
      <rPr>
        <sz val="9"/>
        <color rgb="FF000000"/>
        <rFont val="Noto Sans CJK SC"/>
        <family val="2"/>
      </rPr>
      <t xml:space="preserve">실제값은 미공표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</si>
  <si>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번 시트</t>
    </r>
  </si>
  <si>
    <t xml:space="preserve">추정 재무제표 — 손익계산서</t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</si>
  <si>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(F). 2025F~2027F </t>
    </r>
    <r>
      <rPr>
        <i val="true"/>
        <sz val="9"/>
        <color rgb="FF595959"/>
        <rFont val="Noto Sans CJK SC"/>
        <family val="2"/>
      </rPr>
      <t xml:space="preserve">의 주요 손익 항목은 </t>
    </r>
    <r>
      <rPr>
        <i val="true"/>
        <sz val="9"/>
        <color rgb="FF595959"/>
        <rFont val="맑은 고딕"/>
        <family val="0"/>
        <charset val="1"/>
      </rPr>
      <t xml:space="preserve">Forward EPS </t>
    </r>
    <r>
      <rPr>
        <i val="true"/>
        <sz val="9"/>
        <color rgb="FF595959"/>
        <rFont val="Noto Sans CJK SC"/>
        <family val="2"/>
      </rPr>
      <t xml:space="preserve">시트를 반영합니다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초록 글씨</t>
    </r>
    <r>
      <rPr>
        <i val="true"/>
        <sz val="9"/>
        <color rgb="FF595959"/>
        <rFont val="맑은 고딕"/>
        <family val="0"/>
        <charset val="1"/>
      </rPr>
      <t xml:space="preserve">). 2025</t>
    </r>
    <r>
      <rPr>
        <i val="true"/>
        <sz val="9"/>
        <color rgb="FF595959"/>
        <rFont val="Noto Sans CJK SC"/>
        <family val="2"/>
      </rPr>
      <t xml:space="preserve">년은 확정 공시치</t>
    </r>
    <r>
      <rPr>
        <i val="true"/>
        <sz val="9"/>
        <color rgb="FF595959"/>
        <rFont val="맑은 고딕"/>
        <family val="0"/>
        <charset val="1"/>
      </rPr>
      <t xml:space="preserve">, 2026·2027</t>
    </r>
    <r>
      <rPr>
        <i val="true"/>
        <sz val="9"/>
        <color rgb="FF595959"/>
        <rFont val="Noto Sans CJK SC"/>
        <family val="2"/>
      </rPr>
      <t xml:space="preserve">년은 기본 입력 상태에서 리포트 원문과 동일합니다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</si>
  <si>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판관비</t>
  </si>
  <si>
    <t xml:space="preserve">금융손익</t>
  </si>
  <si>
    <r>
      <rPr>
        <sz val="10"/>
        <color rgb="FF000000"/>
        <rFont val="Noto Sans CJK SC"/>
        <family val="2"/>
      </rPr>
      <t xml:space="preserve">종속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관계기업손익</t>
    </r>
  </si>
  <si>
    <t xml:space="preserve">기타영업외손익</t>
  </si>
  <si>
    <t xml:space="preserve">계속사업이익</t>
  </si>
  <si>
    <t xml:space="preserve">중단사업이익</t>
  </si>
  <si>
    <t xml:space="preserve">비지배주주지분 순이익</t>
  </si>
  <si>
    <t xml:space="preserve">지배주주지분포괄이익</t>
  </si>
  <si>
    <t xml:space="preserve">NOPAT</t>
  </si>
  <si>
    <r>
      <rPr>
        <b val="true"/>
        <sz val="10"/>
        <color rgb="FF1F6E6A"/>
        <rFont val="Noto Sans CJK SC"/>
        <family val="2"/>
      </rPr>
      <t xml:space="preserve">  성장성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</si>
  <si>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t xml:space="preserve">매출액증가율</t>
  </si>
  <si>
    <r>
      <rPr>
        <sz val="10"/>
        <color rgb="FF000000"/>
        <rFont val="맑은 고딕"/>
        <family val="0"/>
        <charset val="1"/>
      </rPr>
      <t xml:space="preserve">NOPAT</t>
    </r>
    <r>
      <rPr>
        <sz val="10"/>
        <color rgb="FF000000"/>
        <rFont val="Noto Sans CJK SC"/>
        <family val="2"/>
      </rPr>
      <t xml:space="preserve">증가율</t>
    </r>
  </si>
  <si>
    <r>
      <rPr>
        <sz val="10"/>
        <color rgb="FF000000"/>
        <rFont val="맑은 고딕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증가율</t>
    </r>
  </si>
  <si>
    <t xml:space="preserve">영업이익증가율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</si>
  <si>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지배주주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순익증가율</t>
    </r>
  </si>
  <si>
    <r>
      <rPr>
        <sz val="10"/>
        <color rgb="FF000000"/>
        <rFont val="맑은 고딕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증가율</t>
    </r>
  </si>
  <si>
    <r>
      <rPr>
        <b val="true"/>
        <sz val="10"/>
        <color rgb="FF1F6E6A"/>
        <rFont val="Noto Sans CJK SC"/>
        <family val="2"/>
      </rPr>
      <t xml:space="preserve">  수익성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</si>
  <si>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r>
      <rPr>
        <sz val="10"/>
        <color rgb="FF000000"/>
        <rFont val="맑은 고딕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이익률</t>
    </r>
  </si>
  <si>
    <t xml:space="preserve">계속사업이익률</t>
  </si>
  <si>
    <r>
      <rPr>
        <sz val="10"/>
        <color rgb="FF000000"/>
        <rFont val="Noto Sans CJK SC"/>
        <family val="2"/>
      </rPr>
      <t xml:space="preserve">매출총이익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매출액 − 매출원가</t>
    </r>
  </si>
  <si>
    <t xml:space="preserve">원문 매출총이익과 대조</t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</si>
  <si>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매출총이익 − 판관비</t>
    </r>
  </si>
  <si>
    <t xml:space="preserve">원문 영업이익과 대조</t>
  </si>
  <si>
    <r>
      <rPr>
        <sz val="10"/>
        <color rgb="FF000000"/>
        <rFont val="Noto Sans CJK SC"/>
        <family val="2"/>
      </rPr>
      <t xml:space="preserve">세전이익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영업외손익 합</t>
    </r>
  </si>
  <si>
    <r>
      <rPr>
        <sz val="9"/>
        <color rgb="FF595959"/>
        <rFont val="Noto Sans CJK SC"/>
        <family val="2"/>
      </rPr>
      <t xml:space="preserve">원문 세전이익과 대조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반올림 차이 존재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</si>
  <si>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계속사업이익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세전이익 − 법인세</t>
    </r>
  </si>
  <si>
    <t xml:space="preserve">원문 계속사업이익과 대조</t>
  </si>
  <si>
    <r>
      <rPr>
        <sz val="10"/>
        <color rgb="FF000000"/>
        <rFont val="Noto Sans CJK SC"/>
        <family val="2"/>
      </rPr>
      <t xml:space="preserve">당기순이익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계속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중단사업이익</t>
    </r>
  </si>
  <si>
    <t xml:space="preserve">원문 당기순이익과 대조</t>
  </si>
  <si>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당기순 − 비지배</t>
    </r>
  </si>
  <si>
    <t xml:space="preserve">원문 지배주주순이익과 대조</t>
  </si>
  <si>
    <t xml:space="preserve">영업이익률 재계산</t>
  </si>
  <si>
    <t xml:space="preserve">원문 영업이익률과 대조</t>
  </si>
  <si>
    <t xml:space="preserve">매출총이익률 재계산</t>
  </si>
  <si>
    <t xml:space="preserve">원문 매출총이익률과 대조</t>
  </si>
  <si>
    <r>
      <rPr>
        <sz val="10"/>
        <color rgb="FF000000"/>
        <rFont val="맑은 고딕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이익률 재계산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</si>
  <si>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이익률과 대조</t>
    </r>
  </si>
  <si>
    <t xml:space="preserve">유효법인세율</t>
  </si>
  <si>
    <r>
      <rPr>
        <sz val="9"/>
        <color rgb="FF595959"/>
        <rFont val="Noto Sans CJK SC"/>
        <family val="2"/>
      </rPr>
      <t xml:space="preserve">법인세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세전이익</t>
    </r>
  </si>
  <si>
    <t xml:space="preserve">매출액증가율 재계산</t>
  </si>
  <si>
    <r>
      <rPr>
        <sz val="9"/>
        <color rgb="FF595959"/>
        <rFont val="맑은 고딕"/>
        <family val="0"/>
        <charset val="1"/>
      </rPr>
      <t xml:space="preserve">2023</t>
    </r>
    <r>
      <rPr>
        <sz val="9"/>
        <color rgb="FF595959"/>
        <rFont val="Noto Sans CJK SC"/>
        <family val="2"/>
      </rPr>
      <t xml:space="preserve">년은 전기 미제공</t>
    </r>
  </si>
  <si>
    <t xml:space="preserve">영업이익증가율 재계산</t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</si>
  <si>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원문은 소수 첫째자리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또는 둘째자리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까지 반올림 표기되어 있어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재계산값과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내외 차이가 날 수 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이는 보고서 표기 방식에 따른 것이며 오기입이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</si>
  <si>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추정 재무제표 — 대차대조표</t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</si>
  <si>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</t>
    </r>
  </si>
  <si>
    <t xml:space="preserve">유동자산</t>
  </si>
  <si>
    <t xml:space="preserve">금융자산</t>
  </si>
  <si>
    <t xml:space="preserve">현금성자산</t>
  </si>
  <si>
    <t xml:space="preserve">매출채권</t>
  </si>
  <si>
    <t xml:space="preserve">재고자산</t>
  </si>
  <si>
    <t xml:space="preserve">기타유동자산</t>
  </si>
  <si>
    <t xml:space="preserve">비유동자산</t>
  </si>
  <si>
    <t xml:space="preserve">투자자산</t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</si>
  <si>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금융자산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비유동자산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</si>
  <si>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유형자산</t>
  </si>
  <si>
    <t xml:space="preserve">무형자산</t>
  </si>
  <si>
    <t xml:space="preserve">기타비유동자산</t>
  </si>
  <si>
    <t xml:space="preserve">자산총계</t>
  </si>
  <si>
    <t xml:space="preserve">  부채</t>
  </si>
  <si>
    <t xml:space="preserve">유동부채</t>
  </si>
  <si>
    <t xml:space="preserve">금융부채</t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</si>
  <si>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금융부채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유동부채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</si>
  <si>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매입채무</t>
  </si>
  <si>
    <t xml:space="preserve">기타유동부채</t>
  </si>
  <si>
    <t xml:space="preserve">비유동부채</t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</si>
  <si>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금융부채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비유동부채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</si>
  <si>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기타비유동부채</t>
  </si>
  <si>
    <t xml:space="preserve">부채총계</t>
  </si>
  <si>
    <t xml:space="preserve">  자본</t>
  </si>
  <si>
    <t xml:space="preserve">지배주주지분</t>
  </si>
  <si>
    <t xml:space="preserve">자본금</t>
  </si>
  <si>
    <t xml:space="preserve">자본잉여금</t>
  </si>
  <si>
    <t xml:space="preserve">자본조정</t>
  </si>
  <si>
    <t xml:space="preserve">기타포괄이익누계액</t>
  </si>
  <si>
    <t xml:space="preserve">이익잉여금</t>
  </si>
  <si>
    <t xml:space="preserve">비지배주주지분</t>
  </si>
  <si>
    <t xml:space="preserve">자본총계</t>
  </si>
  <si>
    <t xml:space="preserve">순금융부채</t>
  </si>
  <si>
    <r>
      <rPr>
        <sz val="9"/>
        <color rgb="FF595959"/>
        <rFont val="Noto Sans CJK SC"/>
        <family val="2"/>
      </rPr>
      <t xml:space="preserve">순현금 상태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음수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순현금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</si>
  <si>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자산총계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유동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비유동자산</t>
    </r>
  </si>
  <si>
    <t xml:space="preserve">원문 자산총계와 대조</t>
  </si>
  <si>
    <r>
      <rPr>
        <sz val="10"/>
        <color rgb="FF000000"/>
        <rFont val="Noto Sans CJK SC"/>
        <family val="2"/>
      </rPr>
      <t xml:space="preserve">부채총계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유동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비유동부채</t>
    </r>
  </si>
  <si>
    <t xml:space="preserve">원문 부채총계와 대조</t>
  </si>
  <si>
    <r>
      <rPr>
        <sz val="10"/>
        <color rgb="FF000000"/>
        <rFont val="Noto Sans CJK SC"/>
        <family val="2"/>
      </rPr>
      <t xml:space="preserve">자본총계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지배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비지배주주지분</t>
    </r>
  </si>
  <si>
    <t xml:space="preserve">원문 자본총계와 대조</t>
  </si>
  <si>
    <r>
      <rPr>
        <sz val="10"/>
        <color rgb="FF000000"/>
        <rFont val="Noto Sans CJK SC"/>
        <family val="2"/>
      </rPr>
      <t xml:space="preserve">자산총계 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자본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</si>
  <si>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에 가까우면 대차 일치</t>
    </r>
  </si>
  <si>
    <t xml:space="preserve">순금융부채 재계산</t>
  </si>
  <si>
    <r>
      <rPr>
        <sz val="9"/>
        <color rgb="FF595959"/>
        <rFont val="Noto Sans CJK SC"/>
        <family val="2"/>
      </rPr>
      <t xml:space="preserve">유동</t>
    </r>
    <r>
      <rPr>
        <sz val="9"/>
        <color rgb="FF595959"/>
        <rFont val="맑은 고딕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비유동 금융부채 − 유동 금융자산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 순금융부채와 일치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</si>
  <si>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부채비율</t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</si>
  <si>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부채비율과 대조</t>
    </r>
  </si>
  <si>
    <t xml:space="preserve">유동비율</t>
  </si>
  <si>
    <r>
      <rPr>
        <sz val="9"/>
        <color rgb="FF595959"/>
        <rFont val="Noto Sans CJK SC"/>
        <family val="2"/>
      </rPr>
      <t xml:space="preserve">유동자산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유동부채</t>
    </r>
  </si>
  <si>
    <r>
      <rPr>
        <sz val="10"/>
        <color rgb="FF000000"/>
        <rFont val="Noto Sans CJK SC"/>
        <family val="2"/>
      </rPr>
      <t xml:space="preserve">매출채권 회전율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</si>
  <si>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매출액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매출채권 </t>
    </r>
    <r>
      <rPr>
        <sz val="9"/>
        <color rgb="FF595959"/>
        <rFont val="맑은 고딕"/>
        <family val="0"/>
        <charset val="1"/>
      </rPr>
      <t xml:space="preserve">(15_p5_</t>
    </r>
    <r>
      <rPr>
        <sz val="9"/>
        <color rgb="FF595959"/>
        <rFont val="Noto Sans CJK SC"/>
        <family val="2"/>
      </rPr>
      <t xml:space="preserve">손익계산서 참조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</si>
  <si>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재고자산 회전율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</si>
  <si>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매출원가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재고자산 </t>
    </r>
    <r>
      <rPr>
        <sz val="9"/>
        <color rgb="FF595959"/>
        <rFont val="맑은 고딕"/>
        <family val="0"/>
        <charset val="1"/>
      </rPr>
      <t xml:space="preserve">(15_p5_</t>
    </r>
    <r>
      <rPr>
        <sz val="9"/>
        <color rgb="FF595959"/>
        <rFont val="Noto Sans CJK SC"/>
        <family val="2"/>
      </rPr>
      <t xml:space="preserve">손익계산서 참조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</si>
  <si>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추정 재무제표 — 투자지표</t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</si>
  <si>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, % 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</t>
    </r>
  </si>
  <si>
    <r>
      <rPr>
        <b val="true"/>
        <sz val="10"/>
        <color rgb="FF1F6E6A"/>
        <rFont val="Noto Sans CJK SC"/>
        <family val="2"/>
      </rPr>
      <t xml:space="preserve">  주당지표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</si>
  <si>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CFPS</t>
  </si>
  <si>
    <t xml:space="preserve">EBITDAPS</t>
  </si>
  <si>
    <t xml:space="preserve">SPS</t>
  </si>
  <si>
    <r>
      <rPr>
        <b val="true"/>
        <sz val="10"/>
        <color rgb="FF1F6E6A"/>
        <rFont val="Noto Sans CJK SC"/>
        <family val="2"/>
      </rPr>
      <t xml:space="preserve">  주가지표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</si>
  <si>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PCFR</t>
  </si>
  <si>
    <t xml:space="preserve">PSR</t>
  </si>
  <si>
    <r>
      <rPr>
        <b val="true"/>
        <sz val="10"/>
        <color rgb="FF1F6E6A"/>
        <rFont val="Noto Sans CJK SC"/>
        <family val="2"/>
      </rPr>
      <t xml:space="preserve">  재무비율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</si>
  <si>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t xml:space="preserve">ROA</t>
  </si>
  <si>
    <t xml:space="preserve">ROIC</t>
  </si>
  <si>
    <t xml:space="preserve">순부채비율</t>
  </si>
  <si>
    <t xml:space="preserve">이자보상배율</t>
  </si>
  <si>
    <r>
      <rPr>
        <sz val="9"/>
        <color rgb="FF595959"/>
        <rFont val="Noto Sans CJK SC"/>
        <family val="2"/>
      </rPr>
      <t xml:space="preserve">단위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배</t>
    </r>
  </si>
  <si>
    <r>
      <rPr>
        <sz val="10"/>
        <color rgb="FF000000"/>
        <rFont val="맑은 고딕"/>
        <family val="0"/>
        <charset val="1"/>
      </rPr>
      <t xml:space="preserve">SPS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주식수</t>
    </r>
  </si>
  <si>
    <r>
      <rPr>
        <sz val="9"/>
        <color rgb="FF595959"/>
        <rFont val="Noto Sans CJK SC"/>
        <family val="2"/>
      </rPr>
      <t xml:space="preserve">현재 발행주식수 </t>
    </r>
    <r>
      <rPr>
        <sz val="9"/>
        <color rgb="FF595959"/>
        <rFont val="맑은 고딕"/>
        <family val="0"/>
        <charset val="1"/>
      </rPr>
      <t xml:space="preserve">21,197.1</t>
    </r>
    <r>
      <rPr>
        <sz val="9"/>
        <color rgb="FF595959"/>
        <rFont val="Noto Sans CJK SC"/>
        <family val="2"/>
      </rPr>
      <t xml:space="preserve">천주 기준</t>
    </r>
    <r>
      <rPr>
        <sz val="9"/>
        <color rgb="FF595959"/>
        <rFont val="맑은 고딕"/>
        <family val="0"/>
        <charset val="1"/>
      </rPr>
      <t xml:space="preserve">. 2023</t>
    </r>
    <r>
      <rPr>
        <sz val="9"/>
        <color rgb="FF595959"/>
        <rFont val="Noto Sans CJK SC"/>
        <family val="2"/>
      </rPr>
      <t xml:space="preserve">년은 유상증자 이전이라 원문과 차이 발생</t>
    </r>
  </si>
  <si>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주식수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</si>
  <si>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와 대조</t>
    </r>
    <r>
      <rPr>
        <sz val="9"/>
        <color rgb="FF595959"/>
        <rFont val="맑은 고딕"/>
        <family val="0"/>
        <charset val="1"/>
      </rPr>
      <t xml:space="preserve">. 2025F </t>
    </r>
    <r>
      <rPr>
        <sz val="9"/>
        <color rgb="FF595959"/>
        <rFont val="Noto Sans CJK SC"/>
        <family val="2"/>
      </rPr>
      <t xml:space="preserve">이후는 거의 일치</t>
    </r>
    <r>
      <rPr>
        <sz val="9"/>
        <color rgb="FF595959"/>
        <rFont val="맑은 고딕"/>
        <family val="0"/>
        <charset val="1"/>
      </rPr>
      <t xml:space="preserve">, 2023~24</t>
    </r>
    <r>
      <rPr>
        <sz val="9"/>
        <color rgb="FF595959"/>
        <rFont val="Noto Sans CJK SC"/>
        <family val="2"/>
      </rPr>
      <t xml:space="preserve">년은 주식수 변동으로 차이</t>
    </r>
  </si>
  <si>
    <r>
      <rPr>
        <sz val="10"/>
        <color rgb="FF000000"/>
        <rFont val="맑은 고딕"/>
        <family val="0"/>
        <charset val="1"/>
      </rPr>
      <t xml:space="preserve">EBITDAPS </t>
    </r>
    <r>
      <rPr>
        <sz val="10"/>
        <color rgb="FF000000"/>
        <rFont val="Noto Sans CJK SC"/>
        <family val="2"/>
      </rPr>
      <t xml:space="preserve">재계산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</si>
  <si>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EBITDAPS</t>
    </r>
    <r>
      <rPr>
        <sz val="9"/>
        <color rgb="FF595959"/>
        <rFont val="Noto Sans CJK SC"/>
        <family val="2"/>
      </rPr>
      <t xml:space="preserve">와 대조</t>
    </r>
  </si>
  <si>
    <r>
      <rPr>
        <sz val="10"/>
        <color rgb="FF000000"/>
        <rFont val="맑은 고딕"/>
        <family val="0"/>
        <charset val="1"/>
      </rPr>
      <t xml:space="preserve">ROE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지배주주지분</t>
    </r>
  </si>
  <si>
    <r>
      <rPr>
        <sz val="9"/>
        <color rgb="FF595959"/>
        <rFont val="Noto Sans CJK SC"/>
        <family val="2"/>
      </rPr>
      <t xml:space="preserve">기말 자본 기준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원문은 평균 자본 기준일 수 있음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</si>
  <si>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ROA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당기순이익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자산총계</t>
    </r>
  </si>
  <si>
    <t xml:space="preserve">기말 자산 기준</t>
  </si>
  <si>
    <t xml:space="preserve">부채비율 재계산</t>
  </si>
  <si>
    <t xml:space="preserve">원문 부채비율과 대조</t>
  </si>
  <si>
    <r>
      <rPr>
        <sz val="10"/>
        <color rgb="FF000000"/>
        <rFont val="맑은 고딕"/>
        <family val="0"/>
        <charset val="1"/>
      </rPr>
      <t xml:space="preserve">PER × EPS = </t>
    </r>
    <r>
      <rPr>
        <sz val="10"/>
        <color rgb="FF000000"/>
        <rFont val="Noto Sans CJK SC"/>
        <family val="2"/>
      </rPr>
      <t xml:space="preserve">기준주가</t>
    </r>
  </si>
  <si>
    <r>
      <rPr>
        <sz val="9"/>
        <color rgb="FF595959"/>
        <rFont val="Noto Sans CJK SC"/>
        <family val="2"/>
      </rPr>
      <t xml:space="preserve">각 연도 </t>
    </r>
    <r>
      <rPr>
        <sz val="9"/>
        <color rgb="FF595959"/>
        <rFont val="맑은 고딕"/>
        <family val="0"/>
        <charset val="1"/>
      </rPr>
      <t xml:space="preserve">PER </t>
    </r>
    <r>
      <rPr>
        <sz val="9"/>
        <color rgb="FF595959"/>
        <rFont val="Noto Sans CJK SC"/>
        <family val="2"/>
      </rPr>
      <t xml:space="preserve">산정 기준주가 역산</t>
    </r>
  </si>
  <si>
    <r>
      <rPr>
        <sz val="10"/>
        <color rgb="FF000000"/>
        <rFont val="맑은 고딕"/>
        <family val="0"/>
        <charset val="1"/>
      </rPr>
      <t xml:space="preserve">PBR × BPS = </t>
    </r>
    <r>
      <rPr>
        <sz val="10"/>
        <color rgb="FF000000"/>
        <rFont val="Noto Sans CJK SC"/>
        <family val="2"/>
      </rPr>
      <t xml:space="preserve">기준주가</t>
    </r>
  </si>
  <si>
    <r>
      <rPr>
        <sz val="9"/>
        <color rgb="FF595959"/>
        <rFont val="Noto Sans CJK SC"/>
        <family val="2"/>
      </rPr>
      <t xml:space="preserve">각 연도 </t>
    </r>
    <r>
      <rPr>
        <sz val="9"/>
        <color rgb="FF595959"/>
        <rFont val="맑은 고딕"/>
        <family val="0"/>
        <charset val="1"/>
      </rPr>
      <t xml:space="preserve">PBR </t>
    </r>
    <r>
      <rPr>
        <sz val="9"/>
        <color rgb="FF595959"/>
        <rFont val="Noto Sans CJK SC"/>
        <family val="2"/>
      </rPr>
      <t xml:space="preserve">산정 기준주가 역산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</si>
  <si>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「</t>
    </r>
    <r>
      <rPr>
        <i val="true"/>
        <sz val="9"/>
        <color rgb="FF595959"/>
        <rFont val="맑은 고딕"/>
        <family val="0"/>
        <charset val="1"/>
      </rPr>
      <t xml:space="preserve">PER × EPS = </t>
    </r>
    <r>
      <rPr>
        <i val="true"/>
        <sz val="9"/>
        <color rgb="FF595959"/>
        <rFont val="Noto Sans CJK SC"/>
        <family val="2"/>
      </rPr>
      <t xml:space="preserve">기준주가」 결과가 </t>
    </r>
    <r>
      <rPr>
        <i val="true"/>
        <sz val="9"/>
        <color rgb="FF595959"/>
        <rFont val="맑은 고딕"/>
        <family val="0"/>
        <charset val="1"/>
      </rPr>
      <t xml:space="preserve">2025F~2027F</t>
    </r>
    <r>
      <rPr>
        <i val="true"/>
        <sz val="9"/>
        <color rgb="FF595959"/>
        <rFont val="Noto Sans CJK SC"/>
        <family val="2"/>
      </rPr>
      <t xml:space="preserve">에서 </t>
    </r>
    <r>
      <rPr>
        <i val="true"/>
        <sz val="9"/>
        <color rgb="FF595959"/>
        <rFont val="맑은 고딕"/>
        <family val="0"/>
        <charset val="1"/>
      </rPr>
      <t xml:space="preserve">143,100</t>
    </r>
    <r>
      <rPr>
        <i val="true"/>
        <sz val="9"/>
        <color rgb="FF595959"/>
        <rFont val="Noto Sans CJK SC"/>
        <family val="2"/>
      </rPr>
      <t xml:space="preserve">원 부근으로 수렴합니다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즉 전망 연도의 </t>
    </r>
    <r>
      <rPr>
        <i val="true"/>
        <sz val="9"/>
        <color rgb="FF595959"/>
        <rFont val="맑은 고딕"/>
        <family val="0"/>
        <charset val="1"/>
      </rPr>
      <t xml:space="preserve">PER·PBR</t>
    </r>
    <r>
      <rPr>
        <i val="true"/>
        <sz val="9"/>
        <color rgb="FF595959"/>
        <rFont val="Noto Sans CJK SC"/>
        <family val="2"/>
      </rPr>
      <t xml:space="preserve">은 현재주가</t>
    </r>
    <r>
      <rPr>
        <i val="true"/>
        <sz val="9"/>
        <color rgb="FF595959"/>
        <rFont val="맑은 고딕"/>
        <family val="0"/>
        <charset val="1"/>
      </rPr>
      <t xml:space="preserve">(143,100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2026.02.04 </t>
    </r>
    <r>
      <rPr>
        <i val="true"/>
        <sz val="9"/>
        <color rgb="FF595959"/>
        <rFont val="Noto Sans CJK SC"/>
        <family val="2"/>
      </rPr>
      <t xml:space="preserve">종가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기준으로 산정된 값이며</t>
    </r>
    <r>
      <rPr>
        <i val="true"/>
        <sz val="9"/>
        <color rgb="FF595959"/>
        <rFont val="맑은 고딕"/>
        <family val="0"/>
        <charset val="1"/>
      </rPr>
      <t xml:space="preserve">, 2023~2024</t>
    </r>
    <r>
      <rPr>
        <i val="true"/>
        <sz val="9"/>
        <color rgb="FF595959"/>
        <rFont val="Noto Sans CJK SC"/>
        <family val="2"/>
      </rPr>
      <t xml:space="preserve">년은 각 연도의 실제 주가 기준입니다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</si>
  <si>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ROE·ROA </t>
    </r>
    <r>
      <rPr>
        <i val="true"/>
        <sz val="9"/>
        <color rgb="FF595959"/>
        <rFont val="Noto Sans CJK SC"/>
        <family val="2"/>
      </rPr>
      <t xml:space="preserve">재계산값이 원문보다 낮게 나오는 것은 원문이 기초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기말 평균 자본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자산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을 쓰는 반면 여기서는 기말 잔액을 썼기 때문입니다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계산 방식 차이이며 원문 오류가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</si>
  <si>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주당지표 재계산은 현재 발행주식수 </t>
    </r>
    <r>
      <rPr>
        <i val="true"/>
        <sz val="9"/>
        <color rgb="FF595959"/>
        <rFont val="맑은 고딕"/>
        <family val="0"/>
        <charset val="1"/>
      </rPr>
      <t xml:space="preserve">21,197.1</t>
    </r>
    <r>
      <rPr>
        <i val="true"/>
        <sz val="9"/>
        <color rgb="FF595959"/>
        <rFont val="Noto Sans CJK SC"/>
        <family val="2"/>
      </rPr>
      <t xml:space="preserve">천주를 고정 적용했습니다</t>
    </r>
    <r>
      <rPr>
        <i val="true"/>
        <sz val="9"/>
        <color rgb="FF595959"/>
        <rFont val="맑은 고딕"/>
        <family val="0"/>
        <charset val="1"/>
      </rPr>
      <t xml:space="preserve">. 2025F </t>
    </r>
    <r>
      <rPr>
        <i val="true"/>
        <sz val="9"/>
        <color rgb="FF595959"/>
        <rFont val="Noto Sans CJK SC"/>
        <family val="2"/>
      </rPr>
      <t xml:space="preserve">이후는 원문과 거의 일치하지만</t>
    </r>
    <r>
      <rPr>
        <i val="true"/>
        <sz val="9"/>
        <color rgb="FF595959"/>
        <rFont val="맑은 고딕"/>
        <family val="0"/>
        <charset val="1"/>
      </rPr>
      <t xml:space="preserve">, 2023</t>
    </r>
    <r>
      <rPr>
        <i val="true"/>
        <sz val="9"/>
        <color rgb="FF595959"/>
        <rFont val="Noto Sans CJK SC"/>
        <family val="2"/>
      </rPr>
      <t xml:space="preserve">년은 대규모 유상증자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재무활동 자본증가 </t>
    </r>
    <r>
      <rPr>
        <i val="true"/>
        <sz val="9"/>
        <color rgb="FF595959"/>
        <rFont val="맑은 고딕"/>
        <family val="0"/>
        <charset val="1"/>
      </rPr>
      <t xml:space="preserve">199.8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이전이라 당시 가중평균 주식수가 적어 차이가 큽니다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</si>
  <si>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추정 재무제표 — 현금흐름표</t>
  </si>
  <si>
    <t xml:space="preserve">영업활동 현금흐름</t>
  </si>
  <si>
    <t xml:space="preserve">조정</t>
  </si>
  <si>
    <t xml:space="preserve">외환거래손익</t>
  </si>
  <si>
    <t xml:space="preserve">지분법손익</t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</si>
  <si>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2025F: (0.0)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</si>
  <si>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기타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조정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</si>
  <si>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영업활동자산부채변동</t>
  </si>
  <si>
    <t xml:space="preserve">투자활동 현금흐름</t>
  </si>
  <si>
    <r>
      <rPr>
        <sz val="10"/>
        <color rgb="FF000000"/>
        <rFont val="Noto Sans CJK SC"/>
        <family val="2"/>
      </rPr>
      <t xml:space="preserve">투자자산감소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</si>
  <si>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자본증가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감소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</si>
  <si>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자본증가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감소</t>
    </r>
    <r>
      <rPr>
        <sz val="9"/>
        <color rgb="FF595959"/>
        <rFont val="맑은 고딕"/>
        <family val="0"/>
        <charset val="1"/>
      </rPr>
      <t xml:space="preserve">) — </t>
    </r>
    <r>
      <rPr>
        <sz val="9"/>
        <color rgb="FF595959"/>
        <rFont val="Noto Sans CJK SC"/>
        <family val="2"/>
      </rPr>
      <t xml:space="preserve">투자활동 하위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유형자산 투자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</si>
  <si>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기타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투자활동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</si>
  <si>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재무활동 현금흐름</t>
  </si>
  <si>
    <r>
      <rPr>
        <sz val="10"/>
        <color rgb="FF000000"/>
        <rFont val="Noto Sans CJK SC"/>
        <family val="2"/>
      </rPr>
      <t xml:space="preserve">금융부채증가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감소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</si>
  <si>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자본증가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감소</t>
    </r>
    <r>
      <rPr>
        <sz val="9"/>
        <color rgb="FF595959"/>
        <rFont val="맑은 고딕"/>
        <family val="0"/>
        <charset val="1"/>
      </rPr>
      <t xml:space="preserve">) — </t>
    </r>
    <r>
      <rPr>
        <sz val="9"/>
        <color rgb="FF595959"/>
        <rFont val="Noto Sans CJK SC"/>
        <family val="2"/>
      </rPr>
      <t xml:space="preserve">재무활동 하위</t>
    </r>
  </si>
  <si>
    <t xml:space="preserve">기타재무활동</t>
  </si>
  <si>
    <t xml:space="preserve">배당지급</t>
  </si>
  <si>
    <t xml:space="preserve">현금의 증감</t>
  </si>
  <si>
    <t xml:space="preserve">Unlevered CFO</t>
  </si>
  <si>
    <t xml:space="preserve">Free Cash Flow</t>
  </si>
  <si>
    <r>
      <rPr>
        <sz val="10"/>
        <color rgb="FF000000"/>
        <rFont val="Noto Sans CJK SC"/>
        <family val="2"/>
      </rPr>
      <t xml:space="preserve">영업활동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순이익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조정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자산부채변동</t>
    </r>
  </si>
  <si>
    <t xml:space="preserve">원문 영업활동 현금흐름과 대조</t>
  </si>
  <si>
    <r>
      <rPr>
        <sz val="10"/>
        <color rgb="FF000000"/>
        <rFont val="Noto Sans CJK SC"/>
        <family val="2"/>
      </rPr>
      <t xml:space="preserve">현금의 증감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투자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재무</t>
    </r>
  </si>
  <si>
    <r>
      <rPr>
        <sz val="9"/>
        <color rgb="FF595959"/>
        <rFont val="Noto Sans CJK SC"/>
        <family val="2"/>
      </rPr>
      <t xml:space="preserve">원문 현금의 증감과 대조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환율효과 등 제외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</si>
  <si>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FCF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영업활동 </t>
    </r>
    <r>
      <rPr>
        <sz val="10"/>
        <color rgb="FF000000"/>
        <rFont val="맑은 고딕"/>
        <family val="0"/>
        <charset val="1"/>
      </rPr>
      <t xml:space="preserve">+ CAPEX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</si>
  <si>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Free Cash Flow</t>
    </r>
    <r>
      <rPr>
        <sz val="9"/>
        <color rgb="FF595959"/>
        <rFont val="Noto Sans CJK SC"/>
        <family val="2"/>
      </rPr>
      <t xml:space="preserve">와 대조</t>
    </r>
  </si>
  <si>
    <r>
      <rPr>
        <sz val="10"/>
        <color rgb="FF000000"/>
        <rFont val="맑은 고딕"/>
        <family val="0"/>
        <charset val="1"/>
      </rPr>
      <t xml:space="preserve">CAPEX / </t>
    </r>
    <r>
      <rPr>
        <sz val="10"/>
        <color rgb="FF000000"/>
        <rFont val="Noto Sans CJK SC"/>
        <family val="2"/>
      </rPr>
      <t xml:space="preserve">매출액</t>
    </r>
  </si>
  <si>
    <r>
      <rPr>
        <sz val="9"/>
        <color rgb="FF595959"/>
        <rFont val="Noto Sans CJK SC"/>
        <family val="2"/>
      </rPr>
      <t xml:space="preserve">설비투자 강도 </t>
    </r>
    <r>
      <rPr>
        <sz val="9"/>
        <color rgb="FF595959"/>
        <rFont val="맑은 고딕"/>
        <family val="0"/>
        <charset val="1"/>
      </rPr>
      <t xml:space="preserve">(2026F </t>
    </r>
    <r>
      <rPr>
        <sz val="9"/>
        <color rgb="FF595959"/>
        <rFont val="Noto Sans CJK SC"/>
        <family val="2"/>
      </rPr>
      <t xml:space="preserve">증설 반영 확인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</si>
  <si>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영업활동 현금흐름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매출액</t>
    </r>
  </si>
  <si>
    <t xml:space="preserve">현금창출력</t>
  </si>
  <si>
    <r>
      <rPr>
        <sz val="10"/>
        <color rgb="FF000000"/>
        <rFont val="Noto Sans CJK SC"/>
        <family val="2"/>
      </rPr>
      <t xml:space="preserve">배당지급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지배주주순이익</t>
    </r>
  </si>
  <si>
    <t xml:space="preserve">현금 배당성향</t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</si>
  <si>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「현금의 증감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영업 </t>
    </r>
    <r>
      <rPr>
        <i val="true"/>
        <sz val="9"/>
        <color rgb="FF595959"/>
        <rFont val="맑은 고딕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투자 </t>
    </r>
    <r>
      <rPr>
        <i val="true"/>
        <sz val="9"/>
        <color rgb="FF595959"/>
        <rFont val="맑은 고딕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재무」 검산은 </t>
    </r>
    <r>
      <rPr>
        <i val="true"/>
        <sz val="9"/>
        <color rgb="FF595959"/>
        <rFont val="맑은 고딕"/>
        <family val="0"/>
        <charset val="1"/>
      </rPr>
      <t xml:space="preserve">2023·2024</t>
    </r>
    <r>
      <rPr>
        <i val="true"/>
        <sz val="9"/>
        <color rgb="FF595959"/>
        <rFont val="Noto Sans CJK SC"/>
        <family val="2"/>
      </rPr>
      <t xml:space="preserve">년 실적에서는 원문과 일치하지만</t>
    </r>
    <r>
      <rPr>
        <i val="true"/>
        <sz val="9"/>
        <color rgb="FF595959"/>
        <rFont val="맑은 고딕"/>
        <family val="0"/>
        <charset val="1"/>
      </rPr>
      <t xml:space="preserve">, 2025F~2027F</t>
    </r>
    <r>
      <rPr>
        <i val="true"/>
        <sz val="9"/>
        <color rgb="FF595959"/>
        <rFont val="Noto Sans CJK SC"/>
        <family val="2"/>
      </rPr>
      <t xml:space="preserve">에서는 원문 수치보다 </t>
    </r>
    <r>
      <rPr>
        <i val="true"/>
        <sz val="9"/>
        <color rgb="FF595959"/>
        <rFont val="맑은 고딕"/>
        <family val="0"/>
        <charset val="1"/>
      </rPr>
      <t xml:space="preserve">10~14</t>
    </r>
    <r>
      <rPr>
        <i val="true"/>
        <sz val="9"/>
        <color rgb="FF595959"/>
        <rFont val="Noto Sans CJK SC"/>
        <family val="2"/>
      </rPr>
      <t xml:space="preserve">십억원 크게 나옵니다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세 활동의 합계와 원문 「현금의 증감」이 보고서 안에서 맞지 않는 구간이며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리스부채 상환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환율효과 등 표에 별도로 표시되지 않은 항목이 있는 것으로 보입니다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전사 오류가 아니라 원문 표 자체의 특성이므로 참고해서 보시면 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</si>
  <si>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CAPEX</t>
    </r>
    <r>
      <rPr>
        <i val="true"/>
        <sz val="9"/>
        <color rgb="FF595959"/>
        <rFont val="Noto Sans CJK SC"/>
        <family val="2"/>
      </rPr>
      <t xml:space="preserve">는 투자활동 하위의 「자본증가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감소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」 항목을 설비투자로 간주해 계산했습니다</t>
    </r>
    <r>
      <rPr>
        <i val="true"/>
        <sz val="9"/>
        <color rgb="FF595959"/>
        <rFont val="맑은 고딕"/>
        <family val="0"/>
        <charset val="1"/>
      </rPr>
      <t xml:space="preserve">. 2026F CAPEX/</t>
    </r>
    <r>
      <rPr>
        <i val="true"/>
        <sz val="9"/>
        <color rgb="FF595959"/>
        <rFont val="Noto Sans CJK SC"/>
        <family val="2"/>
      </rPr>
      <t xml:space="preserve">매출액이 </t>
    </r>
    <r>
      <rPr>
        <i val="true"/>
        <sz val="9"/>
        <color rgb="FF595959"/>
        <rFont val="맑은 고딕"/>
        <family val="0"/>
        <charset val="1"/>
      </rPr>
      <t xml:space="preserve">33%</t>
    </r>
    <r>
      <rPr>
        <i val="true"/>
        <sz val="9"/>
        <color rgb="FF595959"/>
        <rFont val="Noto Sans CJK SC"/>
        <family val="2"/>
      </rPr>
      <t xml:space="preserve">로 급증하는데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이는 본문의 베트남 신규 생산시설 등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단계 대규모 증설 계획과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</si>
  <si>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p.6 </t>
    </r>
    <r>
      <rPr>
        <i val="true"/>
        <sz val="9"/>
        <color rgb="FF595959"/>
        <rFont val="Noto Sans CJK SC"/>
        <family val="2"/>
      </rPr>
      <t xml:space="preserve">게재 </t>
    </r>
    <r>
      <rPr>
        <i val="true"/>
        <sz val="9"/>
        <color rgb="FF595959"/>
        <rFont val="맑은 고딕"/>
        <family val="0"/>
        <charset val="1"/>
      </rPr>
      <t xml:space="preserve">(ISC)</t>
    </r>
  </si>
  <si>
    <t xml:space="preserve">날짜</t>
  </si>
  <si>
    <t xml:space="preserve">괴리율 — 평균</t>
  </si>
  <si>
    <r>
      <rPr>
        <b val="true"/>
        <sz val="10"/>
        <color rgb="FFFFFFFF"/>
        <rFont val="Noto Sans CJK SC"/>
        <family val="2"/>
      </rPr>
      <t xml:space="preserve">괴리율 — 최고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최저</t>
    </r>
  </si>
  <si>
    <t xml:space="preserve">26.2.5</t>
  </si>
  <si>
    <r>
      <rPr>
        <sz val="9"/>
        <color rgb="FF595959"/>
        <rFont val="Noto Sans CJK SC"/>
        <family val="2"/>
      </rPr>
      <t xml:space="preserve">금번 리포트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상향</t>
    </r>
    <r>
      <rPr>
        <sz val="9"/>
        <color rgb="FF595959"/>
        <rFont val="맑은 고딕"/>
        <family val="0"/>
        <charset val="1"/>
      </rPr>
      <t xml:space="preserve">)</t>
    </r>
  </si>
  <si>
    <t xml:space="preserve">25.11.25</t>
  </si>
  <si>
    <t xml:space="preserve">25.5.21</t>
  </si>
  <si>
    <t xml:space="preserve">24.10.11</t>
  </si>
  <si>
    <t xml:space="preserve">Not Rated</t>
  </si>
  <si>
    <t xml:space="preserve">커버리지 개시 이전</t>
  </si>
  <si>
    <r>
      <rPr>
        <b val="true"/>
        <sz val="10"/>
        <color rgb="FF1F6E6A"/>
        <rFont val="Noto Sans CJK SC"/>
        <family val="2"/>
      </rPr>
      <t xml:space="preserve">  목표주가 상향 폭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</si>
  <si>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직전 목표주가</t>
  </si>
  <si>
    <r>
      <rPr>
        <sz val="9"/>
        <color rgb="FF595959"/>
        <rFont val="맑은 고딕"/>
        <family val="0"/>
        <charset val="1"/>
      </rPr>
      <t xml:space="preserve">25.11.25 </t>
    </r>
    <r>
      <rPr>
        <sz val="9"/>
        <color rgb="FF595959"/>
        <rFont val="Noto Sans CJK SC"/>
        <family val="2"/>
      </rPr>
      <t xml:space="preserve">제시</t>
    </r>
  </si>
  <si>
    <t xml:space="preserve">금번 목표주가</t>
  </si>
  <si>
    <r>
      <rPr>
        <sz val="9"/>
        <color rgb="FF595959"/>
        <rFont val="맑은 고딕"/>
        <family val="0"/>
        <charset val="1"/>
      </rPr>
      <t xml:space="preserve">26.2.5 </t>
    </r>
    <r>
      <rPr>
        <sz val="9"/>
        <color rgb="FF595959"/>
        <rFont val="Noto Sans CJK SC"/>
        <family val="2"/>
      </rPr>
      <t xml:space="preserve">제시</t>
    </r>
  </si>
  <si>
    <t xml:space="preserve">상향 폭</t>
  </si>
  <si>
    <r>
      <rPr>
        <sz val="9"/>
        <color rgb="FF595959"/>
        <rFont val="맑은 고딕"/>
        <family val="0"/>
        <charset val="1"/>
      </rPr>
      <t xml:space="preserve">130,000</t>
    </r>
    <r>
      <rPr>
        <sz val="9"/>
        <color rgb="FF595959"/>
        <rFont val="Noto Sans CJK SC"/>
        <family val="2"/>
      </rPr>
      <t xml:space="preserve">원 →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</t>
    </r>
  </si>
  <si>
    <r>
      <rPr>
        <sz val="10"/>
        <color rgb="FF000000"/>
        <rFont val="맑은 고딕"/>
        <family val="0"/>
        <charset val="1"/>
      </rPr>
      <t xml:space="preserve">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 </t>
    </r>
    <r>
      <rPr>
        <sz val="10"/>
        <color rgb="FF000000"/>
        <rFont val="Noto Sans CJK SC"/>
        <family val="2"/>
      </rPr>
      <t xml:space="preserve">목표주가와 일치 확인</t>
    </r>
  </si>
  <si>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이면 일치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</si>
  <si>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괴리율은 제시 목표주가 대비 실제 주가의 평균 및 최고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최저 괴리를 뜻합니다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금번 리포트</t>
    </r>
    <r>
      <rPr>
        <i val="true"/>
        <sz val="9"/>
        <color rgb="FF595959"/>
        <rFont val="맑은 고딕"/>
        <family val="0"/>
        <charset val="1"/>
      </rPr>
      <t xml:space="preserve">(26.2.5)</t>
    </r>
    <r>
      <rPr>
        <i val="true"/>
        <sz val="9"/>
        <color rgb="FF595959"/>
        <rFont val="Noto Sans CJK SC"/>
        <family val="2"/>
      </rPr>
      <t xml:space="preserve">는 제시 직후여서 괴리율이 산출되지 않았습니다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표지에는 현재주가 기준일이 </t>
    </r>
    <r>
      <rPr>
        <i val="true"/>
        <sz val="9"/>
        <color rgb="FF595959"/>
        <rFont val="맑은 고딕"/>
        <family val="0"/>
        <charset val="1"/>
      </rPr>
      <t xml:space="preserve">2026.02.04</t>
    </r>
    <r>
      <rPr>
        <i val="true"/>
        <sz val="9"/>
        <color rgb="FF595959"/>
        <rFont val="Noto Sans CJK SC"/>
        <family val="2"/>
      </rPr>
      <t xml:space="preserve">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본 표에는 의견 제시일이 </t>
    </r>
    <r>
      <rPr>
        <i val="true"/>
        <sz val="9"/>
        <color rgb="FF595959"/>
        <rFont val="맑은 고딕"/>
        <family val="0"/>
        <charset val="1"/>
      </rPr>
      <t xml:space="preserve">26.2.5</t>
    </r>
    <r>
      <rPr>
        <i val="true"/>
        <sz val="9"/>
        <color rgb="FF595959"/>
        <rFont val="Noto Sans CJK SC"/>
        <family val="2"/>
      </rPr>
      <t xml:space="preserve">로 표기되어 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원문 그대로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</si>
  <si>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투자등급 관련사항 및 투자의견 비율공시</t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</si>
  <si>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p.6 </t>
    </r>
    <r>
      <rPr>
        <i val="true"/>
        <sz val="9"/>
        <color rgb="FF595959"/>
        <rFont val="Noto Sans CJK SC"/>
        <family val="2"/>
      </rPr>
      <t xml:space="preserve">게재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투자의견 유효기간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추천일 이후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개월 기준</t>
    </r>
  </si>
  <si>
    <t xml:space="preserve">  ① 투자의견 비율공시</t>
  </si>
  <si>
    <t xml:space="preserve">투자등급</t>
  </si>
  <si>
    <r>
      <rPr>
        <b val="true"/>
        <sz val="10"/>
        <color rgb="FFFFFFFF"/>
        <rFont val="맑은 고딕"/>
        <family val="0"/>
        <charset val="1"/>
      </rPr>
      <t xml:space="preserve">BUY (</t>
    </r>
    <r>
      <rPr>
        <b val="true"/>
        <sz val="10"/>
        <color rgb="FFFFFFFF"/>
        <rFont val="Noto Sans CJK SC"/>
        <family val="2"/>
      </rPr>
      <t xml:space="preserve">매수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</si>
  <si>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Neutral (</t>
    </r>
    <r>
      <rPr>
        <b val="true"/>
        <sz val="10"/>
        <color rgb="FFFFFFFF"/>
        <rFont val="Noto Sans CJK SC"/>
        <family val="2"/>
      </rPr>
      <t xml:space="preserve">중립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</si>
  <si>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Reduce (</t>
    </r>
    <r>
      <rPr>
        <b val="true"/>
        <sz val="10"/>
        <color rgb="FFFFFFFF"/>
        <rFont val="Noto Sans CJK SC"/>
        <family val="2"/>
      </rPr>
      <t xml:space="preserve">매도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</si>
  <si>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합계</t>
  </si>
  <si>
    <t xml:space="preserve">금융투자상품의 비율</t>
  </si>
  <si>
    <r>
      <rPr>
        <i val="true"/>
        <sz val="9"/>
        <color rgb="FF595959"/>
        <rFont val="Noto Sans CJK SC"/>
        <family val="2"/>
      </rPr>
      <t xml:space="preserve">기준일</t>
    </r>
    <r>
      <rPr>
        <i val="true"/>
        <sz val="9"/>
        <color rgb="FF595959"/>
        <rFont val="맑은 고딕"/>
        <family val="0"/>
        <charset val="1"/>
      </rPr>
      <t xml:space="preserve">: 2026</t>
    </r>
    <r>
      <rPr>
        <i val="true"/>
        <sz val="9"/>
        <color rgb="FF595959"/>
        <rFont val="Noto Sans CJK SC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02</t>
    </r>
    <r>
      <rPr>
        <i val="true"/>
        <sz val="9"/>
        <color rgb="FF595959"/>
        <rFont val="Noto Sans CJK SC"/>
        <family val="2"/>
      </rPr>
      <t xml:space="preserve">월 </t>
    </r>
    <r>
      <rPr>
        <i val="true"/>
        <sz val="9"/>
        <color rgb="FF595959"/>
        <rFont val="맑은 고딕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일</t>
    </r>
  </si>
  <si>
    <r>
      <rPr>
        <b val="true"/>
        <sz val="10"/>
        <color rgb="FF1F6E6A"/>
        <rFont val="Noto Sans CJK SC"/>
        <family val="2"/>
      </rPr>
      <t xml:space="preserve">  ② 기업의 분류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투자의견 기준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</si>
  <si>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기준</t>
  </si>
  <si>
    <r>
      <rPr>
        <b val="true"/>
        <sz val="10"/>
        <color rgb="FF000000"/>
        <rFont val="맑은 고딕"/>
        <family val="0"/>
        <charset val="1"/>
      </rPr>
      <t xml:space="preserve">BUY (</t>
    </r>
    <r>
      <rPr>
        <b val="true"/>
        <sz val="10"/>
        <color rgb="FF000000"/>
        <rFont val="Noto Sans CJK SC"/>
        <family val="2"/>
      </rPr>
      <t xml:space="preserve">매수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</si>
  <si>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목표주가가 현주가 대비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이상 상승 여력</t>
    </r>
  </si>
  <si>
    <r>
      <rPr>
        <b val="true"/>
        <sz val="10"/>
        <color rgb="FF000000"/>
        <rFont val="맑은 고딕"/>
        <family val="0"/>
        <charset val="1"/>
      </rPr>
      <t xml:space="preserve">Neutral (</t>
    </r>
    <r>
      <rPr>
        <b val="true"/>
        <sz val="10"/>
        <color rgb="FF000000"/>
        <rFont val="Noto Sans CJK SC"/>
        <family val="2"/>
      </rPr>
      <t xml:space="preserve">중립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</si>
  <si>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목표주가가 현주가 대비 </t>
    </r>
    <r>
      <rPr>
        <sz val="10"/>
        <color rgb="FF000000"/>
        <rFont val="맑은 고딕"/>
        <family val="0"/>
        <charset val="1"/>
      </rPr>
      <t xml:space="preserve">-15% ~ 15% </t>
    </r>
    <r>
      <rPr>
        <sz val="10"/>
        <color rgb="FF000000"/>
        <rFont val="Noto Sans CJK SC"/>
        <family val="2"/>
      </rPr>
      <t xml:space="preserve">등락</t>
    </r>
  </si>
  <si>
    <r>
      <rPr>
        <b val="true"/>
        <sz val="10"/>
        <color rgb="FF000000"/>
        <rFont val="맑은 고딕"/>
        <family val="0"/>
        <charset val="1"/>
      </rPr>
      <t xml:space="preserve">Reduce (</t>
    </r>
    <r>
      <rPr>
        <b val="true"/>
        <sz val="10"/>
        <color rgb="FF000000"/>
        <rFont val="Noto Sans CJK SC"/>
        <family val="2"/>
      </rPr>
      <t xml:space="preserve">비중축소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</si>
  <si>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목표주가가 현주가 대비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이상 하락 가능</t>
    </r>
  </si>
  <si>
    <r>
      <rPr>
        <b val="true"/>
        <sz val="10"/>
        <color rgb="FF1F6E6A"/>
        <rFont val="Noto Sans CJK SC"/>
        <family val="2"/>
      </rPr>
      <t xml:space="preserve">  ③ 산업의 분류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투자의견 기준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</si>
  <si>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Overweight (</t>
    </r>
    <r>
      <rPr>
        <b val="true"/>
        <sz val="10"/>
        <color rgb="FF000000"/>
        <rFont val="Noto Sans CJK SC"/>
        <family val="2"/>
      </rPr>
      <t xml:space="preserve">비중확대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</si>
  <si>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업종지수가 현재지수 대비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이상 상승 여력</t>
    </r>
  </si>
  <si>
    <r>
      <rPr>
        <sz val="10"/>
        <color rgb="FF000000"/>
        <rFont val="Noto Sans CJK SC"/>
        <family val="2"/>
      </rPr>
      <t xml:space="preserve">업종지수가 현재지수 대비 </t>
    </r>
    <r>
      <rPr>
        <sz val="10"/>
        <color rgb="FF000000"/>
        <rFont val="맑은 고딕"/>
        <family val="0"/>
        <charset val="1"/>
      </rPr>
      <t xml:space="preserve">-15% ~ 15% </t>
    </r>
    <r>
      <rPr>
        <sz val="10"/>
        <color rgb="FF000000"/>
        <rFont val="Noto Sans CJK SC"/>
        <family val="2"/>
      </rPr>
      <t xml:space="preserve">등락</t>
    </r>
  </si>
  <si>
    <r>
      <rPr>
        <b val="true"/>
        <sz val="10"/>
        <color rgb="FF000000"/>
        <rFont val="맑은 고딕"/>
        <family val="0"/>
        <charset val="1"/>
      </rPr>
      <t xml:space="preserve">Underweight (</t>
    </r>
    <r>
      <rPr>
        <b val="true"/>
        <sz val="10"/>
        <color rgb="FF000000"/>
        <rFont val="Noto Sans CJK SC"/>
        <family val="2"/>
      </rPr>
      <t xml:space="preserve">비중축소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</si>
  <si>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  ④ 현재 투자의견 적용 검증</t>
  </si>
  <si>
    <r>
      <rPr>
        <sz val="10"/>
        <color rgb="FF000000"/>
        <rFont val="Noto Sans CJK SC"/>
        <family val="2"/>
      </rPr>
      <t xml:space="preserve">상승여력 </t>
    </r>
    <r>
      <rPr>
        <sz val="10"/>
        <color rgb="FF000000"/>
        <rFont val="맑은 고딕"/>
        <family val="0"/>
        <charset val="1"/>
      </rPr>
      <t xml:space="preserve">(05_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1_Valuation)</t>
    </r>
  </si>
  <si>
    <r>
      <rPr>
        <sz val="10"/>
        <color rgb="FF595959"/>
        <rFont val="맑은 고딕"/>
        <family val="0"/>
        <charset val="1"/>
      </rPr>
      <t xml:space="preserve">→  15% </t>
    </r>
    <r>
      <rPr>
        <sz val="10"/>
        <color rgb="FF595959"/>
        <rFont val="Noto Sans CJK SC"/>
        <family val="2"/>
      </rPr>
      <t xml:space="preserve">이상 → </t>
    </r>
    <r>
      <rPr>
        <sz val="10"/>
        <color rgb="FF595959"/>
        <rFont val="맑은 고딕"/>
        <family val="0"/>
        <charset val="1"/>
      </rPr>
      <t xml:space="preserve">BUY </t>
    </r>
    <r>
      <rPr>
        <sz val="10"/>
        <color rgb="FF595959"/>
        <rFont val="Noto Sans CJK SC"/>
        <family val="2"/>
      </rPr>
      <t xml:space="preserve">기준 충족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</si>
  <si>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산업 분류의 </t>
    </r>
    <r>
      <rPr>
        <i val="true"/>
        <sz val="9"/>
        <color rgb="FF595959"/>
        <rFont val="맑은 고딕"/>
        <family val="0"/>
        <charset val="1"/>
      </rPr>
      <t xml:space="preserve">Underweight </t>
    </r>
    <r>
      <rPr>
        <i val="true"/>
        <sz val="9"/>
        <color rgb="FF595959"/>
        <rFont val="Noto Sans CJK SC"/>
        <family val="2"/>
      </rPr>
      <t xml:space="preserve">기준은 </t>
    </r>
    <r>
      <rPr>
        <i val="true"/>
        <sz val="9"/>
        <color rgb="FF595959"/>
        <rFont val="맑은 고딕"/>
        <family val="0"/>
        <charset val="1"/>
      </rPr>
      <t xml:space="preserve">'-15%~15% </t>
    </r>
    <r>
      <rPr>
        <i val="true"/>
        <sz val="9"/>
        <color rgb="FF595959"/>
        <rFont val="Noto Sans CJK SC"/>
        <family val="2"/>
      </rPr>
      <t xml:space="preserve">등락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인쇄되어 있습니다 </t>
    </r>
    <r>
      <rPr>
        <i val="true"/>
        <sz val="9"/>
        <color rgb="FF595959"/>
        <rFont val="맑은 고딕"/>
        <family val="0"/>
        <charset val="1"/>
      </rPr>
      <t xml:space="preserve">(Neutral</t>
    </r>
    <r>
      <rPr>
        <i val="true"/>
        <sz val="9"/>
        <color rgb="FF595959"/>
        <rFont val="Noto Sans CJK SC"/>
        <family val="2"/>
      </rPr>
      <t xml:space="preserve">과 동일 표기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원문 그대로 옮겼습니다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</si>
  <si>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하나증권 추정치 </t>
    </r>
    <r>
      <rPr>
        <b val="true"/>
        <sz val="13"/>
        <color rgb="FF1F6E6A"/>
        <rFont val="맑은 고딕"/>
        <family val="0"/>
        <charset val="1"/>
      </rPr>
      <t xml:space="preserve">vs </t>
    </r>
    <r>
      <rPr>
        <b val="true"/>
        <sz val="13"/>
        <color rgb="FF1F6E6A"/>
        <rFont val="Noto Sans CJK SC"/>
        <family val="2"/>
      </rPr>
      <t xml:space="preserve">시장 컨센서스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파생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</si>
  <si>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리포트에 없는 파생 표입니다</t>
    </r>
    <r>
      <rPr>
        <i val="true"/>
        <sz val="9"/>
        <color rgb="FF595959"/>
        <rFont val="맑은 고딕"/>
        <family val="0"/>
        <charset val="1"/>
      </rPr>
      <t xml:space="preserve">. 02_p1_Consensus </t>
    </r>
    <r>
      <rPr>
        <i val="true"/>
        <sz val="9"/>
        <color rgb="FF595959"/>
        <rFont val="Noto Sans CJK SC"/>
        <family val="2"/>
      </rPr>
      <t xml:space="preserve">의 컨센서스와 추정 재무제표를 비교해 괴리율을 계산합니다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</si>
  <si>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하나증권</t>
  </si>
  <si>
    <t xml:space="preserve">하나증권 매출액</t>
  </si>
  <si>
    <r>
      <rPr>
        <sz val="9"/>
        <color rgb="FF595959"/>
        <rFont val="맑은 고딕"/>
        <family val="0"/>
        <charset val="1"/>
      </rPr>
      <t xml:space="preserve">15_p5_</t>
    </r>
    <r>
      <rPr>
        <sz val="9"/>
        <color rgb="FF595959"/>
        <rFont val="Noto Sans CJK SC"/>
        <family val="2"/>
      </rPr>
      <t xml:space="preserve">손익계산서 참조</t>
    </r>
  </si>
  <si>
    <t xml:space="preserve">하나증권 영업이익</t>
  </si>
  <si>
    <r>
      <rPr>
        <sz val="10"/>
        <color rgb="FF000000"/>
        <rFont val="Noto Sans CJK SC"/>
        <family val="2"/>
      </rPr>
      <t xml:space="preserve">하나증권 </t>
    </r>
    <r>
      <rPr>
        <sz val="10"/>
        <color rgb="FF000000"/>
        <rFont val="맑은 고딕"/>
        <family val="0"/>
        <charset val="1"/>
      </rPr>
      <t xml:space="preserve">EPS</t>
    </r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</si>
  <si>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참조</t>
    </r>
  </si>
  <si>
    <t xml:space="preserve">컨센서스 매출액</t>
  </si>
  <si>
    <r>
      <rPr>
        <sz val="9"/>
        <color rgb="FF595959"/>
        <rFont val="맑은 고딕"/>
        <family val="0"/>
        <charset val="1"/>
      </rPr>
      <t xml:space="preserve">02_p1_Consensus </t>
    </r>
    <r>
      <rPr>
        <sz val="9"/>
        <color rgb="FF595959"/>
        <rFont val="Noto Sans CJK SC"/>
        <family val="2"/>
      </rPr>
      <t xml:space="preserve">참조</t>
    </r>
  </si>
  <si>
    <t xml:space="preserve">컨센서스 영업이익</t>
  </si>
  <si>
    <r>
      <rPr>
        <sz val="10"/>
        <color rgb="FF000000"/>
        <rFont val="Noto Sans CJK SC"/>
        <family val="2"/>
      </rPr>
      <t xml:space="preserve">컨센서스 </t>
    </r>
    <r>
      <rPr>
        <sz val="10"/>
        <color rgb="FF000000"/>
        <rFont val="맑은 고딕"/>
        <family val="0"/>
        <charset val="1"/>
      </rPr>
      <t xml:space="preserve">EPS</t>
    </r>
  </si>
  <si>
    <t xml:space="preserve">괴리율</t>
  </si>
  <si>
    <t xml:space="preserve">매출액 괴리율</t>
  </si>
  <si>
    <r>
      <rPr>
        <sz val="9"/>
        <color rgb="FF595959"/>
        <rFont val="Noto Sans CJK SC"/>
        <family val="2"/>
      </rPr>
      <t xml:space="preserve">하나증권 추정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컨센서스 − </t>
    </r>
    <r>
      <rPr>
        <sz val="9"/>
        <color rgb="FF595959"/>
        <rFont val="맑은 고딕"/>
        <family val="0"/>
        <charset val="1"/>
      </rPr>
      <t xml:space="preserve">1</t>
    </r>
  </si>
  <si>
    <t xml:space="preserve">영업이익 괴리율</t>
  </si>
  <si>
    <r>
      <rPr>
        <b val="true"/>
        <sz val="10"/>
        <color rgb="FF000000"/>
        <rFont val="맑은 고딕"/>
        <family val="0"/>
        <charset val="1"/>
      </rPr>
      <t xml:space="preserve">EPS </t>
    </r>
    <r>
      <rPr>
        <b val="true"/>
        <sz val="10"/>
        <color rgb="FF000000"/>
        <rFont val="Noto Sans CJK SC"/>
        <family val="2"/>
      </rPr>
      <t xml:space="preserve">괴리율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</si>
  <si>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컨센서스 순이익의 지배주주 기준 여부가 원문에 명시되어 있지 않아 매출액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·EPS</t>
    </r>
    <r>
      <rPr>
        <i val="true"/>
        <sz val="9"/>
        <color rgb="FF595959"/>
        <rFont val="Noto Sans CJK SC"/>
        <family val="2"/>
      </rPr>
      <t xml:space="preserve">만 비교했습니다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</si>
  <si>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추정치 변경 폭  —  도표 </t>
    </r>
    <r>
      <rPr>
        <b val="true"/>
        <sz val="13"/>
        <color rgb="FF1F6E6A"/>
        <rFont val="맑은 고딕"/>
        <family val="0"/>
        <charset val="1"/>
      </rPr>
      <t xml:space="preserve">4 (</t>
    </r>
    <r>
      <rPr>
        <b val="true"/>
        <sz val="13"/>
        <color rgb="FF1F6E6A"/>
        <rFont val="Noto Sans CJK SC"/>
        <family val="2"/>
      </rPr>
      <t xml:space="preserve">수정 후</t>
    </r>
    <r>
      <rPr>
        <b val="true"/>
        <sz val="13"/>
        <color rgb="FF1F6E6A"/>
        <rFont val="맑은 고딕"/>
        <family val="0"/>
        <charset val="1"/>
      </rPr>
      <t xml:space="preserve">) vs </t>
    </r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5 (</t>
    </r>
    <r>
      <rPr>
        <b val="true"/>
        <sz val="13"/>
        <color rgb="FF1F6E6A"/>
        <rFont val="Noto Sans CJK SC"/>
        <family val="2"/>
      </rPr>
      <t xml:space="preserve">수정 전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</si>
  <si>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겹치는 기간만 비교했습니다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초록 글씨는 </t>
    </r>
    <r>
      <rPr>
        <i val="true"/>
        <sz val="9"/>
        <color rgb="FF595959"/>
        <rFont val="맑은 고딕"/>
        <family val="0"/>
        <charset val="1"/>
      </rPr>
      <t xml:space="preserve">10·11</t>
    </r>
    <r>
      <rPr>
        <i val="true"/>
        <sz val="9"/>
        <color rgb="FF595959"/>
        <rFont val="Noto Sans CJK SC"/>
        <family val="2"/>
      </rPr>
      <t xml:space="preserve">번 시트를 참조한 계산값입니다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</si>
  <si>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</si>
  <si>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도표 </t>
    </r>
    <r>
      <rPr>
        <sz val="9"/>
        <color rgb="FF595959"/>
        <rFont val="맑은 고딕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</si>
  <si>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</si>
  <si>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도표 </t>
    </r>
    <r>
      <rPr>
        <sz val="9"/>
        <color rgb="FF595959"/>
        <rFont val="맑은 고딕"/>
        <family val="0"/>
        <charset val="1"/>
      </rPr>
      <t xml:space="preserve">5</t>
    </r>
  </si>
  <si>
    <r>
      <rPr>
        <b val="true"/>
        <sz val="10"/>
        <color rgb="FF000000"/>
        <rFont val="Noto Sans CJK SC"/>
        <family val="2"/>
      </rPr>
      <t xml:space="preserve">변경 폭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</si>
  <si>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수정 후 − 수정 전</t>
  </si>
  <si>
    <r>
      <rPr>
        <b val="true"/>
        <sz val="10"/>
        <color rgb="FF000000"/>
        <rFont val="Noto Sans CJK SC"/>
        <family val="2"/>
      </rPr>
      <t xml:space="preserve">변경 폭 </t>
    </r>
    <r>
      <rPr>
        <b val="true"/>
        <sz val="10"/>
        <color rgb="FF000000"/>
        <rFont val="맑은 고딕"/>
        <family val="0"/>
        <charset val="1"/>
      </rPr>
      <t xml:space="preserve">(%)</t>
    </r>
  </si>
  <si>
    <r>
      <rPr>
        <sz val="9"/>
        <color rgb="FF595959"/>
        <rFont val="Noto Sans CJK SC"/>
        <family val="2"/>
      </rPr>
      <t xml:space="preserve">본문</t>
    </r>
    <r>
      <rPr>
        <sz val="9"/>
        <color rgb="FF595959"/>
        <rFont val="맑은 고딕"/>
        <family val="0"/>
        <charset val="1"/>
      </rPr>
      <t xml:space="preserve">: 4Q25 </t>
    </r>
    <r>
      <rPr>
        <sz val="9"/>
        <color rgb="FF595959"/>
        <rFont val="Noto Sans CJK SC"/>
        <family val="2"/>
      </rPr>
      <t xml:space="preserve">실적이 하나증권 추정치를 </t>
    </r>
    <r>
      <rPr>
        <sz val="9"/>
        <color rgb="FF595959"/>
        <rFont val="맑은 고딕"/>
        <family val="0"/>
        <charset val="1"/>
      </rPr>
      <t xml:space="preserve">6% </t>
    </r>
    <r>
      <rPr>
        <sz val="9"/>
        <color rgb="FF595959"/>
        <rFont val="Noto Sans CJK SC"/>
        <family val="2"/>
      </rPr>
      <t xml:space="preserve">상회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</si>
  <si>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</si>
  <si>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</si>
  <si>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본문</t>
    </r>
    <r>
      <rPr>
        <sz val="9"/>
        <color rgb="FF595959"/>
        <rFont val="맑은 고딕"/>
        <family val="0"/>
        <charset val="1"/>
      </rPr>
      <t xml:space="preserve">: 4Q25 </t>
    </r>
    <r>
      <rPr>
        <sz val="9"/>
        <color rgb="FF595959"/>
        <rFont val="Noto Sans CJK SC"/>
        <family val="2"/>
      </rPr>
      <t xml:space="preserve">영업이익이 하나증권 추정치를 </t>
    </r>
    <r>
      <rPr>
        <sz val="9"/>
        <color rgb="FF595959"/>
        <rFont val="맑은 고딕"/>
        <family val="0"/>
        <charset val="1"/>
      </rPr>
      <t xml:space="preserve">13% </t>
    </r>
    <r>
      <rPr>
        <sz val="9"/>
        <color rgb="FF595959"/>
        <rFont val="Noto Sans CJK SC"/>
        <family val="2"/>
      </rPr>
      <t xml:space="preserve">상회</t>
    </r>
  </si>
  <si>
    <t xml:space="preserve">  데이터센터 매출 추정 변경</t>
  </si>
  <si>
    <r>
      <rPr>
        <sz val="10"/>
        <color rgb="FF000000"/>
        <rFont val="Noto Sans CJK SC"/>
        <family val="2"/>
      </rPr>
      <t xml:space="preserve">데이터센터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</si>
  <si>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데이터센터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</si>
  <si>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2026F</t>
    </r>
    <r>
      <rPr>
        <sz val="9"/>
        <color rgb="FF595959"/>
        <rFont val="Noto Sans CJK SC"/>
        <family val="2"/>
      </rPr>
      <t xml:space="preserve">는 소폭 하향</t>
    </r>
    <r>
      <rPr>
        <sz val="9"/>
        <color rgb="FF595959"/>
        <rFont val="맑은 고딕"/>
        <family val="0"/>
        <charset val="1"/>
      </rPr>
      <t xml:space="preserve">, 2025</t>
    </r>
    <r>
      <rPr>
        <sz val="9"/>
        <color rgb="FF595959"/>
        <rFont val="Noto Sans CJK SC"/>
        <family val="2"/>
      </rPr>
      <t xml:space="preserve">는 상향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</si>
  <si>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4·5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변경 폭은 자체 계산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</si>
  <si>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1Q25~3Q25</t>
    </r>
    <r>
      <rPr>
        <i val="true"/>
        <sz val="9"/>
        <color rgb="FF595959"/>
        <rFont val="Noto Sans CJK SC"/>
        <family val="2"/>
      </rPr>
      <t xml:space="preserve">는 두 표 모두 확정 실적이라 동일합니다</t>
    </r>
    <r>
      <rPr>
        <i val="true"/>
        <sz val="9"/>
        <color rgb="FF595959"/>
        <rFont val="맑은 고딕"/>
        <family val="0"/>
        <charset val="1"/>
      </rPr>
      <t xml:space="preserve">. 4Q25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수정 전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표에서 전망치</t>
    </r>
    <r>
      <rPr>
        <i val="true"/>
        <sz val="9"/>
        <color rgb="FF595959"/>
        <rFont val="맑은 고딕"/>
        <family val="0"/>
        <charset val="1"/>
      </rPr>
      <t xml:space="preserve">(4Q25F)</t>
    </r>
    <r>
      <rPr>
        <i val="true"/>
        <sz val="9"/>
        <color rgb="FF595959"/>
        <rFont val="Noto Sans CJK SC"/>
        <family val="2"/>
      </rPr>
      <t xml:space="preserve">였고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수정 후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표에서 확정 실적이므로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변경 폭이 곧 실적의 추정치 대비 서프라이즈 폭입니다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</si>
  <si>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매출 분해 — 대체 분류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파생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</si>
  <si>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리포트 도표 </t>
    </r>
    <r>
      <rPr>
        <i val="true"/>
        <sz val="9"/>
        <color rgb="FF595959"/>
        <rFont val="맑은 고딕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은 어플리케이션 기준입니다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여기에는 리서치 자료로 확보한 다른 기준의 분기 매출 분해를 모았습니다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원문에 없는 자료이므로 별도 시트로 분리했습니다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</si>
  <si>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③ 메모리 </t>
    </r>
    <r>
      <rPr>
        <b val="true"/>
        <sz val="10"/>
        <color rgb="FF1F6E6A"/>
        <rFont val="맑은 고딕"/>
        <family val="0"/>
        <charset val="1"/>
      </rPr>
      <t xml:space="preserve">/ </t>
    </r>
    <r>
      <rPr>
        <b val="true"/>
        <sz val="10"/>
        <color rgb="FF1F6E6A"/>
        <rFont val="Noto Sans CJK SC"/>
        <family val="2"/>
      </rPr>
      <t xml:space="preserve">비메모리 매출 </t>
    </r>
    <r>
      <rPr>
        <b val="true"/>
        <sz val="10"/>
        <color rgb="FF1F6E6A"/>
        <rFont val="맑은 고딕"/>
        <family val="0"/>
        <charset val="1"/>
      </rPr>
      <t xml:space="preserve">(IM</t>
    </r>
    <r>
      <rPr>
        <b val="true"/>
        <sz val="10"/>
        <color rgb="FF1F6E6A"/>
        <rFont val="Noto Sans CJK SC"/>
        <family val="2"/>
      </rPr>
      <t xml:space="preserve">증권 </t>
    </r>
    <r>
      <rPr>
        <b val="true"/>
        <sz val="10"/>
        <color rgb="FF1F6E6A"/>
        <rFont val="맑은 고딕"/>
        <family val="0"/>
        <charset val="1"/>
      </rPr>
      <t xml:space="preserve">2025.10.13) — </t>
    </r>
    <r>
      <rPr>
        <b val="true"/>
        <sz val="10"/>
        <color rgb="FF1F6E6A"/>
        <rFont val="Noto Sans CJK SC"/>
        <family val="2"/>
      </rPr>
      <t xml:space="preserve">대체 분류</t>
    </r>
  </si>
  <si>
    <t xml:space="preserve">Memory</t>
  </si>
  <si>
    <t xml:space="preserve">Non-Memory</t>
  </si>
  <si>
    <r>
      <rPr>
        <sz val="10"/>
        <color rgb="FF000000"/>
        <rFont val="맑은 고딕"/>
        <family val="0"/>
        <charset val="1"/>
      </rPr>
      <t xml:space="preserve">Memory </t>
    </r>
    <r>
      <rPr>
        <sz val="10"/>
        <color rgb="FF000000"/>
        <rFont val="Noto Sans CJK SC"/>
        <family val="2"/>
      </rPr>
      <t xml:space="preserve">비중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</si>
  <si>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3Q25E·4Q25E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IM</t>
    </r>
    <r>
      <rPr>
        <i val="true"/>
        <sz val="9"/>
        <color rgb="FF595959"/>
        <rFont val="Noto Sans CJK SC"/>
        <family val="2"/>
      </rPr>
      <t xml:space="preserve">증권 추정치입니다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실제 </t>
    </r>
    <r>
      <rPr>
        <i val="true"/>
        <sz val="9"/>
        <color rgb="FF595959"/>
        <rFont val="맑은 고딕"/>
        <family val="0"/>
        <charset val="1"/>
      </rPr>
      <t xml:space="preserve">3Q25 </t>
    </r>
    <r>
      <rPr>
        <i val="true"/>
        <sz val="9"/>
        <color rgb="FF595959"/>
        <rFont val="Noto Sans CJK SC"/>
        <family val="2"/>
      </rPr>
      <t xml:space="preserve">매출은 </t>
    </r>
    <r>
      <rPr>
        <i val="true"/>
        <sz val="9"/>
        <color rgb="FF595959"/>
        <rFont val="맑은 고딕"/>
        <family val="0"/>
        <charset val="1"/>
      </rPr>
      <t xml:space="preserve">64.5, 4Q25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72.3</t>
    </r>
    <r>
      <rPr>
        <i val="true"/>
        <sz val="9"/>
        <color rgb="FF595959"/>
        <rFont val="Noto Sans CJK SC"/>
        <family val="2"/>
      </rPr>
      <t xml:space="preserve">십억원이었습니다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4).</t>
    </r>
  </si>
  <si>
    <r>
      <rPr>
        <b val="true"/>
        <sz val="10"/>
        <color rgb="FF1F6E6A"/>
        <rFont val="맑은 고딕"/>
        <family val="0"/>
        <charset val="1"/>
      </rPr>
      <t xml:space="preserve">  ④ AI / </t>
    </r>
    <r>
      <rPr>
        <b val="true"/>
        <sz val="10"/>
        <color rgb="FF1F6E6A"/>
        <rFont val="Noto Sans CJK SC"/>
        <family val="2"/>
      </rPr>
      <t xml:space="preserve">비</t>
    </r>
    <r>
      <rPr>
        <b val="true"/>
        <sz val="10"/>
        <color rgb="FF1F6E6A"/>
        <rFont val="맑은 고딕"/>
        <family val="0"/>
        <charset val="1"/>
      </rPr>
      <t xml:space="preserve">AI </t>
    </r>
    <r>
      <rPr>
        <b val="true"/>
        <sz val="10"/>
        <color rgb="FF1F6E6A"/>
        <rFont val="Noto Sans CJK SC"/>
        <family val="2"/>
      </rPr>
      <t xml:space="preserve">매출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미래에셋증권 </t>
    </r>
    <r>
      <rPr>
        <b val="true"/>
        <sz val="10"/>
        <color rgb="FF1F6E6A"/>
        <rFont val="맑은 고딕"/>
        <family val="0"/>
        <charset val="1"/>
      </rPr>
      <t xml:space="preserve">2026.01.29) — </t>
    </r>
    <r>
      <rPr>
        <b val="true"/>
        <sz val="10"/>
        <color rgb="FF1F6E6A"/>
        <rFont val="Noto Sans CJK SC"/>
        <family val="2"/>
      </rPr>
      <t xml:space="preserve">일부 분기만 공개</t>
    </r>
  </si>
  <si>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</t>
    </r>
  </si>
  <si>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</t>
    </r>
  </si>
  <si>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비중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</si>
  <si>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리포트 본문의 </t>
    </r>
    <r>
      <rPr>
        <i val="true"/>
        <sz val="9"/>
        <color rgb="FF595959"/>
        <rFont val="맑은 고딕"/>
        <family val="0"/>
        <charset val="1"/>
      </rPr>
      <t xml:space="preserve">'AI </t>
    </r>
    <r>
      <rPr>
        <i val="true"/>
        <sz val="9"/>
        <color rgb="FF595959"/>
        <rFont val="Noto Sans CJK SC"/>
        <family val="2"/>
      </rPr>
      <t xml:space="preserve">반도체용 테스트 소켓 매출 비중 </t>
    </r>
    <r>
      <rPr>
        <i val="true"/>
        <sz val="9"/>
        <color rgb="FF595959"/>
        <rFont val="맑은 고딕"/>
        <family val="0"/>
        <charset val="1"/>
      </rPr>
      <t xml:space="preserve">4Q25 75% (</t>
    </r>
    <r>
      <rPr>
        <i val="true"/>
        <sz val="9"/>
        <color rgb="FF595959"/>
        <rFont val="Noto Sans CJK SC"/>
        <family val="2"/>
      </rPr>
      <t xml:space="preserve">전분기 대비 </t>
    </r>
    <r>
      <rPr>
        <i val="true"/>
        <sz val="9"/>
        <color rgb="FF595959"/>
        <rFont val="맑은 고딕"/>
        <family val="0"/>
        <charset val="1"/>
      </rPr>
      <t xml:space="preserve">+8%p)'</t>
    </r>
    <r>
      <rPr>
        <i val="true"/>
        <sz val="9"/>
        <color rgb="FF595959"/>
        <rFont val="Noto Sans CJK SC"/>
        <family val="2"/>
      </rPr>
      <t xml:space="preserve">와는 정의가 다릅니다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미래에셋 기준은 </t>
    </r>
    <r>
      <rPr>
        <i val="true"/>
        <sz val="9"/>
        <color rgb="FF595959"/>
        <rFont val="맑은 고딕"/>
        <family val="0"/>
        <charset val="1"/>
      </rPr>
      <t xml:space="preserve">AI </t>
    </r>
    <r>
      <rPr>
        <i val="true"/>
        <sz val="9"/>
        <color rgb="FF595959"/>
        <rFont val="Noto Sans CJK SC"/>
        <family val="2"/>
      </rPr>
      <t xml:space="preserve">관련 전체 매출이고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하나증권 본문은 테스트 소켓 내 </t>
    </r>
    <r>
      <rPr>
        <i val="true"/>
        <sz val="9"/>
        <color rgb="FF595959"/>
        <rFont val="맑은 고딕"/>
        <family val="0"/>
        <charset val="1"/>
      </rPr>
      <t xml:space="preserve">AI </t>
    </r>
    <r>
      <rPr>
        <i val="true"/>
        <sz val="9"/>
        <color rgb="FF595959"/>
        <rFont val="Noto Sans CJK SC"/>
        <family val="2"/>
      </rPr>
      <t xml:space="preserve">비중입니다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</si>
  <si>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비메모리 </t>
    </r>
    <r>
      <rPr>
        <sz val="10"/>
        <color rgb="FF000000"/>
        <rFont val="맑은 고딕"/>
        <family val="0"/>
        <charset val="1"/>
      </rPr>
      <t xml:space="preserve">1Q23~4Q25E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</si>
  <si>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Memory + Non-Memory + Non Socket = </t>
    </r>
    <r>
      <rPr>
        <sz val="9"/>
        <color rgb="FF000000"/>
        <rFont val="Noto Sans CJK SC"/>
        <family val="2"/>
      </rPr>
      <t xml:space="preserve">총매출로 검산 일치</t>
    </r>
  </si>
  <si>
    <r>
      <rPr>
        <sz val="10"/>
        <color rgb="FF000000"/>
        <rFont val="맑은 고딕"/>
        <family val="0"/>
        <charset val="1"/>
      </rPr>
      <t xml:space="preserve">AI/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일부 분기</t>
    </r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</si>
  <si>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AI + </t>
    </r>
    <r>
      <rPr>
        <sz val="9"/>
        <color rgb="FF000000"/>
        <rFont val="Noto Sans CJK SC"/>
        <family val="2"/>
      </rPr>
      <t xml:space="preserve">비</t>
    </r>
    <r>
      <rPr>
        <sz val="9"/>
        <color rgb="FF000000"/>
        <rFont val="맑은 고딕"/>
        <family val="0"/>
        <charset val="1"/>
      </rPr>
      <t xml:space="preserve">AI = </t>
    </r>
    <r>
      <rPr>
        <sz val="9"/>
        <color rgb="FF000000"/>
        <rFont val="Noto Sans CJK SC"/>
        <family val="2"/>
      </rPr>
      <t xml:space="preserve">총매출로 검산 일치</t>
    </r>
  </si>
  <si>
    <t xml:space="preserve">miraeasset PDF</t>
  </si>
  <si>
    <t xml:space="preserve">출처 정리  —  공시 자료 및 리서치</t>
  </si>
  <si>
    <r>
      <rPr>
        <i val="true"/>
        <sz val="9"/>
        <color rgb="FF595959"/>
        <rFont val="Noto Sans CJK SC"/>
        <family val="2"/>
      </rPr>
      <t xml:space="preserve">리포트에 인쇄되지 않아 외부에서 끌어온 수치의 출처입니다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수집 시점 </t>
    </r>
    <r>
      <rPr>
        <i val="true"/>
        <sz val="9"/>
        <color rgb="FF595959"/>
        <rFont val="맑은 고딕"/>
        <family val="0"/>
        <charset val="1"/>
      </rPr>
      <t xml:space="preserve">2026-07-25.</t>
    </r>
  </si>
  <si>
    <t xml:space="preserve">  ① 외부에서 확보해 워크북에 채운 데이터</t>
  </si>
  <si>
    <t xml:space="preserve">#</t>
  </si>
  <si>
    <t xml:space="preserve">데이터 항목</t>
  </si>
  <si>
    <t xml:space="preserve">구간</t>
  </si>
  <si>
    <t xml:space="preserve">들어간 시트</t>
  </si>
  <si>
    <r>
      <rPr>
        <sz val="10"/>
        <color rgb="FF000000"/>
        <rFont val="Noto Sans CJK SC"/>
        <family val="2"/>
      </rPr>
      <t xml:space="preserve">연간 매출액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</si>
  <si>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r>
      <rPr>
        <sz val="9"/>
        <color rgb="FF0000FF"/>
        <rFont val="맑은 고딕"/>
        <family val="0"/>
        <charset val="1"/>
      </rPr>
      <t xml:space="preserve">2018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</si>
  <si>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디일렉</t>
    </r>
    <r>
      <rPr>
        <sz val="9"/>
        <color rgb="FF000000"/>
        <rFont val="맑은 고딕"/>
        <family val="0"/>
        <charset val="1"/>
      </rPr>
      <t xml:space="preserve">(THE ELEC) 2019.03 </t>
    </r>
    <r>
      <rPr>
        <sz val="9"/>
        <color rgb="FF000000"/>
        <rFont val="Noto Sans CJK SC"/>
        <family val="2"/>
      </rPr>
      <t xml:space="preserve">기사</t>
    </r>
  </si>
  <si>
    <t xml:space="preserve">thelec.kr/news/articleView.html?idxno=19668</t>
  </si>
  <si>
    <r>
      <rPr>
        <sz val="9"/>
        <color rgb="FF595959"/>
        <rFont val="맑은 고딕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번</t>
    </r>
  </si>
  <si>
    <r>
      <rPr>
        <sz val="9"/>
        <color rgb="FF0000FF"/>
        <rFont val="맑은 고딕"/>
        <family val="0"/>
        <charset val="1"/>
      </rPr>
      <t xml:space="preserve">2019~2021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</si>
  <si>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디일렉</t>
    </r>
    <r>
      <rPr>
        <sz val="9"/>
        <color rgb="FF000000"/>
        <rFont val="맑은 고딕"/>
        <family val="0"/>
        <charset val="1"/>
      </rPr>
      <t xml:space="preserve">(THE ELEC) 2023.02.02 </t>
    </r>
    <r>
      <rPr>
        <sz val="9"/>
        <color rgb="FF000000"/>
        <rFont val="Noto Sans CJK SC"/>
        <family val="2"/>
      </rPr>
      <t xml:space="preserve">기사 — </t>
    </r>
    <r>
      <rPr>
        <sz val="9"/>
        <color rgb="FF000000"/>
        <rFont val="맑은 고딕"/>
        <family val="0"/>
        <charset val="1"/>
      </rPr>
      <t xml:space="preserve">2019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877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/20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2020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1,218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/181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2021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1,447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/375</t>
    </r>
    <r>
      <rPr>
        <sz val="9"/>
        <color rgb="FF000000"/>
        <rFont val="Noto Sans CJK SC"/>
        <family val="2"/>
      </rPr>
      <t xml:space="preserve">억</t>
    </r>
  </si>
  <si>
    <t xml:space="preserve">연간 매출액</t>
  </si>
  <si>
    <r>
      <rPr>
        <sz val="9"/>
        <color rgb="FF0000FF"/>
        <rFont val="맑은 고딕"/>
        <family val="0"/>
        <charset val="1"/>
      </rPr>
      <t xml:space="preserve">2022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</si>
  <si>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FY22 178.9</t>
    </r>
    <r>
      <rPr>
        <sz val="9"/>
        <color rgb="FF000000"/>
        <rFont val="Noto Sans CJK SC"/>
        <family val="2"/>
      </rPr>
      <t xml:space="preserve">십억원</t>
    </r>
  </si>
  <si>
    <t xml:space="preserve">m.imfnsec.com/upload/R_E08/2025/10/[13065339]_095340.pdf</t>
  </si>
  <si>
    <t xml:space="preserve">연간 영업이익</t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</si>
  <si>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</t>
    </r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영업이익증가율 </t>
    </r>
    <r>
      <rPr>
        <sz val="9"/>
        <color rgb="FF000000"/>
        <rFont val="맑은 고딕"/>
        <family val="0"/>
        <charset val="1"/>
      </rPr>
      <t xml:space="preserve">-80.86% </t>
    </r>
    <r>
      <rPr>
        <sz val="9"/>
        <color rgb="FF000000"/>
        <rFont val="Noto Sans CJK SC"/>
        <family val="2"/>
      </rPr>
      <t xml:space="preserve">역산 </t>
    </r>
    <r>
      <rPr>
        <sz val="9"/>
        <color rgb="FF000000"/>
        <rFont val="맑은 고딕"/>
        <family val="0"/>
        <charset val="1"/>
      </rPr>
      <t xml:space="preserve">(55.9). </t>
    </r>
    <r>
      <rPr>
        <sz val="9"/>
        <color rgb="FF000000"/>
        <rFont val="Noto Sans CJK SC"/>
        <family val="2"/>
      </rPr>
      <t xml:space="preserve">미래에셋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 표기 </t>
    </r>
    <r>
      <rPr>
        <sz val="9"/>
        <color rgb="FF000000"/>
        <rFont val="맑은 고딕"/>
        <family val="0"/>
        <charset val="1"/>
      </rPr>
      <t xml:space="preserve">56</t>
    </r>
    <r>
      <rPr>
        <sz val="9"/>
        <color rgb="FF000000"/>
        <rFont val="Noto Sans CJK SC"/>
        <family val="2"/>
      </rPr>
      <t xml:space="preserve">과 정합</t>
    </r>
  </si>
  <si>
    <t xml:space="preserve">본 리포트 추정재무제표</t>
  </si>
  <si>
    <r>
      <rPr>
        <sz val="10"/>
        <color rgb="FF000000"/>
        <rFont val="Noto Sans CJK SC"/>
        <family val="2"/>
      </rPr>
      <t xml:space="preserve">연간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 교차검증</t>
    </r>
  </si>
  <si>
    <r>
      <rPr>
        <sz val="9"/>
        <color rgb="FF0000FF"/>
        <rFont val="맑은 고딕"/>
        <family val="0"/>
        <charset val="1"/>
      </rPr>
      <t xml:space="preserve">2020~2024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</si>
  <si>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(122/145/179/140/174, 18/38/56/11/45)</t>
    </r>
  </si>
  <si>
    <t xml:space="preserve">securities.miraeasset.com/bbs/download/2142114.pdf</t>
  </si>
  <si>
    <r>
      <rPr>
        <sz val="10"/>
        <color rgb="FF000000"/>
        <rFont val="Noto Sans CJK SC"/>
        <family val="2"/>
      </rPr>
      <t xml:space="preserve">분기 매출액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</si>
  <si>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t xml:space="preserve">1Q23~4Q23</t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</si>
  <si>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및 </t>
    </r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두 리포트 수치 동일</t>
    </r>
    <r>
      <rPr>
        <sz val="9"/>
        <color rgb="FF000000"/>
        <rFont val="맑은 고딕"/>
        <family val="0"/>
        <charset val="1"/>
      </rPr>
      <t xml:space="preserve">). 3Q23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-8.0</t>
    </r>
    <r>
      <rPr>
        <sz val="9"/>
        <color rgb="FF000000"/>
        <rFont val="Noto Sans CJK SC"/>
        <family val="2"/>
      </rPr>
      <t xml:space="preserve">은 하나증권 도표</t>
    </r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맑은 고딕"/>
        <family val="0"/>
        <charset val="1"/>
      </rPr>
      <t xml:space="preserve">YoY -273%</t>
    </r>
    <r>
      <rPr>
        <sz val="9"/>
        <color rgb="FF000000"/>
        <rFont val="Noto Sans CJK SC"/>
        <family val="2"/>
      </rPr>
      <t xml:space="preserve">와 정확히 일치</t>
    </r>
  </si>
  <si>
    <r>
      <rPr>
        <sz val="9"/>
        <color rgb="FF595959"/>
        <rFont val="맑은 고딕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번</t>
    </r>
  </si>
  <si>
    <r>
      <rPr>
        <sz val="10"/>
        <color rgb="FF000000"/>
        <rFont val="Noto Sans CJK SC"/>
        <family val="2"/>
      </rPr>
      <t xml:space="preserve">분기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순이익</t>
    </r>
  </si>
  <si>
    <r>
      <rPr>
        <sz val="9"/>
        <color rgb="FF0000FF"/>
        <rFont val="맑은 고딕"/>
        <family val="0"/>
        <charset val="1"/>
      </rPr>
      <t xml:space="preserve">1Q26 </t>
    </r>
    <r>
      <rPr>
        <sz val="9"/>
        <color rgb="FF0000FF"/>
        <rFont val="Noto Sans CJK SC"/>
        <family val="2"/>
      </rPr>
      <t xml:space="preserve">확정</t>
    </r>
  </si>
  <si>
    <r>
      <rPr>
        <sz val="9"/>
        <color rgb="FF000000"/>
        <rFont val="Noto Sans CJK SC"/>
        <family val="2"/>
      </rPr>
      <t xml:space="preserve">연결재무제표기준영업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잠정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실적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공정공시</t>
    </r>
    <r>
      <rPr>
        <sz val="9"/>
        <color rgb="FF000000"/>
        <rFont val="맑은 고딕"/>
        <family val="0"/>
        <charset val="1"/>
      </rPr>
      <t xml:space="preserve">) 2026.04.27 —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683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236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순이익 </t>
    </r>
    <r>
      <rPr>
        <sz val="9"/>
        <color rgb="FF000000"/>
        <rFont val="맑은 고딕"/>
        <family val="0"/>
        <charset val="1"/>
      </rPr>
      <t xml:space="preserve">206</t>
    </r>
    <r>
      <rPr>
        <sz val="9"/>
        <color rgb="FF000000"/>
        <rFont val="Noto Sans CJK SC"/>
        <family val="2"/>
      </rPr>
      <t xml:space="preserve">억</t>
    </r>
  </si>
  <si>
    <t xml:space="preserve">1Q22~2Q26</t>
  </si>
  <si>
    <r>
      <rPr>
        <sz val="9"/>
        <color rgb="FF000000"/>
        <rFont val="맑은 고딕"/>
        <family val="0"/>
        <charset val="1"/>
      </rPr>
      <t xml:space="preserve">stockanalysis.com </t>
    </r>
    <r>
      <rPr>
        <sz val="9"/>
        <color rgb="FF000000"/>
        <rFont val="Noto Sans CJK SC"/>
        <family val="2"/>
      </rPr>
      <t xml:space="preserve">분기 시가총액 </t>
    </r>
    <r>
      <rPr>
        <sz val="9"/>
        <color rgb="FF000000"/>
        <rFont val="맑은 고딕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주식수 역산</t>
    </r>
    <r>
      <rPr>
        <sz val="9"/>
        <color rgb="FF000000"/>
        <rFont val="맑은 고딕"/>
        <family val="0"/>
        <charset val="1"/>
      </rPr>
      <t xml:space="preserve">. MarketScreener </t>
    </r>
    <r>
      <rPr>
        <sz val="9"/>
        <color rgb="FF000000"/>
        <rFont val="Noto Sans CJK SC"/>
        <family val="2"/>
      </rPr>
      <t xml:space="preserve">연말 무수정 종가</t>
    </r>
    <r>
      <rPr>
        <sz val="9"/>
        <color rgb="FF000000"/>
        <rFont val="맑은 고딕"/>
        <family val="0"/>
        <charset val="1"/>
      </rPr>
      <t xml:space="preserve">(35,350 / 31,350 / 80,300 / 72,100)</t>
    </r>
    <r>
      <rPr>
        <sz val="9"/>
        <color rgb="FF000000"/>
        <rFont val="Noto Sans CJK SC"/>
        <family val="2"/>
      </rPr>
      <t xml:space="preserve">와 정확히 일치하고 전 분기가 호가단위에 떨어짐</t>
    </r>
  </si>
  <si>
    <r>
      <rPr>
        <sz val="9"/>
        <color rgb="FF595959"/>
        <rFont val="맑은 고딕"/>
        <family val="0"/>
        <charset val="1"/>
      </rPr>
      <t xml:space="preserve">06·14</t>
    </r>
    <r>
      <rPr>
        <sz val="9"/>
        <color rgb="FF595959"/>
        <rFont val="Noto Sans CJK SC"/>
        <family val="2"/>
      </rPr>
      <t xml:space="preserve">번</t>
    </r>
  </si>
  <si>
    <t xml:space="preserve">상장주식수 이력</t>
  </si>
  <si>
    <r>
      <rPr>
        <sz val="9"/>
        <color rgb="FF0000FF"/>
        <rFont val="맑은 고딕"/>
        <family val="0"/>
        <charset val="1"/>
      </rPr>
      <t xml:space="preserve">2022~2026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</si>
  <si>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월 유상증자 신주 </t>
    </r>
    <r>
      <rPr>
        <sz val="9"/>
        <color rgb="FF000000"/>
        <rFont val="맑은 고딕"/>
        <family val="0"/>
        <charset val="1"/>
      </rPr>
      <t xml:space="preserve">3,797,587</t>
    </r>
    <r>
      <rPr>
        <sz val="9"/>
        <color rgb="FF000000"/>
        <rFont val="Noto Sans CJK SC"/>
        <family val="2"/>
      </rPr>
      <t xml:space="preserve">주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발행가 </t>
    </r>
    <r>
      <rPr>
        <sz val="9"/>
        <color rgb="FF000000"/>
        <rFont val="맑은 고딕"/>
        <family val="0"/>
        <charset val="1"/>
      </rPr>
      <t xml:space="preserve">52,665</t>
    </r>
    <r>
      <rPr>
        <sz val="9"/>
        <color rgb="FF000000"/>
        <rFont val="Noto Sans CJK SC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) — </t>
    </r>
    <r>
      <rPr>
        <sz val="9"/>
        <color rgb="FF000000"/>
        <rFont val="Noto Sans CJK SC"/>
        <family val="2"/>
      </rPr>
      <t xml:space="preserve">증자 전 </t>
    </r>
    <r>
      <rPr>
        <sz val="9"/>
        <color rgb="FF000000"/>
        <rFont val="맑은 고딕"/>
        <family val="0"/>
        <charset val="1"/>
      </rPr>
      <t xml:space="preserve">17,339,471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후 </t>
    </r>
    <r>
      <rPr>
        <sz val="9"/>
        <color rgb="FF000000"/>
        <rFont val="맑은 고딕"/>
        <family val="0"/>
        <charset val="1"/>
      </rPr>
      <t xml:space="preserve">21,137,058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21,197,058</t>
    </r>
    <r>
      <rPr>
        <sz val="9"/>
        <color rgb="FF000000"/>
        <rFont val="Noto Sans CJK SC"/>
        <family val="2"/>
      </rPr>
      <t xml:space="preserve">주</t>
    </r>
  </si>
  <si>
    <r>
      <rPr>
        <sz val="9"/>
        <color rgb="FF595959"/>
        <rFont val="맑은 고딕"/>
        <family val="0"/>
        <charset val="1"/>
      </rPr>
      <t xml:space="preserve">SK</t>
    </r>
    <r>
      <rPr>
        <sz val="9"/>
        <color rgb="FF595959"/>
        <rFont val="Noto Sans CJK SC"/>
        <family val="2"/>
      </rPr>
      <t xml:space="preserve">증권 </t>
    </r>
    <r>
      <rPr>
        <sz val="9"/>
        <color rgb="FF595959"/>
        <rFont val="맑은 고딕"/>
        <family val="0"/>
        <charset val="1"/>
      </rPr>
      <t xml:space="preserve">2023.07.10 </t>
    </r>
    <r>
      <rPr>
        <sz val="9"/>
        <color rgb="FF595959"/>
        <rFont val="Noto Sans CJK SC"/>
        <family val="2"/>
      </rPr>
      <t xml:space="preserve">리포트</t>
    </r>
    <r>
      <rPr>
        <sz val="9"/>
        <color rgb="FF595959"/>
        <rFont val="맑은 고딕"/>
        <family val="0"/>
        <charset val="1"/>
      </rPr>
      <t xml:space="preserve">, wisereport </t>
    </r>
    <r>
      <rPr>
        <sz val="9"/>
        <color rgb="FF595959"/>
        <rFont val="Noto Sans CJK SC"/>
        <family val="2"/>
      </rPr>
      <t xml:space="preserve">기업현황</t>
    </r>
  </si>
  <si>
    <r>
      <rPr>
        <sz val="10"/>
        <color rgb="FF000000"/>
        <rFont val="Noto Sans CJK SC"/>
        <family val="2"/>
      </rPr>
      <t xml:space="preserve">분기 </t>
    </r>
    <r>
      <rPr>
        <sz val="10"/>
        <color rgb="FF000000"/>
        <rFont val="맑은 고딕"/>
        <family val="0"/>
        <charset val="1"/>
      </rPr>
      <t xml:space="preserve">Memory / Non-Memory </t>
    </r>
    <r>
      <rPr>
        <sz val="10"/>
        <color rgb="FF000000"/>
        <rFont val="Noto Sans CJK SC"/>
        <family val="2"/>
      </rPr>
      <t xml:space="preserve">매출</t>
    </r>
  </si>
  <si>
    <t xml:space="preserve">1Q23~4Q25E</t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</si>
  <si>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Memory + Non-Memory + Non Socket = </t>
    </r>
    <r>
      <rPr>
        <sz val="9"/>
        <color rgb="FF000000"/>
        <rFont val="Noto Sans CJK SC"/>
        <family val="2"/>
      </rPr>
      <t xml:space="preserve">총매출 검산 일치</t>
    </r>
  </si>
  <si>
    <r>
      <rPr>
        <sz val="9"/>
        <color rgb="FF595959"/>
        <rFont val="맑은 고딕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번</t>
    </r>
  </si>
  <si>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연간 </t>
    </r>
    <r>
      <rPr>
        <sz val="10"/>
        <color rgb="FF000000"/>
        <rFont val="맑은 고딕"/>
        <family val="0"/>
        <charset val="1"/>
      </rPr>
      <t xml:space="preserve">Non Socket </t>
    </r>
    <r>
      <rPr>
        <sz val="10"/>
        <color rgb="FF000000"/>
        <rFont val="Noto Sans CJK SC"/>
        <family val="2"/>
      </rPr>
      <t xml:space="preserve">매출</t>
    </r>
  </si>
  <si>
    <t xml:space="preserve">1Q23~4Q25E, FY22~FY26E</t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</si>
  <si>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도표 </t>
    </r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맑은 고딕"/>
        <family val="0"/>
        <charset val="1"/>
      </rPr>
      <t xml:space="preserve">Socket / Non-socket </t>
    </r>
    <r>
      <rPr>
        <sz val="9"/>
        <color rgb="FF000000"/>
        <rFont val="Noto Sans CJK SC"/>
        <family val="2"/>
      </rPr>
      <t xml:space="preserve">구분에 해당</t>
    </r>
  </si>
  <si>
    <r>
      <rPr>
        <sz val="9"/>
        <color rgb="FF595959"/>
        <rFont val="맑은 고딕"/>
        <family val="0"/>
        <charset val="1"/>
      </rPr>
      <t xml:space="preserve">17</t>
    </r>
    <r>
      <rPr>
        <sz val="9"/>
        <color rgb="FF595959"/>
        <rFont val="Noto Sans CJK SC"/>
        <family val="2"/>
      </rPr>
      <t xml:space="preserve">번</t>
    </r>
  </si>
  <si>
    <r>
      <rPr>
        <sz val="10"/>
        <color rgb="FF000000"/>
        <rFont val="Noto Sans CJK SC"/>
        <family val="2"/>
      </rPr>
      <t xml:space="preserve">분기 </t>
    </r>
    <r>
      <rPr>
        <sz val="10"/>
        <color rgb="FF000000"/>
        <rFont val="맑은 고딕"/>
        <family val="0"/>
        <charset val="1"/>
      </rPr>
      <t xml:space="preserve">AI / 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</t>
    </r>
  </si>
  <si>
    <t xml:space="preserve">1Q24·3Q24·4Q24·2Q25·3Q25</t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</si>
  <si>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AI + </t>
    </r>
    <r>
      <rPr>
        <sz val="9"/>
        <color rgb="FF000000"/>
        <rFont val="Noto Sans CJK SC"/>
        <family val="2"/>
      </rPr>
      <t xml:space="preserve">비</t>
    </r>
    <r>
      <rPr>
        <sz val="9"/>
        <color rgb="FF000000"/>
        <rFont val="맑은 고딕"/>
        <family val="0"/>
        <charset val="1"/>
      </rPr>
      <t xml:space="preserve">AI = </t>
    </r>
    <r>
      <rPr>
        <sz val="9"/>
        <color rgb="FF000000"/>
        <rFont val="Noto Sans CJK SC"/>
        <family val="2"/>
      </rPr>
      <t xml:space="preserve">총매출 검산 일치</t>
    </r>
  </si>
  <si>
    <r>
      <rPr>
        <sz val="10"/>
        <color rgb="FF000000"/>
        <rFont val="맑은 고딕"/>
        <family val="0"/>
        <charset val="1"/>
      </rPr>
      <t xml:space="preserve">1Q26 </t>
    </r>
    <r>
      <rPr>
        <sz val="10"/>
        <color rgb="FF000000"/>
        <rFont val="Noto Sans CJK SC"/>
        <family val="2"/>
      </rPr>
      <t xml:space="preserve">실적 교차검증</t>
    </r>
  </si>
  <si>
    <r>
      <rPr>
        <sz val="9"/>
        <color rgb="FF000000"/>
        <rFont val="맑은 고딕"/>
        <family val="0"/>
        <charset val="1"/>
      </rPr>
      <t xml:space="preserve">GoInsider </t>
    </r>
    <r>
      <rPr>
        <sz val="9"/>
        <color rgb="FF000000"/>
        <rFont val="Noto Sans CJK SC"/>
        <family val="2"/>
      </rPr>
      <t xml:space="preserve">종목 페이지 </t>
    </r>
    <r>
      <rPr>
        <sz val="9"/>
        <color rgb="FF000000"/>
        <rFont val="맑은 고딕"/>
        <family val="0"/>
        <charset val="1"/>
      </rPr>
      <t xml:space="preserve">(DART </t>
    </r>
    <r>
      <rPr>
        <sz val="9"/>
        <color rgb="FF000000"/>
        <rFont val="Noto Sans CJK SC"/>
        <family val="2"/>
      </rPr>
      <t xml:space="preserve">잠정실적 공시 인용</t>
    </r>
    <r>
      <rPr>
        <sz val="9"/>
        <color rgb="FF000000"/>
        <rFont val="맑은 고딕"/>
        <family val="0"/>
        <charset val="1"/>
      </rPr>
      <t xml:space="preserve">). QoQ -5.6%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맑은 고딕"/>
        <family val="0"/>
        <charset val="1"/>
      </rPr>
      <t xml:space="preserve">68.3/72.3-1</t>
    </r>
    <r>
      <rPr>
        <sz val="9"/>
        <color rgb="FF000000"/>
        <rFont val="Noto Sans CJK SC"/>
        <family val="2"/>
      </rPr>
      <t xml:space="preserve">과 일치</t>
    </r>
  </si>
  <si>
    <t xml:space="preserve">goinsider.kr/stock/00572905</t>
  </si>
  <si>
    <t xml:space="preserve">  ② 확보하지 못한 데이터와 이유</t>
  </si>
  <si>
    <t xml:space="preserve">왜 못 채웠는지</t>
  </si>
  <si>
    <t xml:space="preserve">채우는 방법</t>
  </si>
  <si>
    <t xml:space="preserve">1Q19~4Q22</t>
  </si>
  <si>
    <r>
      <rPr>
        <sz val="9"/>
        <color rgb="FF000000"/>
        <rFont val="Noto Sans CJK SC"/>
        <family val="2"/>
      </rPr>
      <t xml:space="preserve">무료로 열람 가능한 리서치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집계 사이트가 </t>
    </r>
    <r>
      <rPr>
        <sz val="9"/>
        <color rgb="FF000000"/>
        <rFont val="맑은 고딕"/>
        <family val="0"/>
        <charset val="1"/>
      </rPr>
      <t xml:space="preserve">1Q23</t>
    </r>
    <r>
      <rPr>
        <sz val="9"/>
        <color rgb="FF000000"/>
        <rFont val="Noto Sans CJK SC"/>
        <family val="2"/>
      </rPr>
      <t xml:space="preserve">부터만 분기 시계열을 제공합니다</t>
    </r>
    <r>
      <rPr>
        <sz val="9"/>
        <color rgb="FF000000"/>
        <rFont val="맑은 고딕"/>
        <family val="0"/>
        <charset val="1"/>
      </rPr>
      <t xml:space="preserve">. stockanalysis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맑은 고딕"/>
        <family val="0"/>
        <charset val="1"/>
      </rPr>
      <t xml:space="preserve">2020</t>
    </r>
    <r>
      <rPr>
        <sz val="9"/>
        <color rgb="FF000000"/>
        <rFont val="Noto Sans CJK SC"/>
        <family val="2"/>
      </rPr>
      <t xml:space="preserve">년 이전을 유료 구간으로 막아 두었습니다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</si>
  <si>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DART </t>
    </r>
    <r>
      <rPr>
        <sz val="9"/>
        <color rgb="FF000000"/>
        <rFont val="Noto Sans CJK SC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반기보고서를 열어 누적 수치를 차분하거나</t>
    </r>
    <r>
      <rPr>
        <sz val="9"/>
        <color rgb="FF000000"/>
        <rFont val="맑은 고딕"/>
        <family val="0"/>
        <charset val="1"/>
      </rPr>
      <t xml:space="preserve">, DART Open API </t>
    </r>
    <r>
      <rPr>
        <sz val="9"/>
        <color rgb="FF000000"/>
        <rFont val="Noto Sans CJK SC"/>
        <family val="2"/>
      </rPr>
      <t xml:space="preserve">키로 </t>
    </r>
    <r>
      <rPr>
        <sz val="9"/>
        <color rgb="FF000000"/>
        <rFont val="맑은 고딕"/>
        <family val="0"/>
        <charset val="1"/>
      </rPr>
      <t xml:space="preserve">fnlttSinglAcnt</t>
    </r>
    <r>
      <rPr>
        <sz val="9"/>
        <color rgb="FF000000"/>
        <rFont val="Noto Sans CJK SC"/>
        <family val="2"/>
      </rPr>
      <t xml:space="preserve">를 호출</t>
    </r>
  </si>
  <si>
    <t xml:space="preserve">어플리케이션별 매출</t>
  </si>
  <si>
    <t xml:space="preserve">1Q21~4Q23</t>
  </si>
  <si>
    <r>
      <rPr>
        <sz val="9"/>
        <color rgb="FF000000"/>
        <rFont val="Noto Sans CJK SC"/>
        <family val="2"/>
      </rPr>
      <t xml:space="preserve">데이터센터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스마트폰 같은 구분은 하나증권 자체 분류로 공시 항목이 아닙니다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과거 하나증권 리포트에 표로 실려 있을 수 있으나 </t>
    </r>
    <r>
      <rPr>
        <sz val="9"/>
        <color rgb="FF000000"/>
        <rFont val="맑은 고딕"/>
        <family val="0"/>
        <charset val="1"/>
      </rPr>
      <t xml:space="preserve">hanaw.com</t>
    </r>
    <r>
      <rPr>
        <sz val="9"/>
        <color rgb="FF000000"/>
        <rFont val="Noto Sans CJK SC"/>
        <family val="2"/>
      </rPr>
      <t xml:space="preserve">이 </t>
    </r>
    <r>
      <rPr>
        <sz val="9"/>
        <color rgb="FF000000"/>
        <rFont val="맑은 고딕"/>
        <family val="0"/>
        <charset val="1"/>
      </rPr>
      <t xml:space="preserve">robots.txt</t>
    </r>
    <r>
      <rPr>
        <sz val="9"/>
        <color rgb="FF000000"/>
        <rFont val="Noto Sans CJK SC"/>
        <family val="2"/>
      </rPr>
      <t xml:space="preserve">로 자동 수집을 막고 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</si>
  <si>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하나증권 과거 </t>
    </r>
    <r>
      <rPr>
        <sz val="9"/>
        <color rgb="FF000000"/>
        <rFont val="맑은 고딕"/>
        <family val="0"/>
        <charset val="1"/>
      </rPr>
      <t xml:space="preserve">ISC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(2025.05.21, 2025.11.26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직접 내려받아 도표를 확인</t>
    </r>
  </si>
  <si>
    <r>
      <rPr>
        <sz val="10"/>
        <color rgb="FF000000"/>
        <rFont val="맑은 고딕"/>
        <family val="0"/>
        <charset val="1"/>
      </rPr>
      <t xml:space="preserve">Socket / Non-socket </t>
    </r>
    <r>
      <rPr>
        <sz val="10"/>
        <color rgb="FF000000"/>
        <rFont val="Noto Sans CJK SC"/>
        <family val="2"/>
      </rPr>
      <t xml:space="preserve">매출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</si>
  <si>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리포트가 </t>
    </r>
    <r>
      <rPr>
        <sz val="9"/>
        <color rgb="FF000000"/>
        <rFont val="맑은 고딕"/>
        <family val="0"/>
        <charset val="1"/>
      </rPr>
      <t xml:space="preserve">1Q23</t>
    </r>
    <r>
      <rPr>
        <sz val="9"/>
        <color rgb="FF000000"/>
        <rFont val="Noto Sans CJK SC"/>
        <family val="2"/>
      </rPr>
      <t xml:space="preserve">부터만 제공합니다</t>
    </r>
    <r>
      <rPr>
        <sz val="9"/>
        <color rgb="FF000000"/>
        <rFont val="맑은 고딕"/>
        <family val="0"/>
        <charset val="1"/>
      </rPr>
      <t xml:space="preserve">. FY22 Non Socket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0.0</t>
    </r>
    <r>
      <rPr>
        <sz val="9"/>
        <color rgb="FF000000"/>
        <rFont val="Noto Sans CJK SC"/>
        <family val="2"/>
      </rPr>
      <t xml:space="preserve">으로 표기되어 있어 그 이전에는 비소켓 매출이 사실상 없었던 것으로 보입니다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</si>
  <si>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DART </t>
    </r>
    <r>
      <rPr>
        <sz val="9"/>
        <color rgb="FF000000"/>
        <rFont val="Noto Sans CJK SC"/>
        <family val="2"/>
      </rPr>
      <t xml:space="preserve">사업보고서 「</t>
    </r>
    <r>
      <rPr>
        <sz val="9"/>
        <color rgb="FF000000"/>
        <rFont val="맑은 고딕"/>
        <family val="0"/>
        <charset val="1"/>
      </rPr>
      <t xml:space="preserve">II. </t>
    </r>
    <r>
      <rPr>
        <sz val="9"/>
        <color rgb="FF000000"/>
        <rFont val="Noto Sans CJK SC"/>
        <family val="2"/>
      </rPr>
      <t xml:space="preserve">사업의 내용 </t>
    </r>
    <r>
      <rPr>
        <sz val="9"/>
        <color rgb="FF000000"/>
        <rFont val="맑은 고딕"/>
        <family val="0"/>
        <charset val="1"/>
      </rPr>
      <t xml:space="preserve">&gt; 4. </t>
    </r>
    <r>
      <rPr>
        <sz val="9"/>
        <color rgb="FF000000"/>
        <rFont val="Noto Sans CJK SC"/>
        <family val="2"/>
      </rPr>
      <t xml:space="preserve">매출 및 수주상황」의 품목별 매출</t>
    </r>
  </si>
  <si>
    <r>
      <rPr>
        <sz val="10"/>
        <color rgb="FF000000"/>
        <rFont val="Noto Sans CJK SC"/>
        <family val="2"/>
      </rPr>
      <t xml:space="preserve">월별 주가 및 </t>
    </r>
    <r>
      <rPr>
        <sz val="10"/>
        <color rgb="FF000000"/>
        <rFont val="맑은 고딕"/>
        <family val="0"/>
        <charset val="1"/>
      </rPr>
      <t xml:space="preserve">KOSDAQ </t>
    </r>
    <r>
      <rPr>
        <sz val="10"/>
        <color rgb="FF000000"/>
        <rFont val="Noto Sans CJK SC"/>
        <family val="2"/>
      </rPr>
      <t xml:space="preserve">상대지수</t>
    </r>
  </si>
  <si>
    <t xml:space="preserve">25.1~26.1</t>
  </si>
  <si>
    <r>
      <rPr>
        <sz val="9"/>
        <color rgb="FF000000"/>
        <rFont val="Noto Sans CJK SC"/>
        <family val="2"/>
      </rPr>
      <t xml:space="preserve">월별 시세를 제공하는 사이트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네이버금융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야후파이낸스</t>
    </r>
    <r>
      <rPr>
        <sz val="9"/>
        <color rgb="FF000000"/>
        <rFont val="맑은 고딕"/>
        <family val="0"/>
        <charset val="1"/>
      </rPr>
      <t xml:space="preserve">, stooq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가 모두 자동 수집을 차단하고 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</si>
  <si>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KRX </t>
    </r>
    <r>
      <rPr>
        <sz val="9"/>
        <color rgb="FF000000"/>
        <rFont val="Noto Sans CJK SC"/>
        <family val="2"/>
      </rPr>
      <t xml:space="preserve">정보데이터시스템에서 일별 시세를 내려받아 월말 종가만 추출</t>
    </r>
  </si>
  <si>
    <r>
      <rPr>
        <sz val="10"/>
        <color rgb="FF000000"/>
        <rFont val="맑은 고딕"/>
        <family val="0"/>
        <charset val="1"/>
      </rPr>
      <t xml:space="preserve">2020~2021</t>
    </r>
    <r>
      <rPr>
        <sz val="10"/>
        <color rgb="FF000000"/>
        <rFont val="Noto Sans CJK SC"/>
        <family val="2"/>
      </rPr>
      <t xml:space="preserve">년 상장주식수</t>
    </r>
  </si>
  <si>
    <r>
      <rPr>
        <sz val="9"/>
        <color rgb="FF595959"/>
        <rFont val="맑은 고딕"/>
        <family val="0"/>
        <charset val="1"/>
      </rPr>
      <t xml:space="preserve">2020~2021</t>
    </r>
    <r>
      <rPr>
        <sz val="9"/>
        <color rgb="FF595959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</si>
  <si>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증자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자기주식 이력을 확인할 수 있는 무료 출처를 찾지 못했습니다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</si>
  <si>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DART </t>
    </r>
    <r>
      <rPr>
        <sz val="9"/>
        <color rgb="FF000000"/>
        <rFont val="Noto Sans CJK SC"/>
        <family val="2"/>
      </rPr>
      <t xml:space="preserve">사업보고서 「주식의 총수」 항목</t>
    </r>
  </si>
  <si>
    <r>
      <rPr>
        <b val="true"/>
        <sz val="10"/>
        <color rgb="FF1F6E6A"/>
        <rFont val="맑은 고딕"/>
        <family val="0"/>
        <charset val="1"/>
      </rPr>
      <t xml:space="preserve">  ③ ISC</t>
    </r>
    <r>
      <rPr>
        <b val="true"/>
        <sz val="10"/>
        <color rgb="FF1F6E6A"/>
        <rFont val="Noto Sans CJK SC"/>
        <family val="2"/>
      </rPr>
      <t xml:space="preserve">의 </t>
    </r>
    <r>
      <rPr>
        <b val="true"/>
        <sz val="10"/>
        <color rgb="FF1F6E6A"/>
        <rFont val="맑은 고딕"/>
        <family val="0"/>
        <charset val="1"/>
      </rPr>
      <t xml:space="preserve">DART </t>
    </r>
    <r>
      <rPr>
        <b val="true"/>
        <sz val="10"/>
        <color rgb="FF1F6E6A"/>
        <rFont val="Noto Sans CJK SC"/>
        <family val="2"/>
      </rPr>
      <t xml:space="preserve">공시 정보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직접 열어볼 때 참고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</si>
  <si>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DART </t>
    </r>
    <r>
      <rPr>
        <b val="true"/>
        <sz val="10"/>
        <color rgb="FF000000"/>
        <rFont val="Noto Sans CJK SC"/>
        <family val="2"/>
      </rPr>
      <t xml:space="preserve">고유번호</t>
    </r>
  </si>
  <si>
    <t xml:space="preserve">00572905</t>
  </si>
  <si>
    <r>
      <rPr>
        <sz val="9"/>
        <color rgb="FF595959"/>
        <rFont val="Noto Sans CJK SC"/>
        <family val="2"/>
      </rPr>
      <t xml:space="preserve">공시통합검색</t>
    </r>
    <r>
      <rPr>
        <sz val="9"/>
        <color rgb="FF595959"/>
        <rFont val="맑은 고딕"/>
        <family val="0"/>
        <charset val="1"/>
      </rPr>
      <t xml:space="preserve">·Open API</t>
    </r>
    <r>
      <rPr>
        <sz val="9"/>
        <color rgb="FF595959"/>
        <rFont val="Noto Sans CJK SC"/>
        <family val="2"/>
      </rPr>
      <t xml:space="preserve">에서 </t>
    </r>
    <r>
      <rPr>
        <sz val="9"/>
        <color rgb="FF595959"/>
        <rFont val="맑은 고딕"/>
        <family val="0"/>
        <charset val="1"/>
      </rPr>
      <t xml:space="preserve">ISC</t>
    </r>
    <r>
      <rPr>
        <sz val="9"/>
        <color rgb="FF595959"/>
        <rFont val="Noto Sans CJK SC"/>
        <family val="2"/>
      </rPr>
      <t xml:space="preserve">를 지정할 때 쓰는 번호</t>
    </r>
  </si>
  <si>
    <r>
      <rPr>
        <sz val="9"/>
        <color rgb="FF595959"/>
        <rFont val="맑은 고딕"/>
        <family val="0"/>
        <charset val="1"/>
      </rPr>
      <t xml:space="preserve">KOSDAQ </t>
    </r>
    <r>
      <rPr>
        <sz val="9"/>
        <color rgb="FF595959"/>
        <rFont val="Noto Sans CJK SC"/>
        <family val="2"/>
      </rPr>
      <t xml:space="preserve">상장</t>
    </r>
  </si>
  <si>
    <r>
      <rPr>
        <b val="true"/>
        <sz val="10"/>
        <color rgb="FF000000"/>
        <rFont val="Noto Sans CJK SC"/>
        <family val="2"/>
      </rPr>
      <t xml:space="preserve">사업보고서 </t>
    </r>
    <r>
      <rPr>
        <b val="true"/>
        <sz val="10"/>
        <color rgb="FF000000"/>
        <rFont val="맑은 고딕"/>
        <family val="0"/>
        <charset val="1"/>
      </rPr>
      <t xml:space="preserve">(2025.12)</t>
    </r>
  </si>
  <si>
    <t xml:space="preserve">20260318000018</t>
  </si>
  <si>
    <r>
      <rPr>
        <sz val="9"/>
        <color rgb="FF595959"/>
        <rFont val="Noto Sans CJK SC"/>
        <family val="2"/>
      </rPr>
      <t xml:space="preserve">품목별 매출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주식의 총수 등 연간 확정 정보</t>
    </r>
  </si>
  <si>
    <r>
      <rPr>
        <b val="true"/>
        <sz val="10"/>
        <color rgb="FF000000"/>
        <rFont val="Noto Sans CJK SC"/>
        <family val="2"/>
      </rPr>
      <t xml:space="preserve">분기보고서 </t>
    </r>
    <r>
      <rPr>
        <b val="true"/>
        <sz val="10"/>
        <color rgb="FF000000"/>
        <rFont val="맑은 고딕"/>
        <family val="0"/>
        <charset val="1"/>
      </rPr>
      <t xml:space="preserve">(2026.03)</t>
    </r>
  </si>
  <si>
    <t xml:space="preserve">20260515000092</t>
  </si>
  <si>
    <r>
      <rPr>
        <sz val="9"/>
        <color rgb="FF595959"/>
        <rFont val="맑은 고딕"/>
        <family val="0"/>
        <charset val="1"/>
      </rPr>
      <t xml:space="preserve">1Q26 </t>
    </r>
    <r>
      <rPr>
        <sz val="9"/>
        <color rgb="FF595959"/>
        <rFont val="Noto Sans CJK SC"/>
        <family val="2"/>
      </rPr>
      <t xml:space="preserve">재무제표</t>
    </r>
  </si>
  <si>
    <r>
      <rPr>
        <b val="true"/>
        <sz val="10"/>
        <color rgb="FF000000"/>
        <rFont val="Noto Sans CJK SC"/>
        <family val="2"/>
      </rPr>
      <t xml:space="preserve">연결영업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잠정</t>
    </r>
    <r>
      <rPr>
        <b val="true"/>
        <sz val="10"/>
        <color rgb="FF000000"/>
        <rFont val="맑은 고딕"/>
        <family val="0"/>
        <charset val="1"/>
      </rPr>
      <t xml:space="preserve">)</t>
    </r>
    <r>
      <rPr>
        <b val="true"/>
        <sz val="10"/>
        <color rgb="FF000000"/>
        <rFont val="Noto Sans CJK SC"/>
        <family val="2"/>
      </rPr>
      <t xml:space="preserve">실적 </t>
    </r>
    <r>
      <rPr>
        <b val="true"/>
        <sz val="10"/>
        <color rgb="FF000000"/>
        <rFont val="맑은 고딕"/>
        <family val="0"/>
        <charset val="1"/>
      </rPr>
      <t xml:space="preserve">(2026.04.27)</t>
    </r>
  </si>
  <si>
    <t xml:space="preserve">20260427900108</t>
  </si>
  <si>
    <r>
      <rPr>
        <sz val="9"/>
        <color rgb="FF595959"/>
        <rFont val="맑은 고딕"/>
        <family val="0"/>
        <charset val="1"/>
      </rPr>
      <t xml:space="preserve">1Q26 </t>
    </r>
    <r>
      <rPr>
        <sz val="9"/>
        <color rgb="FF595959"/>
        <rFont val="Noto Sans CJK SC"/>
        <family val="2"/>
      </rPr>
      <t xml:space="preserve">매출 </t>
    </r>
    <r>
      <rPr>
        <sz val="9"/>
        <color rgb="FF595959"/>
        <rFont val="맑은 고딕"/>
        <family val="0"/>
        <charset val="1"/>
      </rPr>
      <t xml:space="preserve">683</t>
    </r>
    <r>
      <rPr>
        <sz val="9"/>
        <color rgb="FF595959"/>
        <rFont val="Noto Sans CJK SC"/>
        <family val="2"/>
      </rPr>
      <t xml:space="preserve">억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236</t>
    </r>
    <r>
      <rPr>
        <sz val="9"/>
        <color rgb="FF595959"/>
        <rFont val="Noto Sans CJK SC"/>
        <family val="2"/>
      </rPr>
      <t xml:space="preserve">억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순이익 </t>
    </r>
    <r>
      <rPr>
        <sz val="9"/>
        <color rgb="FF595959"/>
        <rFont val="맑은 고딕"/>
        <family val="0"/>
        <charset val="1"/>
      </rPr>
      <t xml:space="preserve">206</t>
    </r>
    <r>
      <rPr>
        <sz val="9"/>
        <color rgb="FF595959"/>
        <rFont val="Noto Sans CJK SC"/>
        <family val="2"/>
      </rPr>
      <t xml:space="preserve">억</t>
    </r>
  </si>
  <si>
    <r>
      <rPr>
        <b val="true"/>
        <sz val="10"/>
        <color rgb="FF000000"/>
        <rFont val="Noto Sans CJK SC"/>
        <family val="2"/>
      </rPr>
      <t xml:space="preserve">보고서 열람 </t>
    </r>
    <r>
      <rPr>
        <b val="true"/>
        <sz val="10"/>
        <color rgb="FF000000"/>
        <rFont val="맑은 고딕"/>
        <family val="0"/>
        <charset val="1"/>
      </rPr>
      <t xml:space="preserve">URL </t>
    </r>
    <r>
      <rPr>
        <b val="true"/>
        <sz val="10"/>
        <color rgb="FF000000"/>
        <rFont val="Noto Sans CJK SC"/>
        <family val="2"/>
      </rPr>
      <t xml:space="preserve">형식</t>
    </r>
  </si>
  <si>
    <r>
      <rPr>
        <sz val="10"/>
        <color rgb="FF0000FF"/>
        <rFont val="맑은 고딕"/>
        <family val="0"/>
        <charset val="1"/>
      </rPr>
      <t xml:space="preserve">dart.fss.or.kr/dsaf001/main.do?rcpNo=(</t>
    </r>
    <r>
      <rPr>
        <sz val="10"/>
        <color rgb="FF0000FF"/>
        <rFont val="Noto Sans CJK SC"/>
        <family val="2"/>
      </rPr>
      <t xml:space="preserve">접수번호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</si>
  <si>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브라우저로는 열리지만 이 작업에서는 </t>
    </r>
    <r>
      <rPr>
        <sz val="9"/>
        <color rgb="FF595959"/>
        <rFont val="맑은 고딕"/>
        <family val="0"/>
        <charset val="1"/>
      </rPr>
      <t xml:space="preserve">robots.txt </t>
    </r>
    <r>
      <rPr>
        <sz val="9"/>
        <color rgb="FF595959"/>
        <rFont val="Noto Sans CJK SC"/>
        <family val="2"/>
      </rPr>
      <t xml:space="preserve">때문에 자동 수집하지 않았습니다</t>
    </r>
  </si>
  <si>
    <r>
      <rPr>
        <b val="true"/>
        <sz val="10"/>
        <color rgb="FF1F6E6A"/>
        <rFont val="맑은 고딕"/>
        <family val="0"/>
        <charset val="1"/>
      </rPr>
      <t xml:space="preserve">  ④ Forward EPS </t>
    </r>
    <r>
      <rPr>
        <b val="true"/>
        <sz val="10"/>
        <color rgb="FF1F6E6A"/>
        <rFont val="Noto Sans CJK SC"/>
        <family val="2"/>
      </rPr>
      <t xml:space="preserve">분기 수치의 출처 — </t>
    </r>
    <r>
      <rPr>
        <b val="true"/>
        <sz val="10"/>
        <color rgb="FF1F6E6A"/>
        <rFont val="맑은 고딕"/>
        <family val="0"/>
        <charset val="1"/>
      </rPr>
      <t xml:space="preserve">DART </t>
    </r>
    <r>
      <rPr>
        <b val="true"/>
        <sz val="10"/>
        <color rgb="FF1F6E6A"/>
        <rFont val="Noto Sans CJK SC"/>
        <family val="2"/>
      </rPr>
      <t xml:space="preserve">정기보고서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반영 완료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</si>
  <si>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보고서</t>
  </si>
  <si>
    <t xml:space="preserve">접수번호</t>
  </si>
  <si>
    <t xml:space="preserve">가져온 항목</t>
  </si>
  <si>
    <t xml:space="preserve">채워진 칸</t>
  </si>
  <si>
    <r>
      <rPr>
        <b val="true"/>
        <sz val="10"/>
        <color rgb="FF000000"/>
        <rFont val="Noto Sans CJK SC"/>
        <family val="2"/>
      </rPr>
      <t xml:space="preserve">분기보고서 </t>
    </r>
    <r>
      <rPr>
        <b val="true"/>
        <sz val="10"/>
        <color rgb="FF000000"/>
        <rFont val="맑은 고딕"/>
        <family val="0"/>
        <charset val="1"/>
      </rPr>
      <t xml:space="preserve">(2025.03)</t>
    </r>
  </si>
  <si>
    <t xml:space="preserve">20250515000342</t>
  </si>
  <si>
    <r>
      <rPr>
        <sz val="9"/>
        <color rgb="FF000000"/>
        <rFont val="Noto Sans CJK SC"/>
        <family val="2"/>
      </rPr>
      <t xml:space="preserve">연결 손익계산서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매출원가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판관비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세전이익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지배주주순이익</t>
    </r>
  </si>
  <si>
    <r>
      <rPr>
        <sz val="9"/>
        <color rgb="FF000000"/>
        <rFont val="맑은 고딕"/>
        <family val="0"/>
        <charset val="1"/>
      </rPr>
      <t xml:space="preserve">Forward EPS 1Q25 </t>
    </r>
    <r>
      <rPr>
        <sz val="9"/>
        <color rgb="FF000000"/>
        <rFont val="Noto Sans CJK SC"/>
        <family val="2"/>
      </rPr>
      <t xml:space="preserve">열</t>
    </r>
  </si>
  <si>
    <r>
      <rPr>
        <b val="true"/>
        <sz val="10"/>
        <color rgb="FF000000"/>
        <rFont val="Noto Sans CJK SC"/>
        <family val="2"/>
      </rPr>
      <t xml:space="preserve">반기보고서 </t>
    </r>
    <r>
      <rPr>
        <b val="true"/>
        <sz val="10"/>
        <color rgb="FF000000"/>
        <rFont val="맑은 고딕"/>
        <family val="0"/>
        <charset val="1"/>
      </rPr>
      <t xml:space="preserve">(2025.06)</t>
    </r>
  </si>
  <si>
    <t xml:space="preserve">20250814000396</t>
  </si>
  <si>
    <r>
      <rPr>
        <sz val="9"/>
        <color rgb="FF000000"/>
        <rFont val="Noto Sans CJK SC"/>
        <family val="2"/>
      </rPr>
      <t xml:space="preserve">연결 손익계산서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상반기 누적</t>
    </r>
    <r>
      <rPr>
        <sz val="9"/>
        <color rgb="FF000000"/>
        <rFont val="맑은 고딕"/>
        <family val="0"/>
        <charset val="1"/>
      </rPr>
      <t xml:space="preserve">) — 1Q25</t>
    </r>
    <r>
      <rPr>
        <sz val="9"/>
        <color rgb="FF000000"/>
        <rFont val="Noto Sans CJK SC"/>
        <family val="2"/>
      </rPr>
      <t xml:space="preserve">를 빼면 </t>
    </r>
    <r>
      <rPr>
        <sz val="9"/>
        <color rgb="FF000000"/>
        <rFont val="맑은 고딕"/>
        <family val="0"/>
        <charset val="1"/>
      </rPr>
      <t xml:space="preserve">2Q25</t>
    </r>
  </si>
  <si>
    <r>
      <rPr>
        <sz val="9"/>
        <color rgb="FF000000"/>
        <rFont val="맑은 고딕"/>
        <family val="0"/>
        <charset val="1"/>
      </rPr>
      <t xml:space="preserve">Forward EPS 2Q25 </t>
    </r>
    <r>
      <rPr>
        <sz val="9"/>
        <color rgb="FF000000"/>
        <rFont val="Noto Sans CJK SC"/>
        <family val="2"/>
      </rPr>
      <t xml:space="preserve">열</t>
    </r>
  </si>
  <si>
    <r>
      <rPr>
        <b val="true"/>
        <sz val="10"/>
        <color rgb="FF000000"/>
        <rFont val="Noto Sans CJK SC"/>
        <family val="2"/>
      </rPr>
      <t xml:space="preserve">분기보고서 </t>
    </r>
    <r>
      <rPr>
        <b val="true"/>
        <sz val="10"/>
        <color rgb="FF000000"/>
        <rFont val="맑은 고딕"/>
        <family val="0"/>
        <charset val="1"/>
      </rPr>
      <t xml:space="preserve">(2025.09)</t>
    </r>
  </si>
  <si>
    <t xml:space="preserve">20251114000063</t>
  </si>
  <si>
    <r>
      <rPr>
        <sz val="9"/>
        <color rgb="FF000000"/>
        <rFont val="Noto Sans CJK SC"/>
        <family val="2"/>
      </rPr>
      <t xml:space="preserve">연결 손익계산서 </t>
    </r>
    <r>
      <rPr>
        <sz val="9"/>
        <color rgb="FF000000"/>
        <rFont val="맑은 고딕"/>
        <family val="0"/>
        <charset val="1"/>
      </rPr>
      <t xml:space="preserve">(3</t>
    </r>
    <r>
      <rPr>
        <sz val="9"/>
        <color rgb="FF000000"/>
        <rFont val="Noto Sans CJK SC"/>
        <family val="2"/>
      </rPr>
      <t xml:space="preserve">분기 누적</t>
    </r>
    <r>
      <rPr>
        <sz val="9"/>
        <color rgb="FF000000"/>
        <rFont val="맑은 고딕"/>
        <family val="0"/>
        <charset val="1"/>
      </rPr>
      <t xml:space="preserve">) — </t>
    </r>
    <r>
      <rPr>
        <sz val="9"/>
        <color rgb="FF000000"/>
        <rFont val="Noto Sans CJK SC"/>
        <family val="2"/>
      </rPr>
      <t xml:space="preserve">상반기를 빼면 </t>
    </r>
    <r>
      <rPr>
        <sz val="9"/>
        <color rgb="FF000000"/>
        <rFont val="맑은 고딕"/>
        <family val="0"/>
        <charset val="1"/>
      </rPr>
      <t xml:space="preserve">3Q25</t>
    </r>
  </si>
  <si>
    <r>
      <rPr>
        <sz val="9"/>
        <color rgb="FF000000"/>
        <rFont val="맑은 고딕"/>
        <family val="0"/>
        <charset val="1"/>
      </rPr>
      <t xml:space="preserve">Forward EPS 3Q25 </t>
    </r>
    <r>
      <rPr>
        <sz val="9"/>
        <color rgb="FF000000"/>
        <rFont val="Noto Sans CJK SC"/>
        <family val="2"/>
      </rPr>
      <t xml:space="preserve">열</t>
    </r>
  </si>
  <si>
    <r>
      <rPr>
        <sz val="9"/>
        <color rgb="FF000000"/>
        <rFont val="Noto Sans CJK SC"/>
        <family val="2"/>
      </rPr>
      <t xml:space="preserve">연결 손익계산서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연간</t>
    </r>
    <r>
      <rPr>
        <sz val="9"/>
        <color rgb="FF000000"/>
        <rFont val="맑은 고딕"/>
        <family val="0"/>
        <charset val="1"/>
      </rPr>
      <t xml:space="preserve">) — 3</t>
    </r>
    <r>
      <rPr>
        <sz val="9"/>
        <color rgb="FF000000"/>
        <rFont val="Noto Sans CJK SC"/>
        <family val="2"/>
      </rPr>
      <t xml:space="preserve">분기 누적을 빼면 </t>
    </r>
    <r>
      <rPr>
        <sz val="9"/>
        <color rgb="FF000000"/>
        <rFont val="맑은 고딕"/>
        <family val="0"/>
        <charset val="1"/>
      </rPr>
      <t xml:space="preserve">4Q25. </t>
    </r>
    <r>
      <rPr>
        <sz val="9"/>
        <color rgb="FF000000"/>
        <rFont val="Noto Sans CJK SC"/>
        <family val="2"/>
      </rPr>
      <t xml:space="preserve">품목별 매출도 여기 있음</t>
    </r>
  </si>
  <si>
    <r>
      <rPr>
        <sz val="9"/>
        <color rgb="FF000000"/>
        <rFont val="맑은 고딕"/>
        <family val="0"/>
        <charset val="1"/>
      </rPr>
      <t xml:space="preserve">Forward EPS 4Q25 </t>
    </r>
    <r>
      <rPr>
        <sz val="9"/>
        <color rgb="FF000000"/>
        <rFont val="Noto Sans CJK SC"/>
        <family val="2"/>
      </rPr>
      <t xml:space="preserve">열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도표 </t>
    </r>
    <r>
      <rPr>
        <sz val="9"/>
        <color rgb="FF000000"/>
        <rFont val="맑은 고딕"/>
        <family val="0"/>
        <charset val="1"/>
      </rPr>
      <t xml:space="preserve">10</t>
    </r>
  </si>
  <si>
    <r>
      <rPr>
        <sz val="9"/>
        <color rgb="FF000000"/>
        <rFont val="Noto Sans CJK SC"/>
        <family val="2"/>
      </rPr>
      <t xml:space="preserve">연결 손익계산서</t>
    </r>
    <r>
      <rPr>
        <sz val="9"/>
        <color rgb="FF000000"/>
        <rFont val="맑은 고딕"/>
        <family val="0"/>
        <charset val="1"/>
      </rPr>
      <t xml:space="preserve">: 1Q26 </t>
    </r>
    <r>
      <rPr>
        <sz val="9"/>
        <color rgb="FF000000"/>
        <rFont val="Noto Sans CJK SC"/>
        <family val="2"/>
      </rPr>
      <t xml:space="preserve">매출원가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판관비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세전이익</t>
    </r>
  </si>
  <si>
    <r>
      <rPr>
        <sz val="9"/>
        <color rgb="FF000000"/>
        <rFont val="맑은 고딕"/>
        <family val="0"/>
        <charset val="1"/>
      </rPr>
      <t xml:space="preserve">Forward EPS 1Q26P </t>
    </r>
    <r>
      <rPr>
        <sz val="9"/>
        <color rgb="FF000000"/>
        <rFont val="Noto Sans CJK SC"/>
        <family val="2"/>
      </rPr>
      <t xml:space="preserve">열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</si>
  <si>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위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개 보고서의 </t>
    </r>
    <r>
      <rPr>
        <i val="true"/>
        <sz val="9"/>
        <color rgb="FF595959"/>
        <rFont val="맑은 고딕"/>
        <family val="0"/>
        <charset val="1"/>
      </rPr>
      <t xml:space="preserve">IFRS </t>
    </r>
    <r>
      <rPr>
        <i val="true"/>
        <sz val="9"/>
        <color rgb="FF595959"/>
        <rFont val="Noto Sans CJK SC"/>
        <family val="2"/>
      </rPr>
      <t xml:space="preserve">원문 </t>
    </r>
    <r>
      <rPr>
        <i val="true"/>
        <sz val="9"/>
        <color rgb="FF595959"/>
        <rFont val="맑은 고딕"/>
        <family val="0"/>
        <charset val="1"/>
      </rPr>
      <t xml:space="preserve">XBRL </t>
    </r>
    <r>
      <rPr>
        <i val="true"/>
        <sz val="9"/>
        <color rgb="FF595959"/>
        <rFont val="Noto Sans CJK SC"/>
        <family val="2"/>
      </rPr>
      <t xml:space="preserve">을 직접 파싱해 연결 기준 손익 항목을 가져왔습니다</t>
    </r>
    <r>
      <rPr>
        <i val="true"/>
        <sz val="9"/>
        <color rgb="FF595959"/>
        <rFont val="맑은 고딕"/>
        <family val="0"/>
        <charset val="1"/>
      </rPr>
      <t xml:space="preserve">. 2Q25·3Q25 </t>
    </r>
    <r>
      <rPr>
        <i val="true"/>
        <sz val="9"/>
        <color rgb="FF595959"/>
        <rFont val="Noto Sans CJK SC"/>
        <family val="2"/>
      </rPr>
      <t xml:space="preserve">는 각 보고서의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개월 컨텍스트를</t>
    </r>
    <r>
      <rPr>
        <i val="true"/>
        <sz val="9"/>
        <color rgb="FF595959"/>
        <rFont val="맑은 고딕"/>
        <family val="0"/>
        <charset val="1"/>
      </rPr>
      <t xml:space="preserve">, 4Q25 </t>
    </r>
    <r>
      <rPr>
        <i val="true"/>
        <sz val="9"/>
        <color rgb="FF595959"/>
        <rFont val="Noto Sans CJK SC"/>
        <family val="2"/>
      </rPr>
      <t xml:space="preserve">는 사업보고서 연간에서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분기 누적을 뺀 값을 썼습니다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분기 합계가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 연간 확정치와 소수점까지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</si>
  <si>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아직 남아 있는 회색 칸 — ① </t>
    </r>
    <r>
      <rPr>
        <i val="true"/>
        <sz val="9"/>
        <color rgb="FF595959"/>
        <rFont val="맑은 고딕"/>
        <family val="0"/>
        <charset val="1"/>
      </rPr>
      <t xml:space="preserve">11_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7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2020~2022</t>
    </r>
    <r>
      <rPr>
        <i val="true"/>
        <sz val="9"/>
        <color rgb="FF595959"/>
        <rFont val="Noto Sans CJK SC"/>
        <family val="2"/>
      </rPr>
      <t xml:space="preserve">년 분기 영업이익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해당 연도 정기보고서 필요</t>
    </r>
    <r>
      <rPr>
        <i val="true"/>
        <sz val="9"/>
        <color rgb="FF595959"/>
        <rFont val="맑은 고딕"/>
        <family val="0"/>
        <charset val="1"/>
      </rPr>
      <t xml:space="preserve">), ② Forward EPS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1Q26P </t>
    </r>
    <r>
      <rPr>
        <i val="true"/>
        <sz val="9"/>
        <color rgb="FF595959"/>
        <rFont val="Noto Sans CJK SC"/>
        <family val="2"/>
      </rPr>
      <t xml:space="preserve">어플리케이션별 분해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공표되지 않음</t>
    </r>
    <r>
      <rPr>
        <i val="true"/>
        <sz val="9"/>
        <color rgb="FF595959"/>
        <rFont val="맑은 고딕"/>
        <family val="0"/>
        <charset val="1"/>
      </rPr>
      <t xml:space="preserve">), ③ 14_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10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1Q19~4Q22 Socket/Non-socket (</t>
    </r>
    <r>
      <rPr>
        <i val="true"/>
        <sz val="9"/>
        <color rgb="FF595959"/>
        <rFont val="Noto Sans CJK SC"/>
        <family val="2"/>
      </rPr>
      <t xml:space="preserve">품목별 매출은 </t>
    </r>
    <r>
      <rPr>
        <i val="true"/>
        <sz val="9"/>
        <color rgb="FF595959"/>
        <rFont val="맑은 고딕"/>
        <family val="0"/>
        <charset val="1"/>
      </rPr>
      <t xml:space="preserve">XBRL </t>
    </r>
    <r>
      <rPr>
        <i val="true"/>
        <sz val="9"/>
        <color rgb="FF595959"/>
        <rFont val="Noto Sans CJK SC"/>
        <family val="2"/>
      </rPr>
      <t xml:space="preserve">이 아니라 사업보고서 본문 「매출 및 수주상황」에 있어 원문 </t>
    </r>
    <r>
      <rPr>
        <i val="true"/>
        <sz val="9"/>
        <color rgb="FF595959"/>
        <rFont val="맑은 고딕"/>
        <family val="0"/>
        <charset val="1"/>
      </rPr>
      <t xml:space="preserve">HTML/PDF </t>
    </r>
    <r>
      <rPr>
        <i val="true"/>
        <sz val="9"/>
        <color rgb="FF595959"/>
        <rFont val="Noto Sans CJK SC"/>
        <family val="2"/>
      </rPr>
      <t xml:space="preserve">가 필요합니다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</si>
  <si>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  ⑤ 원문 차트 목록과 재현 범위</t>
  </si>
  <si>
    <t xml:space="preserve">도표</t>
  </si>
  <si>
    <t xml:space="preserve">제목</t>
  </si>
  <si>
    <r>
      <rPr>
        <b val="true"/>
        <sz val="10"/>
        <color rgb="FFFFFFFF"/>
        <rFont val="Noto Sans CJK SC"/>
        <family val="2"/>
      </rPr>
      <t xml:space="preserve">축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계열</t>
    </r>
  </si>
  <si>
    <t xml:space="preserve">기간</t>
  </si>
  <si>
    <t xml:space="preserve">재현 결과</t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</si>
  <si>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2</t>
    </r>
  </si>
  <si>
    <t xml:space="preserve">ISC 12MF P/E Band</t>
  </si>
  <si>
    <r>
      <rPr>
        <sz val="9"/>
        <color rgb="FF000000"/>
        <rFont val="Noto Sans CJK SC"/>
        <family val="2"/>
      </rPr>
      <t xml:space="preserve">수정주가</t>
    </r>
    <r>
      <rPr>
        <sz val="9"/>
        <color rgb="FF000000"/>
        <rFont val="맑은 고딕"/>
        <family val="0"/>
        <charset val="1"/>
      </rPr>
      <t xml:space="preserve">, 57.0x / 45.1x / 33.3x / 21.4x / 5.0x</t>
    </r>
  </si>
  <si>
    <t xml:space="preserve">21.1 ~ 26.1</t>
  </si>
  <si>
    <r>
      <rPr>
        <sz val="9"/>
        <color rgb="FF595959"/>
        <rFont val="Noto Sans CJK SC"/>
        <family val="2"/>
      </rPr>
      <t xml:space="preserve">밴드 배수만 </t>
    </r>
    <r>
      <rPr>
        <sz val="9"/>
        <color rgb="FF595959"/>
        <rFont val="맑은 고딕"/>
        <family val="0"/>
        <charset val="1"/>
      </rPr>
      <t xml:space="preserve">06</t>
    </r>
    <r>
      <rPr>
        <sz val="9"/>
        <color rgb="FF595959"/>
        <rFont val="Noto Sans CJK SC"/>
        <family val="2"/>
      </rPr>
      <t xml:space="preserve">번 시트에 기록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주가 시계열 미인쇄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</si>
  <si>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3</t>
    </r>
  </si>
  <si>
    <t xml:space="preserve">ISC 12MF P/B Band</t>
  </si>
  <si>
    <r>
      <rPr>
        <sz val="9"/>
        <color rgb="FF000000"/>
        <rFont val="Noto Sans CJK SC"/>
        <family val="2"/>
      </rPr>
      <t xml:space="preserve">수정주가</t>
    </r>
    <r>
      <rPr>
        <sz val="9"/>
        <color rgb="FF000000"/>
        <rFont val="맑은 고딕"/>
        <family val="0"/>
        <charset val="1"/>
      </rPr>
      <t xml:space="preserve">, 5.1x / 4.2x / 3.2x / 2.3x / 1.3x</t>
    </r>
  </si>
  <si>
    <r>
      <rPr>
        <sz val="9"/>
        <color rgb="FF595959"/>
        <rFont val="Noto Sans CJK SC"/>
        <family val="2"/>
      </rPr>
      <t xml:space="preserve">밴드 배수만 </t>
    </r>
    <r>
      <rPr>
        <sz val="9"/>
        <color rgb="FF595959"/>
        <rFont val="맑은 고딕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번 시트에 기록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</si>
  <si>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7</t>
    </r>
  </si>
  <si>
    <r>
      <rPr>
        <sz val="9"/>
        <color rgb="FF000000"/>
        <rFont val="Noto Sans CJK SC"/>
        <family val="2"/>
      </rPr>
      <t xml:space="preserve">분기 영업이익 </t>
    </r>
    <r>
      <rPr>
        <sz val="9"/>
        <color rgb="FF000000"/>
        <rFont val="맑은 고딕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시가총액 추이</t>
    </r>
  </si>
  <si>
    <r>
      <rPr>
        <sz val="9"/>
        <color rgb="FF000000"/>
        <rFont val="Noto Sans CJK SC"/>
        <family val="2"/>
      </rPr>
      <t xml:space="preserve">영업이익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우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시가총액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좌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십억원</t>
    </r>
  </si>
  <si>
    <t xml:space="preserve">20.1 ~ 26.1</t>
  </si>
  <si>
    <r>
      <rPr>
        <sz val="9"/>
        <color rgb="FF595959"/>
        <rFont val="맑은 고딕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번 시트에서 재현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1Q23~ / </t>
    </r>
    <r>
      <rPr>
        <sz val="9"/>
        <color rgb="FF595959"/>
        <rFont val="Noto Sans CJK SC"/>
        <family val="2"/>
      </rPr>
      <t xml:space="preserve">시가총액 </t>
    </r>
    <r>
      <rPr>
        <sz val="9"/>
        <color rgb="FF595959"/>
        <rFont val="맑은 고딕"/>
        <family val="0"/>
        <charset val="1"/>
      </rPr>
      <t xml:space="preserve">1Q22~)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</si>
  <si>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8</t>
    </r>
  </si>
  <si>
    <t xml:space="preserve">어플리케이션 별 매출 비중 추이</t>
  </si>
  <si>
    <r>
      <rPr>
        <sz val="9"/>
        <color rgb="FF000000"/>
        <rFont val="Noto Sans CJK SC"/>
        <family val="2"/>
      </rPr>
      <t xml:space="preserve">데이터센터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스마트폰</t>
    </r>
    <r>
      <rPr>
        <sz val="9"/>
        <color rgb="FF000000"/>
        <rFont val="맑은 고딕"/>
        <family val="0"/>
        <charset val="1"/>
      </rPr>
      <t xml:space="preserve">/PC·</t>
    </r>
    <r>
      <rPr>
        <sz val="9"/>
        <color rgb="FF000000"/>
        <rFont val="Noto Sans CJK SC"/>
        <family val="2"/>
      </rPr>
      <t xml:space="preserve">노트북</t>
    </r>
    <r>
      <rPr>
        <sz val="9"/>
        <color rgb="FF000000"/>
        <rFont val="맑은 고딕"/>
        <family val="0"/>
        <charset val="1"/>
      </rPr>
      <t xml:space="preserve">/Auto/Wearable/LSI/</t>
    </r>
    <r>
      <rPr>
        <sz val="9"/>
        <color rgb="FF000000"/>
        <rFont val="Noto Sans CJK SC"/>
        <family val="2"/>
      </rPr>
      <t xml:space="preserve">기타</t>
    </r>
  </si>
  <si>
    <t xml:space="preserve">1Q21 ~ 3Q25</t>
  </si>
  <si>
    <r>
      <rPr>
        <sz val="9"/>
        <color rgb="FF595959"/>
        <rFont val="맑은 고딕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번 시트에서 </t>
    </r>
    <r>
      <rPr>
        <sz val="9"/>
        <color rgb="FF595959"/>
        <rFont val="맑은 고딕"/>
        <family val="0"/>
        <charset val="1"/>
      </rPr>
      <t xml:space="preserve">1Q24 </t>
    </r>
    <r>
      <rPr>
        <sz val="9"/>
        <color rgb="FF595959"/>
        <rFont val="Noto Sans CJK SC"/>
        <family val="2"/>
      </rPr>
      <t xml:space="preserve">이후 재현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</si>
  <si>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9</t>
    </r>
  </si>
  <si>
    <t xml:space="preserve">연간 실적 추이 및 전망</t>
  </si>
  <si>
    <r>
      <rPr>
        <sz val="9"/>
        <color rgb="FF000000"/>
        <rFont val="Noto Sans CJK SC"/>
        <family val="2"/>
      </rPr>
      <t xml:space="preserve">매출액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좌</t>
    </r>
    <r>
      <rPr>
        <sz val="9"/>
        <color rgb="FF000000"/>
        <rFont val="맑은 고딕"/>
        <family val="0"/>
        <charset val="1"/>
      </rPr>
      <t xml:space="preserve">), OPM(</t>
    </r>
    <r>
      <rPr>
        <sz val="9"/>
        <color rgb="FF000000"/>
        <rFont val="Noto Sans CJK SC"/>
        <family val="2"/>
      </rPr>
      <t xml:space="preserve">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</si>
  <si>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2019 ~ 2027F</t>
  </si>
  <si>
    <r>
      <rPr>
        <sz val="9"/>
        <color rgb="FF595959"/>
        <rFont val="맑은 고딕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번 시트에서 </t>
    </r>
    <r>
      <rPr>
        <sz val="9"/>
        <color rgb="FF595959"/>
        <rFont val="맑은 고딕"/>
        <family val="0"/>
        <charset val="1"/>
      </rPr>
      <t xml:space="preserve">2018 </t>
    </r>
    <r>
      <rPr>
        <sz val="9"/>
        <color rgb="FF595959"/>
        <rFont val="Noto Sans CJK SC"/>
        <family val="2"/>
      </rPr>
      <t xml:space="preserve">이후 전 구간 재현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</si>
  <si>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10</t>
    </r>
  </si>
  <si>
    <t xml:space="preserve">제품별 매출 추이 및 전망</t>
  </si>
  <si>
    <t xml:space="preserve">Socket / Non-socket</t>
  </si>
  <si>
    <t xml:space="preserve">1Q19 ~ 1Q26</t>
  </si>
  <si>
    <r>
      <rPr>
        <sz val="9"/>
        <color rgb="FF595959"/>
        <rFont val="맑은 고딕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번 시트에서 </t>
    </r>
    <r>
      <rPr>
        <sz val="9"/>
        <color rgb="FF595959"/>
        <rFont val="맑은 고딕"/>
        <family val="0"/>
        <charset val="1"/>
      </rPr>
      <t xml:space="preserve">1Q23~4Q25 </t>
    </r>
    <r>
      <rPr>
        <sz val="9"/>
        <color rgb="FF595959"/>
        <rFont val="Noto Sans CJK SC"/>
        <family val="2"/>
      </rPr>
      <t xml:space="preserve">재현</t>
    </r>
  </si>
  <si>
    <r>
      <rPr>
        <sz val="9"/>
        <color rgb="FF000000"/>
        <rFont val="맑은 고딕"/>
        <family val="0"/>
        <charset val="1"/>
      </rPr>
      <t xml:space="preserve">ISC </t>
    </r>
    <r>
      <rPr>
        <sz val="9"/>
        <color rgb="FF000000"/>
        <rFont val="Noto Sans CJK SC"/>
        <family val="2"/>
      </rPr>
      <t xml:space="preserve">주가 </t>
    </r>
    <r>
      <rPr>
        <sz val="9"/>
        <color rgb="FF000000"/>
        <rFont val="맑은 고딕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상대지수</t>
    </r>
  </si>
  <si>
    <r>
      <rPr>
        <sz val="9"/>
        <color rgb="FF000000"/>
        <rFont val="맑은 고딕"/>
        <family val="0"/>
        <charset val="1"/>
      </rPr>
      <t xml:space="preserve">ISC(</t>
    </r>
    <r>
      <rPr>
        <sz val="9"/>
        <color rgb="FF000000"/>
        <rFont val="Noto Sans CJK SC"/>
        <family val="2"/>
      </rPr>
      <t xml:space="preserve">좌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상대지수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</si>
  <si>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25.1 ~ 26.1</t>
  </si>
  <si>
    <r>
      <rPr>
        <sz val="9"/>
        <color rgb="FF595959"/>
        <rFont val="맑은 고딕"/>
        <family val="0"/>
        <charset val="1"/>
      </rPr>
      <t xml:space="preserve">03</t>
    </r>
    <r>
      <rPr>
        <sz val="9"/>
        <color rgb="FF595959"/>
        <rFont val="Noto Sans CJK SC"/>
        <family val="2"/>
      </rPr>
      <t xml:space="preserve">번 시트에서 분기말 종가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시가총액으로 대체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</si>
  <si>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차트에는 데이터 라벨이 없어 눈금 기준 추정 수치는 넣지 않았습니다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표에 인쇄된 수치와 공시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리서치로 교차검증된 값만 사용했습니다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</si>
  <si>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외부에서 가져온 수치는 모두 파란 글씨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전사값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로 넣었고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가능한 경우 두 개 이상의 출처가 일치하는 것을 확인했습니다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특히 </t>
    </r>
    <r>
      <rPr>
        <i val="true"/>
        <sz val="9"/>
        <color rgb="FF595959"/>
        <rFont val="맑은 고딕"/>
        <family val="0"/>
        <charset val="1"/>
      </rPr>
      <t xml:space="preserve">3Q23 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(-8.0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과 </t>
    </r>
    <r>
      <rPr>
        <i val="true"/>
        <sz val="9"/>
        <color rgb="FF595959"/>
        <rFont val="맑은 고딕"/>
        <family val="0"/>
        <charset val="1"/>
      </rPr>
      <t xml:space="preserve">2022</t>
    </r>
    <r>
      <rPr>
        <i val="true"/>
        <sz val="9"/>
        <color rgb="FF595959"/>
        <rFont val="Noto Sans CJK SC"/>
        <family val="2"/>
      </rPr>
      <t xml:space="preserve">년 매출액</t>
    </r>
    <r>
      <rPr>
        <i val="true"/>
        <sz val="9"/>
        <color rgb="FF595959"/>
        <rFont val="맑은 고딕"/>
        <family val="0"/>
        <charset val="1"/>
      </rPr>
      <t xml:space="preserve">(178.9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하나증권 리포트의 증가율로 역산한 값과 정확히 맞아떨어집니다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</si>
  <si>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분기말 종가는 대부분 「분기 시가총액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Noto Sans CJK SC"/>
        <family val="2"/>
      </rPr>
      <t xml:space="preserve">주식수」 역산값입니다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네 개 연말 종가가 다른 출처와 정확히 일치하고 전 분기 값이 호가단위</t>
    </r>
    <r>
      <rPr>
        <i val="true"/>
        <sz val="9"/>
        <color rgb="FF595959"/>
        <rFont val="맑은 고딕"/>
        <family val="0"/>
        <charset val="1"/>
      </rPr>
      <t xml:space="preserve">(50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에 떨어지지만</t>
    </r>
    <r>
      <rPr>
        <i val="true"/>
        <sz val="9"/>
        <color rgb="FF595959"/>
        <rFont val="맑은 고딕"/>
        <family val="0"/>
        <charset val="1"/>
      </rPr>
      <t xml:space="preserve">, 1</t>
    </r>
    <r>
      <rPr>
        <i val="true"/>
        <sz val="9"/>
        <color rgb="FF595959"/>
        <rFont val="Noto Sans CJK SC"/>
        <family val="2"/>
      </rPr>
      <t xml:space="preserve">차 출처의 직접 인용은 아니라는 점을 감안해 주세요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</si>
  <si>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시가총액은 한국식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상장주식수 </t>
    </r>
    <r>
      <rPr>
        <i val="true"/>
        <sz val="9"/>
        <color rgb="FF595959"/>
        <rFont val="맑은 고딕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종가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으로 계산했습니다</t>
    </r>
    <r>
      <rPr>
        <i val="true"/>
        <sz val="9"/>
        <color rgb="FF595959"/>
        <rFont val="맑은 고딕"/>
        <family val="0"/>
        <charset val="1"/>
      </rPr>
      <t xml:space="preserve">. stockanalysis </t>
    </r>
    <r>
      <rPr>
        <i val="true"/>
        <sz val="9"/>
        <color rgb="FF595959"/>
        <rFont val="Noto Sans CJK SC"/>
        <family val="2"/>
      </rPr>
      <t xml:space="preserve">등 해외 사이트는 자기주식을 제외한 주식수를 쓰기 때문에 같은 종가에서도 약 </t>
    </r>
    <r>
      <rPr>
        <i val="true"/>
        <sz val="9"/>
        <color rgb="FF595959"/>
        <rFont val="맑은 고딕"/>
        <family val="0"/>
        <charset val="1"/>
      </rPr>
      <t xml:space="preserve">3.5% </t>
    </r>
    <r>
      <rPr>
        <i val="true"/>
        <sz val="9"/>
        <color rgb="FF595959"/>
        <rFont val="Noto Sans CJK SC"/>
        <family val="2"/>
      </rPr>
      <t xml:space="preserve">작게 나옵니다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리포트와 맞추려면 한국식이 맞습니다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</si>
  <si>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이 워크북은 하나증권 리서치 자료와 공개 자료를 정리한 학습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분석용이며 투자 권유가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</si>
</sst>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;[RED]\(#,##0.0\);\-"/>
    <numFmt numFmtId="166" formatCode="@"/>
    <numFmt numFmtId="167" formatCode="#,##0;[RED]\(#,##0\);\-"/>
    <numFmt numFmtId="168" formatCode="0.0\x;[RED]\(0.0&quot;x)&quot;;\-"/>
    <numFmt numFmtId="169" formatCode="0.0%;[RED]\(0.0%\);\-"/>
    <numFmt numFmtId="170" formatCode="#,##0.0;\(#,##0.0\);\-"/>
    <numFmt numFmtId="171" formatCode="0%;\(0%\);\-"/>
    <numFmt numFmtId="172" formatCode="0.0%;\(0.0%\);\-"/>
    <numFmt numFmtId="173" formatCode="0.00%;\(0.00%\);\-"/>
    <numFmt numFmtId="174" formatCode="#,##0;\(#,##0\);\-"/>
    <numFmt numFmtId="175" formatCode="0"/>
    <numFmt numFmtId="176" formatCode="0.0\x"/>
    <numFmt numFmtId="177" formatCode="0.00\x"/>
    <numFmt numFmtId="178" formatCode="#,##0.00;\(#,##0.00\);\-"/>
    <numFmt numFmtId="179" formatCode="#,##0"/>
    <numFmt numFmtId="180" formatCode="0\x"/>
    <numFmt numFmtId="181" formatCode="0%"/>
  </numFmts>
  <fonts count="47">
    <font>
      <sz val="11"/>
      <color theme="1"/>
      <name val="맑은 고딕"/>
      <family val="2"/>
      <charset val="1"/>
    </font>
    <font>
      <sz val="10"/>
      <name val="맑은 고딕"/>
      <family val="0"/>
    </font>
    <font>
      <sz val="10"/>
      <name val="맑은 고딕"/>
      <family val="0"/>
    </font>
    <font>
      <sz val="10"/>
      <name val="맑은 고딕"/>
      <family val="0"/>
    </font>
    <font>
      <b val="true"/>
      <sz val="16"/>
      <color rgb="FFFFFFFF"/>
      <name val="맑은 고딕"/>
      <family val="2"/>
    </font>
    <font>
      <b val="true"/>
      <sz val="16"/>
      <color rgb="FFFFFFFF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595959"/>
      <name val="맑은 고딕"/>
      <family val="2"/>
    </font>
    <font>
      <sz val="9"/>
      <color rgb="FF0000FF"/>
      <name val="맑은 고딕"/>
      <family val="2"/>
    </font>
    <font>
      <sz val="9"/>
      <color rgb="FF0000FF"/>
      <name val="맑은 고딕"/>
      <family val="0"/>
      <charset val="1"/>
    </font>
    <font>
      <b val="true"/>
      <sz val="10"/>
      <color rgb="FF000000"/>
      <name val="맑은 고딕"/>
      <family val="2"/>
    </font>
    <font>
      <b val="true"/>
      <sz val="10"/>
      <color rgb="FF00000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00"/>
      <name val="맑은 고딕"/>
      <family val="2"/>
    </font>
    <font>
      <b val="true"/>
      <sz val="10"/>
      <color rgb="FF0000FF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FFFFFF"/>
      <name val="맑은 고딕"/>
      <family val="2"/>
    </font>
    <font>
      <b val="true"/>
      <sz val="10"/>
      <color rgb="FFFFFFFF"/>
      <name val="맑은 고딕"/>
      <family val="0"/>
      <charset val="1"/>
    </font>
    <font>
      <i val="true"/>
      <sz val="9"/>
      <color rgb="FF595959"/>
      <name val="맑은 고딕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0000FF"/>
      <name val="맑은 고딕"/>
      <family val="2"/>
    </font>
    <font>
      <sz val="10"/>
      <color rgb="FF008000"/>
      <name val="맑은 고딕"/>
      <family val="0"/>
      <charset val="1"/>
    </font>
    <font>
      <b val="true"/>
      <sz val="18"/>
      <color rgb="FF1F6E6A"/>
      <name val="맑은 고딕"/>
      <family val="0"/>
      <charset val="1"/>
    </font>
    <font>
      <sz val="10"/>
      <color rgb="FF595959"/>
      <name val="맑은 고딕"/>
      <family val="2"/>
    </font>
    <font>
      <sz val="10"/>
      <color rgb="FF595959"/>
      <name val="맑은 고딕"/>
      <family val="0"/>
      <charset val="1"/>
    </font>
    <font>
      <b val="true"/>
      <sz val="10"/>
      <color rgb="FF1F6E6A"/>
      <name val="맑은 고딕"/>
      <family val="0"/>
      <charset val="1"/>
    </font>
    <font>
      <b val="true"/>
      <sz val="10"/>
      <color rgb="FF1F6E6A"/>
      <name val="맑은 고딕"/>
      <family val="2"/>
    </font>
    <font>
      <sz val="10"/>
      <color rgb="FF0000FF"/>
      <name val="맑은 고딕"/>
      <family val="2"/>
    </font>
    <font>
      <sz val="10"/>
      <color rgb="FF008000"/>
      <name val="맑은 고딕"/>
      <family val="2"/>
    </font>
    <font>
      <sz val="10"/>
      <color rgb="FF1F6E6A"/>
      <name val="맑은 고딕"/>
      <family val="0"/>
      <charset val="1"/>
    </font>
    <font>
      <b val="true"/>
      <sz val="13"/>
      <color rgb="FF1F6E6A"/>
      <name val="맑은 고딕"/>
      <family val="2"/>
    </font>
    <font>
      <b val="true"/>
      <sz val="13"/>
      <color rgb="FF1F6E6A"/>
      <name val="맑은 고딕"/>
      <family val="0"/>
      <charset val="1"/>
    </font>
    <font>
      <sz val="11"/>
      <color theme="1"/>
      <name val="맑은 고딕"/>
      <family val="2"/>
    </font>
    <font>
      <b val="true"/>
      <sz val="10"/>
      <color rgb="FF008000"/>
      <name val="맑은 고딕"/>
      <family val="0"/>
      <charset val="1"/>
    </font>
    <font>
      <b val="true"/>
      <sz val="9"/>
      <color rgb="FF1F6E6A"/>
      <name val="맑은 고딕"/>
      <family val="2"/>
    </font>
    <font>
      <b val="true"/>
      <sz val="9"/>
      <color rgb="FF1F6E6A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00"/>
      <name val="맑은 고딕"/>
      <family val="2"/>
    </font>
    <font>
      <b val="true"/>
      <sz val="18"/>
      <color rgb="FF000000"/>
      <name val="맑은 고딕"/>
      <family val="2"/>
    </font>
    <font>
      <b val="true"/>
      <sz val="18"/>
      <color rgb="FF000000"/>
      <name val="맑은 고딕"/>
      <family val="2"/>
    </font>
    <font>
      <sz val="10"/>
      <color rgb="FF000000"/>
      <name val="맑은 고딕"/>
      <family val="2"/>
    </font>
    <font>
      <sz val="10"/>
      <name val="맑은 고딕"/>
      <family val="2"/>
    </font>
    <font>
      <sz val="10"/>
      <name val="맑은 고딕"/>
      <family val="2"/>
    </font>
    <font>
      <i val="true"/>
      <sz val="10"/>
      <color rgb="FF0000FF"/>
      <name val="맑은 고딕"/>
      <family val="0"/>
      <charset val="1"/>
    </font>
    <font>
      <sz val="8"/>
      <color rgb="FF595959"/>
      <name val="맑은 고딕"/>
      <family val="2"/>
    </font>
    <font>
      <sz val="8"/>
      <color rgb="FF595959"/>
      <name val="맑은 고딕"/>
      <family val="0"/>
      <charset val="1"/>
    </font>
    <font>
      <b val="true"/>
      <sz val="10"/>
      <color rgb="FF000000"/>
      <name val="맑은 고딕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003300"/>
      </patternFill>
    </fill>
    <fill>
      <patternFill patternType="solid">
        <fgColor rgb="FFF3F6F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DCE6F1"/>
      </patternFill>
    </fill>
    <fill>
      <patternFill patternType="solid">
        <fgColor rgb="FFEAEFF5"/>
        <bgColor rgb="FFF2F2F2"/>
      </patternFill>
    </fill>
    <fill>
      <patternFill patternType="solid">
        <fgColor rgb="FFF2F2F2"/>
        <bgColor rgb="FFF3F6FA"/>
      </patternFill>
    </fill>
    <fill>
      <patternFill patternType="solid">
        <fgColor rgb="FF1F6E6A"/>
        <bgColor rgb="FF3E8F8A"/>
      </patternFill>
    </fill>
    <fill>
      <patternFill patternType="solid">
        <fgColor rgb="FFD9D9D9"/>
        <bgColor rgb="FFDCE6F1"/>
      </patternFill>
    </fill>
    <fill>
      <patternFill patternType="solid">
        <fgColor rgb="FFD9EFEC"/>
        <bgColor rgb="FFDCE6F1"/>
      </patternFill>
    </fill>
    <fill>
      <patternFill patternType="solid">
        <fgColor rgb="FFDCE6F1"/>
        <bgColor rgb="FFE7E6E6"/>
      </patternFill>
    </fill>
    <fill>
      <patternFill patternType="solid">
        <fgColor rgb="FF3E8F8A"/>
        <bgColor rgb="FF1BAF7A"/>
      </patternFill>
    </fill>
    <fill>
      <patternFill patternType="solid">
        <fgColor rgb="FFFFFFFF"/>
        <bgColor rgb="FFF3F6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6E6A"/>
      </left>
      <right style="medium">
        <color rgb="FF1F6E6A"/>
      </right>
      <top style="medium">
        <color rgb="FF1F6E6A"/>
      </top>
      <bottom style="medium">
        <color rgb="FF1F6E6A"/>
      </bottom>
      <diagonal/>
    </border>
    <border diagonalUp="false" diagonalDown="false">
      <left/>
      <right/>
      <top/>
      <bottom style="thin">
        <color rgb="FF1F6E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3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3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6A"/>
      <rgbColor rgb="FFBFBFBF"/>
      <rgbColor rgb="FF808080"/>
      <rgbColor rgb="FF9999FF"/>
      <rgbColor rgb="FF993366"/>
      <rgbColor rgb="FFFFF2CC"/>
      <rgbColor rgb="FFD9EFEC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300"/>
      <rgbColor rgb="FF0000FF"/>
      <rgbColor rgb="FF00CCFF"/>
      <rgbColor rgb="FFEAEFF5"/>
      <rgbColor rgb="FFDCE6F1"/>
      <rgbColor rgb="FFF2F2F2"/>
      <rgbColor rgb="FFF3F6FA"/>
      <rgbColor rgb="FFED7D31"/>
      <rgbColor rgb="FFCC99FF"/>
      <rgbColor rgb="FFE7E6E6"/>
      <rgbColor rgb="FF2A78D6"/>
      <rgbColor rgb="FF1BAF7A"/>
      <rgbColor rgb="FF99CC00"/>
      <rgbColor rgb="FFFFC000"/>
      <rgbColor rgb="FFEDA100"/>
      <rgbColor rgb="FFEB6834"/>
      <rgbColor rgb="FF8064A2"/>
      <rgbColor rgb="FF878787"/>
      <rgbColor rgb="FF17365D"/>
      <rgbColor rgb="FF3E8F8A"/>
      <rgbColor rgb="FF003300"/>
      <rgbColor rgb="FF333300"/>
      <rgbColor rgb="FF993300"/>
      <rgbColor rgb="FF993366"/>
      <rgbColor rgb="FF4A3AA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ISC 분기말 주가 추이 (1Q22~2Q26)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'03_p1_주가추이'!A5</c:f>
              <c:strCache>
                <c:ptCount val="1"/>
                <c:pt idx="0">
                  <c:v>분기말 종가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'03_p1_주가추이'!$B$4:$S$4</c:f>
              <c:strCache>
                <c:ptCount val="18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</c:strCache>
            </c:strRef>
          </c:cat>
          <c:val>
            <c:numRef>
              <c:f>'03_p1_주가추이'!$B$5:$S$5</c:f>
              <c:numCache>
                <c:formatCode>#,##0;\(#,##0\);\-</c:formatCode>
                <c:ptCount val="18"/>
                <c:pt idx="0">
                  <c:v>29750</c:v>
                </c:pt>
                <c:pt idx="1">
                  <c:v>31200</c:v>
                </c:pt>
                <c:pt idx="2">
                  <c:v>32200</c:v>
                </c:pt>
                <c:pt idx="3">
                  <c:v>31350</c:v>
                </c:pt>
                <c:pt idx="4">
                  <c:v>40000</c:v>
                </c:pt>
                <c:pt idx="5">
                  <c:v>55200</c:v>
                </c:pt>
                <c:pt idx="6">
                  <c:v>78800</c:v>
                </c:pt>
                <c:pt idx="7">
                  <c:v>80300</c:v>
                </c:pt>
                <c:pt idx="8">
                  <c:v>98000</c:v>
                </c:pt>
                <c:pt idx="9">
                  <c:v>65500</c:v>
                </c:pt>
                <c:pt idx="10">
                  <c:v>57900</c:v>
                </c:pt>
                <c:pt idx="11">
                  <c:v>72100</c:v>
                </c:pt>
                <c:pt idx="12">
                  <c:v>51800</c:v>
                </c:pt>
                <c:pt idx="13">
                  <c:v>59800</c:v>
                </c:pt>
                <c:pt idx="14">
                  <c:v>77800</c:v>
                </c:pt>
                <c:pt idx="15">
                  <c:v>111100</c:v>
                </c:pt>
                <c:pt idx="16">
                  <c:v>233000</c:v>
                </c:pt>
                <c:pt idx="17">
                  <c:v>181500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767174"/>
        <c:axId val="81581274"/>
      </c:lineChart>
      <c:catAx>
        <c:axId val="307671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1581274"/>
        <c:crosses val="autoZero"/>
        <c:auto val="1"/>
        <c:lblAlgn val="ctr"/>
        <c:lblOffset val="100"/>
        <c:noMultiLvlLbl val="0"/>
      </c:catAx>
      <c:valAx>
        <c:axId val="81581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0767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ISC 분기말 시가총액 추이 (1Q22~2Q26)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'03_p1_주가추이'!A7</c:f>
              <c:strCache>
                <c:ptCount val="1"/>
                <c:pt idx="0">
                  <c:v>시가총액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7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'03_p1_주가추이'!$B$4:$S$4</c:f>
              <c:strCache>
                <c:ptCount val="18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</c:strCache>
            </c:strRef>
          </c:cat>
          <c:val>
            <c:numRef>
              <c:f>'03_p1_주가추이'!$B$7:$S$7</c:f>
              <c:numCache>
                <c:formatCode>#,##0.0;\(#,##0.0\);\-</c:formatCode>
                <c:ptCount val="18"/>
                <c:pt idx="0">
                  <c:v>515.84926225</c:v>
                </c:pt>
                <c:pt idx="1">
                  <c:v>540.9914952</c:v>
                </c:pt>
                <c:pt idx="2">
                  <c:v>558.3309662</c:v>
                </c:pt>
                <c:pt idx="3">
                  <c:v>543.59241585</c:v>
                </c:pt>
                <c:pt idx="4">
                  <c:v>693.57884</c:v>
                </c:pt>
                <c:pt idx="5">
                  <c:v>957.1387992</c:v>
                </c:pt>
                <c:pt idx="6">
                  <c:v>1366.3503148</c:v>
                </c:pt>
                <c:pt idx="7">
                  <c:v>1697.3057574</c:v>
                </c:pt>
                <c:pt idx="8">
                  <c:v>2071.431684</c:v>
                </c:pt>
                <c:pt idx="9">
                  <c:v>1384.477299</c:v>
                </c:pt>
                <c:pt idx="10">
                  <c:v>1223.8356582</c:v>
                </c:pt>
                <c:pt idx="11">
                  <c:v>1523.9818818</c:v>
                </c:pt>
                <c:pt idx="12">
                  <c:v>1094.8996044</c:v>
                </c:pt>
                <c:pt idx="13">
                  <c:v>1263.9960684</c:v>
                </c:pt>
                <c:pt idx="14">
                  <c:v>1644.4631124</c:v>
                </c:pt>
                <c:pt idx="15">
                  <c:v>2354.9931438</c:v>
                </c:pt>
                <c:pt idx="16">
                  <c:v>4938.914514</c:v>
                </c:pt>
                <c:pt idx="17">
                  <c:v>3847.266027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76268"/>
        <c:axId val="79231179"/>
      </c:lineChart>
      <c:catAx>
        <c:axId val="8676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9231179"/>
        <c:crosses val="autoZero"/>
        <c:auto val="1"/>
        <c:lblAlgn val="ctr"/>
        <c:lblOffset val="100"/>
        <c:noMultiLvlLbl val="0"/>
      </c:catAx>
      <c:valAx>
        <c:axId val="79231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676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7 (1) — ISC 분기 영업이익 (확정 vs 하나증권 추정)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'11_도표7_영업이익_시가총액'!A5</c:f>
              <c:strCache>
                <c:ptCount val="1"/>
                <c:pt idx="0">
                  <c:v>영업이익 (확정)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'11_도표7_영업이익_시가총액'!$B$5:$U$5</c:f>
              <c:numCache>
                <c:formatCode>#,##0.0;\(#,##0.0\);\-</c:formatCode>
                <c:ptCount val="20"/>
                <c:pt idx="4">
                  <c:v>9.8</c:v>
                </c:pt>
                <c:pt idx="5">
                  <c:v>6.5</c:v>
                </c:pt>
                <c:pt idx="6">
                  <c:v>-8</c:v>
                </c:pt>
                <c:pt idx="7">
                  <c:v>2.5</c:v>
                </c:pt>
                <c:pt idx="8">
                  <c:v>8.6</c:v>
                </c:pt>
                <c:pt idx="9">
                  <c:v>14.9</c:v>
                </c:pt>
                <c:pt idx="10">
                  <c:v>13.8</c:v>
                </c:pt>
                <c:pt idx="11">
                  <c:v>7.5</c:v>
                </c:pt>
                <c:pt idx="12">
                  <c:v>7</c:v>
                </c:pt>
                <c:pt idx="13">
                  <c:v>13.7</c:v>
                </c:pt>
                <c:pt idx="14">
                  <c:v>17.4</c:v>
                </c:pt>
                <c:pt idx="15">
                  <c:v>21.9</c:v>
                </c:pt>
                <c:pt idx="16">
                  <c:v>23.6</c:v>
                </c:pt>
              </c:numCache>
            </c:numRef>
          </c:val>
        </c:ser>
        <c:ser>
          <c:idx val="1"/>
          <c:order val="1"/>
          <c:tx>
            <c:strRef>
              <c:f>'11_도표7_영업이익_시가총액'!A6</c:f>
              <c:strCache>
                <c:ptCount val="1"/>
                <c:pt idx="0">
                  <c:v>영업이익 (하나증권 추정)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'11_도표7_영업이익_시가총액'!$B$6:$U$6</c:f>
              <c:numCache>
                <c:formatCode>#,##0.0;\(#,##0.0\);\-</c:formatCode>
                <c:ptCount val="20"/>
                <c:pt idx="16">
                  <c:v>20.6</c:v>
                </c:pt>
                <c:pt idx="17">
                  <c:v>21.5</c:v>
                </c:pt>
                <c:pt idx="18">
                  <c:v>22.7</c:v>
                </c:pt>
                <c:pt idx="19">
                  <c:v>28.9</c:v>
                </c:pt>
              </c:numCache>
            </c:numRef>
          </c:val>
        </c:ser>
        <c:gapWidth val="50"/>
        <c:overlap val="0"/>
        <c:axId val="6507209"/>
        <c:axId val="14135449"/>
      </c:barChart>
      <c:catAx>
        <c:axId val="6507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4135449"/>
        <c:crosses val="autoZero"/>
        <c:auto val="1"/>
        <c:lblAlgn val="ctr"/>
        <c:lblOffset val="100"/>
        <c:noMultiLvlLbl val="0"/>
      </c:catAx>
      <c:valAx>
        <c:axId val="14135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65072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7 (2) — ISC 분기말 시가총액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'11_도표7_영업이익_시가총액'!A11</c:f>
              <c:strCache>
                <c:ptCount val="1"/>
                <c:pt idx="0">
                  <c:v>시가총액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'11_도표7_영업이익_시가총액'!$B$11:$U$11</c:f>
              <c:numCache>
                <c:formatCode>#,##0.0;\(#,##0.0\);\-</c:formatCode>
                <c:ptCount val="20"/>
                <c:pt idx="0">
                  <c:v>515.84926225</c:v>
                </c:pt>
                <c:pt idx="1">
                  <c:v>540.9914952</c:v>
                </c:pt>
                <c:pt idx="2">
                  <c:v>558.3309662</c:v>
                </c:pt>
                <c:pt idx="3">
                  <c:v>543.59241585</c:v>
                </c:pt>
                <c:pt idx="4">
                  <c:v>693.57884</c:v>
                </c:pt>
                <c:pt idx="5">
                  <c:v>957.1387992</c:v>
                </c:pt>
                <c:pt idx="6">
                  <c:v>1366.3503148</c:v>
                </c:pt>
                <c:pt idx="7">
                  <c:v>1697.3057574</c:v>
                </c:pt>
                <c:pt idx="8">
                  <c:v>2071.431684</c:v>
                </c:pt>
                <c:pt idx="9">
                  <c:v>1384.477299</c:v>
                </c:pt>
                <c:pt idx="10">
                  <c:v>1223.8356582</c:v>
                </c:pt>
                <c:pt idx="11">
                  <c:v>1523.9818818</c:v>
                </c:pt>
                <c:pt idx="12">
                  <c:v>1094.8996044</c:v>
                </c:pt>
                <c:pt idx="13">
                  <c:v>1263.9960684</c:v>
                </c:pt>
                <c:pt idx="14">
                  <c:v>1644.4631124</c:v>
                </c:pt>
                <c:pt idx="15">
                  <c:v>2354.9931438</c:v>
                </c:pt>
                <c:pt idx="16">
                  <c:v>4938.914514</c:v>
                </c:pt>
                <c:pt idx="17">
                  <c:v>3847.266027</c:v>
                </c:pt>
              </c:numCache>
            </c:numRef>
          </c:val>
        </c:ser>
        <c:gapWidth val="50"/>
        <c:overlap val="0"/>
        <c:axId val="17058376"/>
        <c:axId val="85262593"/>
      </c:barChart>
      <c:catAx>
        <c:axId val="1705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5262593"/>
        <c:crosses val="autoZero"/>
        <c:auto val="1"/>
        <c:lblAlgn val="ctr"/>
        <c:lblOffset val="100"/>
        <c:noMultiLvlLbl val="0"/>
      </c:catAx>
      <c:valAx>
        <c:axId val="85262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7058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7 (3) — 시가총액 / TTM 영업이익 (배)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'11_도표7_영업이익_시가총액'!A15</c:f>
              <c:strCache>
                <c:ptCount val="1"/>
                <c:pt idx="0">
                  <c:v>시가총액 / TTM 영업이익</c:v>
                </c:pt>
              </c:strCache>
            </c:strRef>
          </c:tx>
          <c:spPr>
            <a:solidFill>
              <a:srgbClr val="4a3aa7"/>
            </a:solidFill>
            <a:ln w="25560">
              <a:solidFill>
                <a:srgbClr val="4a3aa7"/>
              </a:solidFill>
              <a:round/>
            </a:ln>
          </c:spPr>
          <c:marker>
            <c:symbol val="circle"/>
            <c:size val="7"/>
            <c:spPr>
              <a:solidFill>
                <a:srgbClr val="4a3a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'11_도표7_영업이익_시가총액'!$B$15:$U$15</c:f>
              <c:numCache>
                <c:formatCode>0.00\x</c:formatCode>
                <c:ptCount val="20"/>
                <c:pt idx="7">
                  <c:v>157.1579405</c:v>
                </c:pt>
                <c:pt idx="8">
                  <c:v>215.77413375</c:v>
                </c:pt>
                <c:pt idx="9">
                  <c:v>76.9154055</c:v>
                </c:pt>
                <c:pt idx="10">
                  <c:v>30.7496396532663</c:v>
                </c:pt>
                <c:pt idx="11">
                  <c:v>34.01745271875</c:v>
                </c:pt>
                <c:pt idx="12">
                  <c:v>25.34489825</c:v>
                </c:pt>
                <c:pt idx="13">
                  <c:v>30.0951444857143</c:v>
                </c:pt>
                <c:pt idx="14">
                  <c:v>36.0627875526316</c:v>
                </c:pt>
                <c:pt idx="15">
                  <c:v>39.24988573</c:v>
                </c:pt>
                <c:pt idx="16">
                  <c:v>64.4766907832898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380927"/>
        <c:axId val="11096310"/>
      </c:lineChart>
      <c:catAx>
        <c:axId val="693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1096310"/>
        <c:crosses val="autoZero"/>
        <c:auto val="1"/>
        <c:lblAlgn val="ctr"/>
        <c:lblOffset val="100"/>
        <c:noMultiLvlLbl val="0"/>
      </c:catAx>
      <c:valAx>
        <c:axId val="11096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69380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8 (1) — 어플리케이션별 분기 매출 (누적)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'12_도표8_어플리케이션별_매출'!A7</c:f>
              <c:strCache>
                <c:ptCount val="1"/>
                <c:pt idx="0">
                  <c:v>데이터센터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'12_도표8_어플리케이션별_매출'!$B$7:$M$7</c:f>
              <c:numCache>
                <c:formatCode>#,##0.0;\(#,##0.0\);\-</c:formatCode>
                <c:ptCount val="12"/>
                <c:pt idx="0">
                  <c:v>17.6</c:v>
                </c:pt>
                <c:pt idx="1">
                  <c:v>19.8</c:v>
                </c:pt>
                <c:pt idx="2">
                  <c:v>22.5</c:v>
                </c:pt>
                <c:pt idx="3">
                  <c:v>19</c:v>
                </c:pt>
                <c:pt idx="4">
                  <c:v>16.9</c:v>
                </c:pt>
                <c:pt idx="5">
                  <c:v>33.1</c:v>
                </c:pt>
                <c:pt idx="6">
                  <c:v>44</c:v>
                </c:pt>
                <c:pt idx="7">
                  <c:v>54.4</c:v>
                </c:pt>
                <c:pt idx="8">
                  <c:v>47.3</c:v>
                </c:pt>
                <c:pt idx="9">
                  <c:v>50.6</c:v>
                </c:pt>
                <c:pt idx="10">
                  <c:v>57.2</c:v>
                </c:pt>
                <c:pt idx="11">
                  <c:v>62.9</c:v>
                </c:pt>
              </c:numCache>
            </c:numRef>
          </c:val>
        </c:ser>
        <c:ser>
          <c:idx val="1"/>
          <c:order val="1"/>
          <c:tx>
            <c:strRef>
              <c:f>'12_도표8_어플리케이션별_매출'!A8</c:f>
              <c:strCache>
                <c:ptCount val="1"/>
                <c:pt idx="0">
                  <c:v>스마트폰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'12_도표8_어플리케이션별_매출'!$B$8:$M$8</c:f>
              <c:numCache>
                <c:formatCode>#,##0.0;\(#,##0.0\);\-</c:formatCode>
                <c:ptCount val="12"/>
                <c:pt idx="0">
                  <c:v>10.5</c:v>
                </c:pt>
                <c:pt idx="1">
                  <c:v>12</c:v>
                </c:pt>
                <c:pt idx="2">
                  <c:v>15</c:v>
                </c:pt>
                <c:pt idx="3">
                  <c:v>8.6</c:v>
                </c:pt>
                <c:pt idx="4">
                  <c:v>9.5</c:v>
                </c:pt>
                <c:pt idx="5">
                  <c:v>14</c:v>
                </c:pt>
                <c:pt idx="6">
                  <c:v>13.5</c:v>
                </c:pt>
                <c:pt idx="7">
                  <c:v>12</c:v>
                </c:pt>
                <c:pt idx="8">
                  <c:v>9.6</c:v>
                </c:pt>
                <c:pt idx="9">
                  <c:v>10.6</c:v>
                </c:pt>
                <c:pt idx="10">
                  <c:v>10.6</c:v>
                </c:pt>
                <c:pt idx="11">
                  <c:v>10</c:v>
                </c:pt>
              </c:numCache>
            </c:numRef>
          </c:val>
        </c:ser>
        <c:ser>
          <c:idx val="2"/>
          <c:order val="2"/>
          <c:tx>
            <c:strRef>
              <c:f>'12_도표8_어플리케이션별_매출'!A9</c:f>
              <c:strCache>
                <c:ptCount val="1"/>
                <c:pt idx="0">
                  <c:v>PC/Laptop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'12_도표8_어플리케이션별_매출'!$B$9:$M$9</c:f>
              <c:numCache>
                <c:formatCode>#,##0.0;\(#,##0.0\);\-</c:formatCode>
                <c:ptCount val="12"/>
                <c:pt idx="0">
                  <c:v>2.9</c:v>
                </c:pt>
                <c:pt idx="1">
                  <c:v>8</c:v>
                </c:pt>
                <c:pt idx="2">
                  <c:v>10</c:v>
                </c:pt>
                <c:pt idx="3">
                  <c:v>8.3</c:v>
                </c:pt>
                <c:pt idx="4">
                  <c:v>3.2</c:v>
                </c:pt>
                <c:pt idx="5">
                  <c:v>3</c:v>
                </c:pt>
                <c:pt idx="6">
                  <c:v>4.5</c:v>
                </c:pt>
                <c:pt idx="7">
                  <c:v>3</c:v>
                </c:pt>
                <c:pt idx="8">
                  <c:v>3.4</c:v>
                </c:pt>
                <c:pt idx="9">
                  <c:v>3.5</c:v>
                </c:pt>
                <c:pt idx="10">
                  <c:v>3.6</c:v>
                </c:pt>
                <c:pt idx="11">
                  <c:v>3.4</c:v>
                </c:pt>
              </c:numCache>
            </c:numRef>
          </c:val>
        </c:ser>
        <c:ser>
          <c:idx val="3"/>
          <c:order val="3"/>
          <c:tx>
            <c:strRef>
              <c:f>'12_도표8_어플리케이션별_매출'!A10</c:f>
              <c:strCache>
                <c:ptCount val="1"/>
                <c:pt idx="0">
                  <c:v>오토모티브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'12_도표8_어플리케이션별_매출'!$B$10:$M$10</c:f>
              <c:numCache>
                <c:formatCode>#,##0.0;\(#,##0.0\);\-</c:formatCode>
                <c:ptCount val="12"/>
                <c:pt idx="0">
                  <c:v>1.8</c:v>
                </c:pt>
                <c:pt idx="1">
                  <c:v>2</c:v>
                </c:pt>
                <c:pt idx="2">
                  <c:v>1.5</c:v>
                </c:pt>
                <c:pt idx="3">
                  <c:v>2.9</c:v>
                </c:pt>
                <c:pt idx="4">
                  <c:v>1</c:v>
                </c:pt>
                <c:pt idx="5">
                  <c:v>0.7</c:v>
                </c:pt>
                <c:pt idx="6">
                  <c:v>1.5</c:v>
                </c:pt>
                <c:pt idx="7">
                  <c:v>1.9</c:v>
                </c:pt>
                <c:pt idx="8">
                  <c:v>3.3</c:v>
                </c:pt>
                <c:pt idx="9">
                  <c:v>2.8</c:v>
                </c:pt>
                <c:pt idx="10">
                  <c:v>3.4</c:v>
                </c:pt>
                <c:pt idx="11">
                  <c:v>4.8</c:v>
                </c:pt>
              </c:numCache>
            </c:numRef>
          </c:val>
        </c:ser>
        <c:ser>
          <c:idx val="4"/>
          <c:order val="4"/>
          <c:tx>
            <c:strRef>
              <c:f>'12_도표8_어플리케이션별_매출'!A11</c:f>
              <c:strCache>
                <c:ptCount val="1"/>
                <c:pt idx="0">
                  <c:v>웨어러블</c:v>
                </c:pt>
              </c:strCache>
            </c:strRef>
          </c:tx>
          <c:spPr>
            <a:solidFill>
              <a:srgbClr val="e87ba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'12_도표8_어플리케이션별_매출'!$B$11:$M$11</c:f>
              <c:numCache>
                <c:formatCode>#,##0.0;\(#,##0.0\);\-</c:formatCode>
                <c:ptCount val="12"/>
                <c:pt idx="0">
                  <c:v>1.8</c:v>
                </c:pt>
                <c:pt idx="1">
                  <c:v>2.8</c:v>
                </c:pt>
                <c:pt idx="2">
                  <c:v>1</c:v>
                </c:pt>
                <c:pt idx="3">
                  <c:v>0</c:v>
                </c:pt>
                <c:pt idx="4">
                  <c:v>0.7</c:v>
                </c:pt>
                <c:pt idx="5">
                  <c:v>0.7</c:v>
                </c:pt>
                <c:pt idx="6">
                  <c:v>0.8</c:v>
                </c:pt>
                <c:pt idx="7">
                  <c:v>1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</c:ser>
        <c:ser>
          <c:idx val="5"/>
          <c:order val="5"/>
          <c:tx>
            <c:strRef>
              <c:f>'12_도표8_어플리케이션별_매출'!A12</c:f>
              <c:strCache>
                <c:ptCount val="1"/>
                <c:pt idx="0">
                  <c:v>LSI</c:v>
                </c:pt>
              </c:strCache>
            </c:strRef>
          </c:tx>
          <c:spPr>
            <a:solidFill>
              <a:srgbClr val="0083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'12_도표8_어플리케이션별_매출'!$B$12:$M$12</c:f>
              <c:numCache>
                <c:formatCode>#,##0.0;\(#,##0.0\);\-</c:formatCode>
                <c:ptCount val="12"/>
                <c:pt idx="0">
                  <c:v>0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'12_도표8_어플리케이션별_매출'!A13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rgbClr val="4a3aa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'12_도표8_어플리케이션별_매출'!$B$13:$M$13</c:f>
              <c:numCache>
                <c:formatCode>#,##0.0;\(#,##0.0\);\-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0.4</c:v>
                </c:pt>
                <c:pt idx="5">
                  <c:v>0.2</c:v>
                </c:pt>
                <c:pt idx="6">
                  <c:v>0.2</c:v>
                </c:pt>
                <c:pt idx="7">
                  <c:v>0</c:v>
                </c:pt>
                <c:pt idx="8">
                  <c:v>2</c:v>
                </c:pt>
                <c:pt idx="9">
                  <c:v>2.7</c:v>
                </c:pt>
                <c:pt idx="10">
                  <c:v>1.5</c:v>
                </c:pt>
                <c:pt idx="11">
                  <c:v>6.3</c:v>
                </c:pt>
              </c:numCache>
            </c:numRef>
          </c:val>
        </c:ser>
        <c:gapWidth val="40"/>
        <c:overlap val="100"/>
        <c:axId val="42621074"/>
        <c:axId val="89514158"/>
      </c:barChart>
      <c:catAx>
        <c:axId val="42621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9514158"/>
        <c:crosses val="autoZero"/>
        <c:auto val="1"/>
        <c:lblAlgn val="ctr"/>
        <c:lblOffset val="100"/>
        <c:noMultiLvlLbl val="0"/>
      </c:catAx>
      <c:valAx>
        <c:axId val="89514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426210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8 (2) — 어플리케이션별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'12_도표8_어플리케이션별_매출'!A17</c:f>
              <c:strCache>
                <c:ptCount val="1"/>
                <c:pt idx="0">
                  <c:v>데이터센터 비중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'12_도표8_어플리케이션별_매출'!$B$17:$M$17</c:f>
              <c:numCache>
                <c:formatCode>0.0%;\(0.0%\);\-</c:formatCode>
                <c:ptCount val="12"/>
                <c:pt idx="0">
                  <c:v>0.501424501424502</c:v>
                </c:pt>
                <c:pt idx="1">
                  <c:v>0.397590361445783</c:v>
                </c:pt>
                <c:pt idx="2">
                  <c:v>0.446428571428571</c:v>
                </c:pt>
                <c:pt idx="3">
                  <c:v>0.483460559796438</c:v>
                </c:pt>
                <c:pt idx="4">
                  <c:v>0.533123028391167</c:v>
                </c:pt>
                <c:pt idx="5">
                  <c:v>0.640232108317215</c:v>
                </c:pt>
                <c:pt idx="6">
                  <c:v>0.682170542635659</c:v>
                </c:pt>
                <c:pt idx="7">
                  <c:v>0.752420470262794</c:v>
                </c:pt>
                <c:pt idx="8">
                  <c:v>0.711278195488722</c:v>
                </c:pt>
                <c:pt idx="9">
                  <c:v>0.712676056338028</c:v>
                </c:pt>
                <c:pt idx="10">
                  <c:v>0.74189364461738</c:v>
                </c:pt>
                <c:pt idx="11">
                  <c:v>0.711538461538462</c:v>
                </c:pt>
              </c:numCache>
            </c:numRef>
          </c:val>
        </c:ser>
        <c:ser>
          <c:idx val="1"/>
          <c:order val="1"/>
          <c:tx>
            <c:strRef>
              <c:f>'12_도표8_어플리케이션별_매출'!A18</c:f>
              <c:strCache>
                <c:ptCount val="1"/>
                <c:pt idx="0">
                  <c:v>스마트폰 비중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'12_도표8_어플리케이션별_매출'!$B$18:$M$18</c:f>
              <c:numCache>
                <c:formatCode>0.0%;\(0.0%\);\-</c:formatCode>
                <c:ptCount val="12"/>
                <c:pt idx="0">
                  <c:v>0.299145299145299</c:v>
                </c:pt>
                <c:pt idx="1">
                  <c:v>0.240963855421687</c:v>
                </c:pt>
                <c:pt idx="2">
                  <c:v>0.297619047619048</c:v>
                </c:pt>
                <c:pt idx="3">
                  <c:v>0.21882951653944</c:v>
                </c:pt>
                <c:pt idx="4">
                  <c:v>0.299684542586751</c:v>
                </c:pt>
                <c:pt idx="5">
                  <c:v>0.270793036750484</c:v>
                </c:pt>
                <c:pt idx="6">
                  <c:v>0.209302325581395</c:v>
                </c:pt>
                <c:pt idx="7">
                  <c:v>0.16597510373444</c:v>
                </c:pt>
                <c:pt idx="8">
                  <c:v>0.144360902255639</c:v>
                </c:pt>
                <c:pt idx="9">
                  <c:v>0.149295774647887</c:v>
                </c:pt>
                <c:pt idx="10">
                  <c:v>0.137483787289235</c:v>
                </c:pt>
                <c:pt idx="11">
                  <c:v>0.113122171945701</c:v>
                </c:pt>
              </c:numCache>
            </c:numRef>
          </c:val>
        </c:ser>
        <c:ser>
          <c:idx val="2"/>
          <c:order val="2"/>
          <c:tx>
            <c:strRef>
              <c:f>'12_도표8_어플리케이션별_매출'!A19</c:f>
              <c:strCache>
                <c:ptCount val="1"/>
                <c:pt idx="0">
                  <c:v>PC/Laptop 비중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'12_도표8_어플리케이션별_매출'!$B$19:$M$19</c:f>
              <c:numCache>
                <c:formatCode>0.0%;\(0.0%\);\-</c:formatCode>
                <c:ptCount val="12"/>
                <c:pt idx="0">
                  <c:v>0.0826210826210826</c:v>
                </c:pt>
                <c:pt idx="1">
                  <c:v>0.160642570281125</c:v>
                </c:pt>
                <c:pt idx="2">
                  <c:v>0.198412698412698</c:v>
                </c:pt>
                <c:pt idx="3">
                  <c:v>0.211195928753181</c:v>
                </c:pt>
                <c:pt idx="4">
                  <c:v>0.100946372239748</c:v>
                </c:pt>
                <c:pt idx="5">
                  <c:v>0.058027079303675</c:v>
                </c:pt>
                <c:pt idx="6">
                  <c:v>0.0697674418604651</c:v>
                </c:pt>
                <c:pt idx="7">
                  <c:v>0.04149377593361</c:v>
                </c:pt>
                <c:pt idx="8">
                  <c:v>0.0511278195488722</c:v>
                </c:pt>
                <c:pt idx="9">
                  <c:v>0.0492957746478873</c:v>
                </c:pt>
                <c:pt idx="10">
                  <c:v>0.0466926070038911</c:v>
                </c:pt>
                <c:pt idx="11">
                  <c:v>0.0384615384615385</c:v>
                </c:pt>
              </c:numCache>
            </c:numRef>
          </c:val>
        </c:ser>
        <c:ser>
          <c:idx val="3"/>
          <c:order val="3"/>
          <c:tx>
            <c:strRef>
              <c:f>'12_도표8_어플리케이션별_매출'!A20</c:f>
              <c:strCache>
                <c:ptCount val="1"/>
                <c:pt idx="0">
                  <c:v>오토모티브 비중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'12_도표8_어플리케이션별_매출'!$B$20:$M$20</c:f>
              <c:numCache>
                <c:formatCode>0.0%;\(0.0%\);\-</c:formatCode>
                <c:ptCount val="12"/>
                <c:pt idx="0">
                  <c:v>0.0512820512820513</c:v>
                </c:pt>
                <c:pt idx="1">
                  <c:v>0.0401606425702811</c:v>
                </c:pt>
                <c:pt idx="2">
                  <c:v>0.0297619047619048</c:v>
                </c:pt>
                <c:pt idx="3">
                  <c:v>0.0737913486005089</c:v>
                </c:pt>
                <c:pt idx="4">
                  <c:v>0.0315457413249211</c:v>
                </c:pt>
                <c:pt idx="5">
                  <c:v>0.0135396518375242</c:v>
                </c:pt>
                <c:pt idx="6">
                  <c:v>0.0232558139534884</c:v>
                </c:pt>
                <c:pt idx="7">
                  <c:v>0.0262793914246196</c:v>
                </c:pt>
                <c:pt idx="8">
                  <c:v>0.0496240601503759</c:v>
                </c:pt>
                <c:pt idx="9">
                  <c:v>0.0394366197183099</c:v>
                </c:pt>
                <c:pt idx="10">
                  <c:v>0.0440985732814527</c:v>
                </c:pt>
                <c:pt idx="11">
                  <c:v>0.0542986425339366</c:v>
                </c:pt>
              </c:numCache>
            </c:numRef>
          </c:val>
        </c:ser>
        <c:ser>
          <c:idx val="4"/>
          <c:order val="4"/>
          <c:tx>
            <c:strRef>
              <c:f>'12_도표8_어플리케이션별_매출'!A21</c:f>
              <c:strCache>
                <c:ptCount val="1"/>
                <c:pt idx="0">
                  <c:v>웨어러블 비중</c:v>
                </c:pt>
              </c:strCache>
            </c:strRef>
          </c:tx>
          <c:spPr>
            <a:solidFill>
              <a:srgbClr val="e87ba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'12_도표8_어플리케이션별_매출'!$B$21:$M$21</c:f>
              <c:numCache>
                <c:formatCode>0.0%;\(0.0%\);\-</c:formatCode>
                <c:ptCount val="12"/>
                <c:pt idx="0">
                  <c:v>0.0512820512820513</c:v>
                </c:pt>
                <c:pt idx="1">
                  <c:v>0.0562248995983936</c:v>
                </c:pt>
                <c:pt idx="2">
                  <c:v>0.0198412698412698</c:v>
                </c:pt>
                <c:pt idx="3">
                  <c:v>0</c:v>
                </c:pt>
                <c:pt idx="4">
                  <c:v>0.0220820189274448</c:v>
                </c:pt>
                <c:pt idx="5">
                  <c:v>0.0135396518375242</c:v>
                </c:pt>
                <c:pt idx="6">
                  <c:v>0.0124031007751938</c:v>
                </c:pt>
                <c:pt idx="7">
                  <c:v>0.0138312586445367</c:v>
                </c:pt>
                <c:pt idx="8">
                  <c:v>0.0120300751879699</c:v>
                </c:pt>
                <c:pt idx="9">
                  <c:v>0.0112676056338028</c:v>
                </c:pt>
                <c:pt idx="10">
                  <c:v>0.0116731517509728</c:v>
                </c:pt>
                <c:pt idx="11">
                  <c:v>0.0101809954751131</c:v>
                </c:pt>
              </c:numCache>
            </c:numRef>
          </c:val>
        </c:ser>
        <c:ser>
          <c:idx val="5"/>
          <c:order val="5"/>
          <c:tx>
            <c:strRef>
              <c:f>'12_도표8_어플리케이션별_매출'!A22</c:f>
              <c:strCache>
                <c:ptCount val="1"/>
                <c:pt idx="0">
                  <c:v>LSI 비중</c:v>
                </c:pt>
              </c:strCache>
            </c:strRef>
          </c:tx>
          <c:spPr>
            <a:solidFill>
              <a:srgbClr val="0083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'12_도표8_어플리케이션별_매출'!$B$22:$M$22</c:f>
              <c:numCache>
                <c:formatCode>0.0%;\(0.0%\);\-</c:formatCode>
                <c:ptCount val="12"/>
                <c:pt idx="0">
                  <c:v>0</c:v>
                </c:pt>
                <c:pt idx="1">
                  <c:v>0.0943775100401607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'12_도표8_어플리케이션별_매출'!A23</c:f>
              <c:strCache>
                <c:ptCount val="1"/>
                <c:pt idx="0">
                  <c:v>기타 비중</c:v>
                </c:pt>
              </c:strCache>
            </c:strRef>
          </c:tx>
          <c:spPr>
            <a:solidFill>
              <a:srgbClr val="4a3aa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'12_도표8_어플리케이션별_매출'!$B$23:$M$23</c:f>
              <c:numCache>
                <c:formatCode>0.0%;\(0.0%\);\-</c:formatCode>
                <c:ptCount val="12"/>
                <c:pt idx="0">
                  <c:v>0.0142450142450142</c:v>
                </c:pt>
                <c:pt idx="1">
                  <c:v>0.0100401606425703</c:v>
                </c:pt>
                <c:pt idx="2">
                  <c:v>0.00992063492063492</c:v>
                </c:pt>
                <c:pt idx="3">
                  <c:v>0.0127226463104326</c:v>
                </c:pt>
                <c:pt idx="4">
                  <c:v>0.0126182965299685</c:v>
                </c:pt>
                <c:pt idx="5">
                  <c:v>0.00386847195357834</c:v>
                </c:pt>
                <c:pt idx="6">
                  <c:v>0.00310077519379845</c:v>
                </c:pt>
                <c:pt idx="7">
                  <c:v>0</c:v>
                </c:pt>
                <c:pt idx="8">
                  <c:v>0.0300751879699248</c:v>
                </c:pt>
                <c:pt idx="9">
                  <c:v>0.0380281690140845</c:v>
                </c:pt>
                <c:pt idx="10">
                  <c:v>0.0194552529182879</c:v>
                </c:pt>
                <c:pt idx="11">
                  <c:v>0.0712669683257919</c:v>
                </c:pt>
              </c:numCache>
            </c:numRef>
          </c:val>
        </c:ser>
        <c:gapWidth val="40"/>
        <c:overlap val="100"/>
        <c:axId val="7462351"/>
        <c:axId val="31879645"/>
      </c:barChart>
      <c:catAx>
        <c:axId val="74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1879645"/>
        <c:crosses val="autoZero"/>
        <c:auto val="1"/>
        <c:lblAlgn val="ctr"/>
        <c:lblOffset val="100"/>
        <c:noMultiLvlLbl val="0"/>
      </c:catAx>
      <c:valAx>
        <c:axId val="31879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비중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4623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9 (1) — ISC 연간 매출액·영업이익 (2018~2027F)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'13_도표9_연간실적추이'!A5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'13_도표9_연간실적추이'!$B$4:$K$4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</c:strCache>
            </c:strRef>
          </c:cat>
          <c:val>
            <c:numRef>
              <c:f>'13_도표9_연간실적추이'!$B$5:$K$5</c:f>
              <c:numCache>
                <c:formatCode>#,##0.0;\(#,##0.0\);\-</c:formatCode>
                <c:ptCount val="10"/>
                <c:pt idx="0">
                  <c:v>116.1</c:v>
                </c:pt>
                <c:pt idx="1">
                  <c:v>87.7</c:v>
                </c:pt>
                <c:pt idx="2">
                  <c:v>121.8</c:v>
                </c:pt>
                <c:pt idx="3">
                  <c:v>144.7</c:v>
                </c:pt>
                <c:pt idx="4">
                  <c:v>178.9</c:v>
                </c:pt>
                <c:pt idx="5">
                  <c:v>140.2</c:v>
                </c:pt>
                <c:pt idx="6">
                  <c:v>174.5</c:v>
                </c:pt>
                <c:pt idx="7">
                  <c:v>220.19</c:v>
                </c:pt>
                <c:pt idx="8">
                  <c:v>302.9</c:v>
                </c:pt>
                <c:pt idx="9">
                  <c:v>373.1</c:v>
                </c:pt>
              </c:numCache>
            </c:numRef>
          </c:val>
        </c:ser>
        <c:ser>
          <c:idx val="1"/>
          <c:order val="1"/>
          <c:tx>
            <c:strRef>
              <c:f>'13_도표9_연간실적추이'!A6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'13_도표9_연간실적추이'!$B$4:$K$4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</c:strCache>
            </c:strRef>
          </c:cat>
          <c:val>
            <c:numRef>
              <c:f>'13_도표9_연간실적추이'!$B$6:$K$6</c:f>
              <c:numCache>
                <c:formatCode>#,##0.0;\(#,##0.0\);\-</c:formatCode>
                <c:ptCount val="10"/>
                <c:pt idx="0">
                  <c:v>12.7</c:v>
                </c:pt>
                <c:pt idx="1">
                  <c:v>2</c:v>
                </c:pt>
                <c:pt idx="2">
                  <c:v>18.1</c:v>
                </c:pt>
                <c:pt idx="3">
                  <c:v>37.5</c:v>
                </c:pt>
                <c:pt idx="4">
                  <c:v>55.9</c:v>
                </c:pt>
                <c:pt idx="5">
                  <c:v>10.7</c:v>
                </c:pt>
                <c:pt idx="6">
                  <c:v>44.8</c:v>
                </c:pt>
                <c:pt idx="7">
                  <c:v>60.05</c:v>
                </c:pt>
                <c:pt idx="8">
                  <c:v>93.7</c:v>
                </c:pt>
                <c:pt idx="9">
                  <c:v>125.1</c:v>
                </c:pt>
              </c:numCache>
            </c:numRef>
          </c:val>
        </c:ser>
        <c:gapWidth val="50"/>
        <c:overlap val="0"/>
        <c:axId val="77024667"/>
        <c:axId val="28066603"/>
      </c:barChart>
      <c:catAx>
        <c:axId val="77024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28066603"/>
        <c:crosses val="autoZero"/>
        <c:auto val="1"/>
        <c:lblAlgn val="ctr"/>
        <c:lblOffset val="100"/>
        <c:noMultiLvlLbl val="0"/>
      </c:catAx>
      <c:valAx>
        <c:axId val="28066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70246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9 (2) — ISC 연간 영업이익률 (2018~2027F)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'13_도표9_연간실적추이'!A7</c:f>
              <c:strCache>
                <c:ptCount val="1"/>
                <c:pt idx="0">
                  <c:v>영업이익률 (OPM)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7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'13_도표9_연간실적추이'!$B$4:$K$4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</c:strCache>
            </c:strRef>
          </c:cat>
          <c:val>
            <c:numRef>
              <c:f>'13_도표9_연간실적추이'!$B$7:$K$7</c:f>
              <c:numCache>
                <c:formatCode>0.0%;\(0.0%\);\-</c:formatCode>
                <c:ptCount val="10"/>
                <c:pt idx="0">
                  <c:v>0.109388458225668</c:v>
                </c:pt>
                <c:pt idx="1">
                  <c:v>0.0228050171037628</c:v>
                </c:pt>
                <c:pt idx="2">
                  <c:v>0.148604269293924</c:v>
                </c:pt>
                <c:pt idx="3">
                  <c:v>0.259156876295784</c:v>
                </c:pt>
                <c:pt idx="4">
                  <c:v>0.312465064281722</c:v>
                </c:pt>
                <c:pt idx="5">
                  <c:v>0.0763195435092725</c:v>
                </c:pt>
                <c:pt idx="6">
                  <c:v>0.256733524355301</c:v>
                </c:pt>
                <c:pt idx="7">
                  <c:v>0.272719015395795</c:v>
                </c:pt>
                <c:pt idx="8">
                  <c:v>0.309343017497524</c:v>
                </c:pt>
                <c:pt idx="9">
                  <c:v>0.33529884749397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234570"/>
        <c:axId val="83924633"/>
      </c:lineChart>
      <c:catAx>
        <c:axId val="86234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3924633"/>
        <c:crosses val="autoZero"/>
        <c:auto val="1"/>
        <c:lblAlgn val="ctr"/>
        <c:lblOffset val="100"/>
        <c:noMultiLvlLbl val="0"/>
      </c:catAx>
      <c:valAx>
        <c:axId val="83924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OPM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62345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10 (1) — 분기 Socket / Non-socket 매출 (1Q23~4Q25)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'14_도표10_소켓_비소켓'!A8</c:f>
              <c:strCache>
                <c:ptCount val="1"/>
                <c:pt idx="0">
                  <c:v>Socket (= 총매출 − Non Socket)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'14_도표10_소켓_비소켓'!$B$8:$M$8</c:f>
              <c:numCache>
                <c:formatCode>#,##0.0;\(#,##0.0\);\-</c:formatCode>
                <c:ptCount val="12"/>
                <c:pt idx="0">
                  <c:v>44.1</c:v>
                </c:pt>
                <c:pt idx="1">
                  <c:v>32.9</c:v>
                </c:pt>
                <c:pt idx="2">
                  <c:v>29.2</c:v>
                </c:pt>
                <c:pt idx="3">
                  <c:v>24</c:v>
                </c:pt>
                <c:pt idx="4">
                  <c:v>34.7</c:v>
                </c:pt>
                <c:pt idx="5">
                  <c:v>49.2</c:v>
                </c:pt>
                <c:pt idx="6">
                  <c:v>49.9</c:v>
                </c:pt>
                <c:pt idx="7">
                  <c:v>38.8</c:v>
                </c:pt>
                <c:pt idx="8">
                  <c:v>31.3</c:v>
                </c:pt>
                <c:pt idx="9">
                  <c:v>51.5</c:v>
                </c:pt>
                <c:pt idx="10">
                  <c:v>59.5</c:v>
                </c:pt>
                <c:pt idx="11">
                  <c:v>54</c:v>
                </c:pt>
              </c:numCache>
            </c:numRef>
          </c:val>
        </c:ser>
        <c:ser>
          <c:idx val="1"/>
          <c:order val="1"/>
          <c:tx>
            <c:strRef>
              <c:f>'14_도표10_소켓_비소켓'!A7</c:f>
              <c:strCache>
                <c:ptCount val="1"/>
                <c:pt idx="0">
                  <c:v>Non Socket (장비·소재 등)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'14_도표10_소켓_비소켓'!$B$7:$M$7</c:f>
              <c:numCache>
                <c:formatCode>#,##0.0;\(#,##0.0\);\-</c:formatCode>
                <c:ptCount val="12"/>
                <c:pt idx="0">
                  <c:v>2.3</c:v>
                </c:pt>
                <c:pt idx="1">
                  <c:v>3.1</c:v>
                </c:pt>
                <c:pt idx="2">
                  <c:v>3.7</c:v>
                </c:pt>
                <c:pt idx="3">
                  <c:v>0.9</c:v>
                </c:pt>
                <c:pt idx="4">
                  <c:v>0.4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  <c:pt idx="8">
                  <c:v>0.4</c:v>
                </c:pt>
                <c:pt idx="9">
                  <c:v>0.2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</c:ser>
        <c:gapWidth val="40"/>
        <c:overlap val="100"/>
        <c:axId val="7419327"/>
        <c:axId val="77872072"/>
      </c:barChart>
      <c:catAx>
        <c:axId val="74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7872072"/>
        <c:crosses val="autoZero"/>
        <c:auto val="1"/>
        <c:lblAlgn val="ctr"/>
        <c:lblOffset val="100"/>
        <c:noMultiLvlLbl val="0"/>
      </c:catAx>
      <c:valAx>
        <c:axId val="77872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4193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10 (2) — 연간 Socket / Non-socket 매출 (FY22~FY26E)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'14_도표10_소켓_비소켓'!A18</c:f>
              <c:strCache>
                <c:ptCount val="1"/>
                <c:pt idx="0">
                  <c:v>Socket (= 총매출 − Non Socket)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'14_도표10_소켓_비소켓'!$B$15:$F$15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FY25E</c:v>
                </c:pt>
                <c:pt idx="4">
                  <c:v>FY26E</c:v>
                </c:pt>
              </c:strCache>
            </c:strRef>
          </c:cat>
          <c:val>
            <c:numRef>
              <c:f>'14_도표10_소켓_비소켓'!$B$18:$F$18</c:f>
              <c:numCache>
                <c:formatCode>#,##0.0;\(#,##0.0\);\-</c:formatCode>
                <c:ptCount val="5"/>
                <c:pt idx="0">
                  <c:v>178.9</c:v>
                </c:pt>
                <c:pt idx="1">
                  <c:v>130.2</c:v>
                </c:pt>
                <c:pt idx="2">
                  <c:v>172.6</c:v>
                </c:pt>
                <c:pt idx="3">
                  <c:v>196.2</c:v>
                </c:pt>
                <c:pt idx="4">
                  <c:v>226.9</c:v>
                </c:pt>
              </c:numCache>
            </c:numRef>
          </c:val>
        </c:ser>
        <c:ser>
          <c:idx val="1"/>
          <c:order val="1"/>
          <c:tx>
            <c:strRef>
              <c:f>'14_도표10_소켓_비소켓'!A17</c:f>
              <c:strCache>
                <c:ptCount val="1"/>
                <c:pt idx="0">
                  <c:v>Non Socket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'14_도표10_소켓_비소켓'!$B$15:$F$15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FY25E</c:v>
                </c:pt>
                <c:pt idx="4">
                  <c:v>FY26E</c:v>
                </c:pt>
              </c:strCache>
            </c:strRef>
          </c:cat>
          <c:val>
            <c:numRef>
              <c:f>'14_도표10_소켓_비소켓'!$B$17:$F$17</c:f>
              <c:numCache>
                <c:formatCode>#,##0.0;\(#,##0.0\);\-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1.9</c:v>
                </c:pt>
                <c:pt idx="3">
                  <c:v>20.6</c:v>
                </c:pt>
                <c:pt idx="4">
                  <c:v>24.7</c:v>
                </c:pt>
              </c:numCache>
            </c:numRef>
          </c:val>
        </c:ser>
        <c:gapWidth val="60"/>
        <c:overlap val="100"/>
        <c:axId val="37960501"/>
        <c:axId val="26064393"/>
      </c:barChart>
      <c:catAx>
        <c:axId val="37960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26064393"/>
        <c:crosses val="autoZero"/>
        <c:auto val="1"/>
        <c:lblAlgn val="ctr"/>
        <c:lblOffset val="100"/>
        <c:noMultiLvlLbl val="0"/>
      </c:catAx>
      <c:valAx>
        <c:axId val="26064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79605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메모리 / 비메모리 분기 매출 (IM증권 2025.10.13)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D3_매출분해_대체분류!A7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D3_매출분해_대체분류!$B$7:$M$7</c:f>
              <c:numCache>
                <c:formatCode>#,##0.0;\(#,##0.0\);\-</c:formatCode>
                <c:ptCount val="12"/>
                <c:pt idx="0">
                  <c:v>10.1</c:v>
                </c:pt>
                <c:pt idx="1">
                  <c:v>6</c:v>
                </c:pt>
                <c:pt idx="2">
                  <c:v>6.6</c:v>
                </c:pt>
                <c:pt idx="3">
                  <c:v>5</c:v>
                </c:pt>
                <c:pt idx="4">
                  <c:v>5</c:v>
                </c:pt>
                <c:pt idx="5">
                  <c:v>7.5</c:v>
                </c:pt>
                <c:pt idx="6">
                  <c:v>8</c:v>
                </c:pt>
                <c:pt idx="7">
                  <c:v>5.1</c:v>
                </c:pt>
                <c:pt idx="8">
                  <c:v>5.9</c:v>
                </c:pt>
                <c:pt idx="9">
                  <c:v>5.8</c:v>
                </c:pt>
                <c:pt idx="10">
                  <c:v>4.5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D3_매출분해_대체분류!A8</c:f>
              <c:strCache>
                <c:ptCount val="1"/>
                <c:pt idx="0">
                  <c:v>Non-Memory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D3_매출분해_대체분류!$B$8:$M$8</c:f>
              <c:numCache>
                <c:formatCode>#,##0.0;\(#,##0.0\);\-</c:formatCode>
                <c:ptCount val="12"/>
                <c:pt idx="0">
                  <c:v>34</c:v>
                </c:pt>
                <c:pt idx="1">
                  <c:v>26.9</c:v>
                </c:pt>
                <c:pt idx="2">
                  <c:v>22.6</c:v>
                </c:pt>
                <c:pt idx="3">
                  <c:v>19</c:v>
                </c:pt>
                <c:pt idx="4">
                  <c:v>29.7</c:v>
                </c:pt>
                <c:pt idx="5">
                  <c:v>41.7</c:v>
                </c:pt>
                <c:pt idx="6">
                  <c:v>41.9</c:v>
                </c:pt>
                <c:pt idx="7">
                  <c:v>33.7</c:v>
                </c:pt>
                <c:pt idx="8">
                  <c:v>25.4</c:v>
                </c:pt>
                <c:pt idx="9">
                  <c:v>45.7</c:v>
                </c:pt>
                <c:pt idx="10">
                  <c:v>55</c:v>
                </c:pt>
                <c:pt idx="11">
                  <c:v>49</c:v>
                </c:pt>
              </c:numCache>
            </c:numRef>
          </c:val>
        </c:ser>
        <c:gapWidth val="40"/>
        <c:overlap val="100"/>
        <c:axId val="3141145"/>
        <c:axId val="74801902"/>
      </c:barChart>
      <c:catAx>
        <c:axId val="31411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4801902"/>
        <c:crosses val="autoZero"/>
        <c:auto val="1"/>
        <c:lblAlgn val="ctr"/>
        <c:lblOffset val="100"/>
        <c:noMultiLvlLbl val="0"/>
      </c:catAx>
      <c:valAx>
        <c:axId val="74801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1411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AI / 비AI 매출 (미래에셋 2026.01.29, 일부 분기)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D3_매출분해_대체분류!A14</c:f>
              <c:strCache>
                <c:ptCount val="1"/>
                <c:pt idx="0">
                  <c:v>AI 매출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D3_매출분해_대체분류!$B$13:$F$13</c:f>
              <c:strCache>
                <c:ptCount val="5"/>
                <c:pt idx="0">
                  <c:v>1Q24</c:v>
                </c:pt>
                <c:pt idx="1">
                  <c:v>3Q24</c:v>
                </c:pt>
                <c:pt idx="2">
                  <c:v>4Q24</c:v>
                </c:pt>
                <c:pt idx="3">
                  <c:v>2Q25</c:v>
                </c:pt>
                <c:pt idx="4">
                  <c:v>3Q25</c:v>
                </c:pt>
              </c:strCache>
            </c:strRef>
          </c:cat>
          <c:val>
            <c:numRef>
              <c:f>D3_매출분해_대체분류!$B$14:$F$14</c:f>
              <c:numCache>
                <c:formatCode>#,##0.0;\(#,##0.0\);\-</c:formatCode>
                <c:ptCount val="5"/>
                <c:pt idx="0">
                  <c:v>8.9</c:v>
                </c:pt>
                <c:pt idx="1">
                  <c:v>17.6</c:v>
                </c:pt>
                <c:pt idx="2">
                  <c:v>27.5</c:v>
                </c:pt>
                <c:pt idx="3">
                  <c:v>34.5</c:v>
                </c:pt>
                <c:pt idx="4">
                  <c:v>43</c:v>
                </c:pt>
              </c:numCache>
            </c:numRef>
          </c:val>
        </c:ser>
        <c:ser>
          <c:idx val="1"/>
          <c:order val="1"/>
          <c:tx>
            <c:strRef>
              <c:f>D3_매출분해_대체분류!A15</c:f>
              <c:strCache>
                <c:ptCount val="1"/>
                <c:pt idx="0">
                  <c:v>비AI 매출</c:v>
                </c:pt>
              </c:strCache>
            </c:strRef>
          </c:tx>
          <c:spPr>
            <a:solidFill>
              <a:srgbClr val="e87ba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D3_매출분해_대체분류!$B$13:$F$13</c:f>
              <c:strCache>
                <c:ptCount val="5"/>
                <c:pt idx="0">
                  <c:v>1Q24</c:v>
                </c:pt>
                <c:pt idx="1">
                  <c:v>3Q24</c:v>
                </c:pt>
                <c:pt idx="2">
                  <c:v>4Q24</c:v>
                </c:pt>
                <c:pt idx="3">
                  <c:v>2Q25</c:v>
                </c:pt>
                <c:pt idx="4">
                  <c:v>3Q25</c:v>
                </c:pt>
              </c:strCache>
            </c:strRef>
          </c:cat>
          <c:val>
            <c:numRef>
              <c:f>D3_매출분해_대체분류!$B$15:$F$15</c:f>
              <c:numCache>
                <c:formatCode>#,##0.0;\(#,##0.0\);\-</c:formatCode>
                <c:ptCount val="5"/>
                <c:pt idx="0">
                  <c:v>26.2</c:v>
                </c:pt>
                <c:pt idx="1">
                  <c:v>32.8</c:v>
                </c:pt>
                <c:pt idx="2">
                  <c:v>11.8</c:v>
                </c:pt>
                <c:pt idx="3">
                  <c:v>17.2</c:v>
                </c:pt>
                <c:pt idx="4">
                  <c:v>21.5</c:v>
                </c:pt>
              </c:numCache>
            </c:numRef>
          </c:val>
        </c:ser>
        <c:gapWidth val="40"/>
        <c:overlap val="100"/>
        <c:axId val="71578131"/>
        <c:axId val="13049792"/>
      </c:barChart>
      <c:catAx>
        <c:axId val="71578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3049792"/>
        <c:crosses val="autoZero"/>
        <c:auto val="1"/>
        <c:lblAlgn val="ctr"/>
        <c:lblOffset val="100"/>
        <c:noMultiLvlLbl val="0"/>
      </c:catAx>
      <c:valAx>
        <c:axId val="13049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15781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125640</xdr:rowOff>
    </xdr:from>
    <xdr:to>
      <xdr:col>7</xdr:col>
      <xdr:colOff>165600</xdr:colOff>
      <xdr:row>40</xdr:row>
      <xdr:rowOff>116280</xdr:rowOff>
    </xdr:to>
    <xdr:graphicFrame>
      <xdr:nvGraphicFramePr>
        <xdr:cNvPr id="0" name="Chart 1"/>
        <xdr:cNvGraphicFramePr/>
      </xdr:nvGraphicFramePr>
      <xdr:xfrm>
        <a:off x="0" y="476244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125640</xdr:rowOff>
    </xdr:from>
    <xdr:to>
      <xdr:col>16</xdr:col>
      <xdr:colOff>270360</xdr:colOff>
      <xdr:row>40</xdr:row>
      <xdr:rowOff>116280</xdr:rowOff>
    </xdr:to>
    <xdr:graphicFrame>
      <xdr:nvGraphicFramePr>
        <xdr:cNvPr id="1" name="Chart 2"/>
        <xdr:cNvGraphicFramePr/>
      </xdr:nvGraphicFramePr>
      <xdr:xfrm>
        <a:off x="6134040" y="476244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125640</xdr:rowOff>
    </xdr:from>
    <xdr:to>
      <xdr:col>7</xdr:col>
      <xdr:colOff>165600</xdr:colOff>
      <xdr:row>49</xdr:row>
      <xdr:rowOff>116280</xdr:rowOff>
    </xdr:to>
    <xdr:graphicFrame>
      <xdr:nvGraphicFramePr>
        <xdr:cNvPr id="2" name="Chart 1"/>
        <xdr:cNvGraphicFramePr/>
      </xdr:nvGraphicFramePr>
      <xdr:xfrm>
        <a:off x="0" y="7238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125640</xdr:rowOff>
    </xdr:from>
    <xdr:to>
      <xdr:col>16</xdr:col>
      <xdr:colOff>270360</xdr:colOff>
      <xdr:row>49</xdr:row>
      <xdr:rowOff>116280</xdr:rowOff>
    </xdr:to>
    <xdr:graphicFrame>
      <xdr:nvGraphicFramePr>
        <xdr:cNvPr id="3" name="Chart 2"/>
        <xdr:cNvGraphicFramePr/>
      </xdr:nvGraphicFramePr>
      <xdr:xfrm>
        <a:off x="6134040" y="7238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126000</xdr:rowOff>
    </xdr:from>
    <xdr:to>
      <xdr:col>7</xdr:col>
      <xdr:colOff>165600</xdr:colOff>
      <xdr:row>69</xdr:row>
      <xdr:rowOff>116640</xdr:rowOff>
    </xdr:to>
    <xdr:graphicFrame>
      <xdr:nvGraphicFramePr>
        <xdr:cNvPr id="4" name="Chart 3"/>
        <xdr:cNvGraphicFramePr/>
      </xdr:nvGraphicFramePr>
      <xdr:xfrm>
        <a:off x="0" y="1104912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125640</xdr:rowOff>
    </xdr:from>
    <xdr:to>
      <xdr:col>7</xdr:col>
      <xdr:colOff>165600</xdr:colOff>
      <xdr:row>50</xdr:row>
      <xdr:rowOff>116280</xdr:rowOff>
    </xdr:to>
    <xdr:graphicFrame>
      <xdr:nvGraphicFramePr>
        <xdr:cNvPr id="5" name="Chart 1"/>
        <xdr:cNvGraphicFramePr/>
      </xdr:nvGraphicFramePr>
      <xdr:xfrm>
        <a:off x="0" y="6858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125640</xdr:rowOff>
    </xdr:from>
    <xdr:to>
      <xdr:col>16</xdr:col>
      <xdr:colOff>422640</xdr:colOff>
      <xdr:row>50</xdr:row>
      <xdr:rowOff>116280</xdr:rowOff>
    </xdr:to>
    <xdr:graphicFrame>
      <xdr:nvGraphicFramePr>
        <xdr:cNvPr id="6" name="Chart 2"/>
        <xdr:cNvGraphicFramePr/>
      </xdr:nvGraphicFramePr>
      <xdr:xfrm>
        <a:off x="6134040" y="6858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125640</xdr:rowOff>
    </xdr:from>
    <xdr:to>
      <xdr:col>6</xdr:col>
      <xdr:colOff>167400</xdr:colOff>
      <xdr:row>42</xdr:row>
      <xdr:rowOff>116280</xdr:rowOff>
    </xdr:to>
    <xdr:graphicFrame>
      <xdr:nvGraphicFramePr>
        <xdr:cNvPr id="7" name="Chart 1"/>
        <xdr:cNvGraphicFramePr/>
      </xdr:nvGraphicFramePr>
      <xdr:xfrm>
        <a:off x="0" y="5715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125640</xdr:rowOff>
    </xdr:from>
    <xdr:to>
      <xdr:col>16</xdr:col>
      <xdr:colOff>118080</xdr:colOff>
      <xdr:row>42</xdr:row>
      <xdr:rowOff>116280</xdr:rowOff>
    </xdr:to>
    <xdr:graphicFrame>
      <xdr:nvGraphicFramePr>
        <xdr:cNvPr id="8" name="Chart 2"/>
        <xdr:cNvGraphicFramePr/>
      </xdr:nvGraphicFramePr>
      <xdr:xfrm>
        <a:off x="6907680" y="5715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125640</xdr:rowOff>
    </xdr:from>
    <xdr:to>
      <xdr:col>6</xdr:col>
      <xdr:colOff>519840</xdr:colOff>
      <xdr:row>52</xdr:row>
      <xdr:rowOff>116280</xdr:rowOff>
    </xdr:to>
    <xdr:graphicFrame>
      <xdr:nvGraphicFramePr>
        <xdr:cNvPr id="9" name="Chart 1"/>
        <xdr:cNvGraphicFramePr/>
      </xdr:nvGraphicFramePr>
      <xdr:xfrm>
        <a:off x="0" y="82389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125640</xdr:rowOff>
    </xdr:from>
    <xdr:to>
      <xdr:col>16</xdr:col>
      <xdr:colOff>213120</xdr:colOff>
      <xdr:row>52</xdr:row>
      <xdr:rowOff>116280</xdr:rowOff>
    </xdr:to>
    <xdr:graphicFrame>
      <xdr:nvGraphicFramePr>
        <xdr:cNvPr id="10" name="Chart 2"/>
        <xdr:cNvGraphicFramePr/>
      </xdr:nvGraphicFramePr>
      <xdr:xfrm>
        <a:off x="6484680" y="82389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125640</xdr:rowOff>
    </xdr:from>
    <xdr:to>
      <xdr:col>6</xdr:col>
      <xdr:colOff>660960</xdr:colOff>
      <xdr:row>37</xdr:row>
      <xdr:rowOff>116280</xdr:rowOff>
    </xdr:to>
    <xdr:graphicFrame>
      <xdr:nvGraphicFramePr>
        <xdr:cNvPr id="11" name="Chart 1"/>
        <xdr:cNvGraphicFramePr/>
      </xdr:nvGraphicFramePr>
      <xdr:xfrm>
        <a:off x="0" y="3809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125640</xdr:rowOff>
    </xdr:from>
    <xdr:to>
      <xdr:col>16</xdr:col>
      <xdr:colOff>213120</xdr:colOff>
      <xdr:row>37</xdr:row>
      <xdr:rowOff>116280</xdr:rowOff>
    </xdr:to>
    <xdr:graphicFrame>
      <xdr:nvGraphicFramePr>
        <xdr:cNvPr id="12" name="Chart 2"/>
        <xdr:cNvGraphicFramePr/>
      </xdr:nvGraphicFramePr>
      <xdr:xfrm>
        <a:off x="6343560" y="3809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2" min="2" style="0" width="13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false" outlineLevel="0" collapsed="false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7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customFormat="false" ht="15" hidden="false" customHeight="false" outlineLevel="0" collapsed="false">
      <c r="A6" s="9" t="s">
        <v>15</v>
      </c>
      <c r="B6" s="10" t="n">
        <v>31.68</v>
      </c>
      <c r="C6" s="10" t="n">
        <v>51.66</v>
      </c>
      <c r="D6" s="10" t="n">
        <v>64.52</v>
      </c>
      <c r="E6" s="10" t="n">
        <v>72.33</v>
      </c>
      <c r="F6" s="11" t="n">
        <f aca="false">SUM($F$7:$F$13)</f>
        <v>66.4</v>
      </c>
      <c r="G6" s="11" t="n">
        <f aca="false">SUM($G$7:$G$13)</f>
        <v>71</v>
      </c>
      <c r="H6" s="11" t="n">
        <f aca="false">SUM($H$7:$H$13)</f>
        <v>77.2</v>
      </c>
      <c r="I6" s="11" t="n">
        <f aca="false">SUM($I$7:$I$13)</f>
        <v>88.3</v>
      </c>
      <c r="J6" s="11" t="n">
        <f aca="false">SUM($B6:$E6)</f>
        <v>220.19</v>
      </c>
      <c r="K6" s="11" t="n">
        <f aca="false">SUM($F6:$I6)</f>
        <v>302.9</v>
      </c>
      <c r="L6" s="11" t="n">
        <f aca="false">SUM($L$7:$L$13)</f>
        <v>373.1</v>
      </c>
    </row>
    <row r="7" customFormat="false" ht="15" hidden="false" customHeight="false" outlineLevel="0" collapsed="false">
      <c r="A7" s="12" t="s">
        <v>16</v>
      </c>
      <c r="B7" s="10" t="n">
        <v>16.9</v>
      </c>
      <c r="C7" s="10" t="n">
        <v>33.1</v>
      </c>
      <c r="D7" s="10" t="n">
        <v>44</v>
      </c>
      <c r="E7" s="10" t="n">
        <v>54.4</v>
      </c>
      <c r="F7" s="13" t="n">
        <v>47.3</v>
      </c>
      <c r="G7" s="13" t="n">
        <v>50.6</v>
      </c>
      <c r="H7" s="13" t="n">
        <v>57.2</v>
      </c>
      <c r="I7" s="13" t="n">
        <v>62.9</v>
      </c>
      <c r="J7" s="14" t="n">
        <f aca="false">SUM($B7:$E7)</f>
        <v>148.4</v>
      </c>
      <c r="K7" s="14" t="n">
        <f aca="false">SUM($F7:$I7)</f>
        <v>218</v>
      </c>
      <c r="L7" s="13" t="n">
        <v>268.52</v>
      </c>
    </row>
    <row r="8" customFormat="false" ht="15" hidden="false" customHeight="false" outlineLevel="0" collapsed="false">
      <c r="A8" s="12" t="s">
        <v>17</v>
      </c>
      <c r="B8" s="10" t="n">
        <v>9.5</v>
      </c>
      <c r="C8" s="10" t="n">
        <v>14</v>
      </c>
      <c r="D8" s="10" t="n">
        <v>13.5</v>
      </c>
      <c r="E8" s="10" t="n">
        <v>12</v>
      </c>
      <c r="F8" s="13" t="n">
        <v>9.6</v>
      </c>
      <c r="G8" s="13" t="n">
        <v>10.6</v>
      </c>
      <c r="H8" s="13" t="n">
        <v>10.6</v>
      </c>
      <c r="I8" s="13" t="n">
        <v>10</v>
      </c>
      <c r="J8" s="14" t="n">
        <f aca="false">SUM($B8:$E8)</f>
        <v>49</v>
      </c>
      <c r="K8" s="14" t="n">
        <f aca="false">SUM($F8:$I8)</f>
        <v>40.8</v>
      </c>
      <c r="L8" s="13" t="n">
        <v>50.26</v>
      </c>
    </row>
    <row r="9" customFormat="false" ht="15" hidden="false" customHeight="false" outlineLevel="0" collapsed="false">
      <c r="A9" s="15" t="s">
        <v>18</v>
      </c>
      <c r="B9" s="10" t="n">
        <v>3.2</v>
      </c>
      <c r="C9" s="10" t="n">
        <v>3</v>
      </c>
      <c r="D9" s="10" t="n">
        <v>4.5</v>
      </c>
      <c r="E9" s="10" t="n">
        <v>3</v>
      </c>
      <c r="F9" s="13" t="n">
        <v>3.4</v>
      </c>
      <c r="G9" s="13" t="n">
        <v>3.5</v>
      </c>
      <c r="H9" s="13" t="n">
        <v>3.6</v>
      </c>
      <c r="I9" s="13" t="n">
        <v>3.4</v>
      </c>
      <c r="J9" s="14" t="n">
        <f aca="false">SUM($B9:$E9)</f>
        <v>13.7</v>
      </c>
      <c r="K9" s="14" t="n">
        <f aca="false">SUM($F9:$I9)</f>
        <v>13.9</v>
      </c>
      <c r="L9" s="13" t="n">
        <v>17.12</v>
      </c>
    </row>
    <row r="10" customFormat="false" ht="15" hidden="false" customHeight="false" outlineLevel="0" collapsed="false">
      <c r="A10" s="12" t="s">
        <v>19</v>
      </c>
      <c r="B10" s="10" t="n">
        <v>1</v>
      </c>
      <c r="C10" s="10" t="n">
        <v>0.7</v>
      </c>
      <c r="D10" s="10" t="n">
        <v>1.5</v>
      </c>
      <c r="E10" s="10" t="n">
        <v>1.9</v>
      </c>
      <c r="F10" s="13" t="n">
        <v>3.3</v>
      </c>
      <c r="G10" s="13" t="n">
        <v>2.8</v>
      </c>
      <c r="H10" s="13" t="n">
        <v>3.4</v>
      </c>
      <c r="I10" s="13" t="n">
        <v>4.8</v>
      </c>
      <c r="J10" s="14" t="n">
        <f aca="false">SUM($B10:$E10)</f>
        <v>5.1</v>
      </c>
      <c r="K10" s="14" t="n">
        <f aca="false">SUM($F10:$I10)</f>
        <v>14.3</v>
      </c>
      <c r="L10" s="13" t="n">
        <v>17.61</v>
      </c>
    </row>
    <row r="11" customFormat="false" ht="15" hidden="false" customHeight="false" outlineLevel="0" collapsed="false">
      <c r="A11" s="12" t="s">
        <v>20</v>
      </c>
      <c r="B11" s="10" t="n">
        <v>0.7</v>
      </c>
      <c r="C11" s="10" t="n">
        <v>0.7</v>
      </c>
      <c r="D11" s="10" t="n">
        <v>0.8</v>
      </c>
      <c r="E11" s="10" t="n">
        <v>1</v>
      </c>
      <c r="F11" s="13" t="n">
        <v>0.8</v>
      </c>
      <c r="G11" s="13" t="n">
        <v>0.8</v>
      </c>
      <c r="H11" s="13" t="n">
        <v>0.9</v>
      </c>
      <c r="I11" s="13" t="n">
        <v>0.9</v>
      </c>
      <c r="J11" s="14" t="n">
        <f aca="false">SUM($B11:$E11)</f>
        <v>3.2</v>
      </c>
      <c r="K11" s="14" t="n">
        <f aca="false">SUM($F11:$I11)</f>
        <v>3.4</v>
      </c>
      <c r="L11" s="13" t="n">
        <v>4.19</v>
      </c>
    </row>
    <row r="12" customFormat="false" ht="15" hidden="false" customHeight="false" outlineLevel="0" collapsed="false">
      <c r="A12" s="15" t="s">
        <v>21</v>
      </c>
      <c r="B12" s="10" t="n">
        <v>0</v>
      </c>
      <c r="C12" s="10" t="n">
        <v>0</v>
      </c>
      <c r="D12" s="10" t="n">
        <v>0</v>
      </c>
      <c r="E12" s="10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4" t="n">
        <f aca="false">SUM($B12:$E12)</f>
        <v>0</v>
      </c>
      <c r="K12" s="14" t="n">
        <f aca="false">SUM($F12:$I12)</f>
        <v>0</v>
      </c>
      <c r="L12" s="13" t="n">
        <v>0</v>
      </c>
    </row>
    <row r="13" customFormat="false" ht="15" hidden="false" customHeight="false" outlineLevel="0" collapsed="false">
      <c r="A13" s="12" t="s">
        <v>22</v>
      </c>
      <c r="B13" s="10" t="n">
        <v>0.4</v>
      </c>
      <c r="C13" s="10" t="n">
        <v>0.2</v>
      </c>
      <c r="D13" s="10" t="n">
        <v>0.2</v>
      </c>
      <c r="E13" s="10" t="n">
        <v>0</v>
      </c>
      <c r="F13" s="13" t="n">
        <v>2</v>
      </c>
      <c r="G13" s="13" t="n">
        <v>2.7</v>
      </c>
      <c r="H13" s="13" t="n">
        <v>1.5</v>
      </c>
      <c r="I13" s="13" t="n">
        <v>6.3</v>
      </c>
      <c r="J13" s="14" t="n">
        <f aca="false">SUM($B13:$E13)</f>
        <v>0.8</v>
      </c>
      <c r="K13" s="14" t="n">
        <f aca="false">SUM($F13:$I13)</f>
        <v>12.5</v>
      </c>
      <c r="L13" s="13" t="n">
        <v>15.4</v>
      </c>
    </row>
    <row r="14" customFormat="false" ht="15" hidden="false" customHeight="false" outlineLevel="0" collapsed="false">
      <c r="A14" s="9" t="s">
        <v>23</v>
      </c>
      <c r="B14" s="11" t="n">
        <f aca="false">($B$6/$B$31-1)*100</f>
        <v>-9.66638152266896</v>
      </c>
      <c r="C14" s="11" t="n">
        <f aca="false">($C$6/$C$31-1)*100</f>
        <v>3.81832797427653</v>
      </c>
      <c r="D14" s="11" t="n">
        <f aca="false">($D$6/$D$31-1)*100</f>
        <v>28.0412780313554</v>
      </c>
      <c r="E14" s="11" t="n">
        <f aca="false">($E$6/$E$31-1)*100</f>
        <v>84.2333163525217</v>
      </c>
      <c r="F14" s="11" t="n">
        <f aca="false">($F$6/$B$6-1)*100</f>
        <v>109.59595959596</v>
      </c>
      <c r="G14" s="11" t="n">
        <f aca="false">($G$6/$C$6-1)*100</f>
        <v>37.4370886566009</v>
      </c>
      <c r="H14" s="11" t="n">
        <f aca="false">($H$6/$D$6-1)*100</f>
        <v>19.6528208307502</v>
      </c>
      <c r="I14" s="11" t="n">
        <f aca="false">($I$6/$E$6-1)*100</f>
        <v>22.0793584957832</v>
      </c>
      <c r="J14" s="11" t="n">
        <f aca="false">($J$6/$G$31-1)*100</f>
        <v>26.1978450252178</v>
      </c>
      <c r="K14" s="11" t="n">
        <f aca="false">($K$6/$J$6-1)*100</f>
        <v>37.5630137608429</v>
      </c>
      <c r="L14" s="11" t="n">
        <f aca="false">($L$6/$K$6-1)*100</f>
        <v>23.1759656652361</v>
      </c>
    </row>
    <row r="15" customFormat="false" ht="15" hidden="false" customHeight="false" outlineLevel="0" collapsed="false">
      <c r="A15" s="12" t="s">
        <v>24</v>
      </c>
      <c r="B15" s="14" t="n">
        <f aca="false">($B$6/$E$31-1)*100</f>
        <v>-19.3071828833418</v>
      </c>
      <c r="C15" s="14" t="n">
        <f aca="false">($C$6/$B$6-1)*100</f>
        <v>63.0681818181818</v>
      </c>
      <c r="D15" s="14" t="n">
        <f aca="false">($D$6/$C$6-1)*100</f>
        <v>24.8935346496322</v>
      </c>
      <c r="E15" s="14" t="n">
        <f aca="false">($E$6/$D$6-1)*100</f>
        <v>12.1047737135772</v>
      </c>
      <c r="F15" s="14" t="n">
        <f aca="false">($F$6/$E$6-1)*100</f>
        <v>-8.19853449467718</v>
      </c>
      <c r="G15" s="14" t="n">
        <f aca="false">($G$6/$F$6-1)*100</f>
        <v>6.92771084337351</v>
      </c>
      <c r="H15" s="14" t="n">
        <f aca="false">($H$6/$G$6-1)*100</f>
        <v>8.7323943661972</v>
      </c>
      <c r="I15" s="14" t="n">
        <f aca="false">($I$6/$H$6-1)*100</f>
        <v>14.3782383419689</v>
      </c>
      <c r="J15" s="16"/>
      <c r="K15" s="16"/>
      <c r="L15" s="16"/>
    </row>
    <row r="16" customFormat="false" ht="15" hidden="false" customHeight="false" outlineLevel="0" collapsed="false">
      <c r="A16" s="9" t="s">
        <v>25</v>
      </c>
      <c r="B16" s="10" t="n">
        <v>17.44</v>
      </c>
      <c r="C16" s="10" t="n">
        <v>29.11</v>
      </c>
      <c r="D16" s="10" t="n">
        <v>36.92</v>
      </c>
      <c r="E16" s="10" t="n">
        <v>38.98</v>
      </c>
      <c r="F16" s="13" t="n">
        <v>35.14</v>
      </c>
      <c r="G16" s="13" t="n">
        <v>37.57</v>
      </c>
      <c r="H16" s="13" t="n">
        <v>40.86</v>
      </c>
      <c r="I16" s="13" t="n">
        <v>46.73</v>
      </c>
      <c r="J16" s="11" t="n">
        <f aca="false">SUM($B16:$E16)</f>
        <v>122.45</v>
      </c>
      <c r="K16" s="11" t="n">
        <f aca="false">SUM($F16:$I16)</f>
        <v>160.3</v>
      </c>
      <c r="L16" s="13" t="n">
        <v>195.6</v>
      </c>
    </row>
    <row r="17" customFormat="false" ht="15" hidden="false" customHeight="false" outlineLevel="0" collapsed="false">
      <c r="A17" s="12" t="s">
        <v>26</v>
      </c>
      <c r="B17" s="14" t="n">
        <f aca="false">$B$6-$B$16</f>
        <v>14.24</v>
      </c>
      <c r="C17" s="14" t="n">
        <f aca="false">$C$6-$C$16</f>
        <v>22.55</v>
      </c>
      <c r="D17" s="14" t="n">
        <f aca="false">$D$6-$D$16</f>
        <v>27.6</v>
      </c>
      <c r="E17" s="14" t="n">
        <f aca="false">$E$6-$E$16</f>
        <v>33.35</v>
      </c>
      <c r="F17" s="14" t="n">
        <f aca="false">$F$6-$F$16</f>
        <v>31.26</v>
      </c>
      <c r="G17" s="14" t="n">
        <f aca="false">$G$6-$G$16</f>
        <v>33.43</v>
      </c>
      <c r="H17" s="14" t="n">
        <f aca="false">$H$6-$H$16</f>
        <v>36.34</v>
      </c>
      <c r="I17" s="14" t="n">
        <f aca="false">$I$6-$I$16</f>
        <v>41.57</v>
      </c>
      <c r="J17" s="14" t="n">
        <f aca="false">$J$6-$J$16</f>
        <v>97.74</v>
      </c>
      <c r="K17" s="14" t="n">
        <f aca="false">$K$6-$K$16</f>
        <v>142.6</v>
      </c>
      <c r="L17" s="14" t="n">
        <f aca="false">$L$6-$L$16</f>
        <v>177.5</v>
      </c>
    </row>
    <row r="18" customFormat="false" ht="15" hidden="false" customHeight="false" outlineLevel="0" collapsed="false">
      <c r="A18" s="12" t="s">
        <v>27</v>
      </c>
      <c r="B18" s="14" t="n">
        <f aca="false">$B$17/$B$6*100</f>
        <v>44.949494949495</v>
      </c>
      <c r="C18" s="14" t="n">
        <f aca="false">$C$17/$C$6*100</f>
        <v>43.6507936507936</v>
      </c>
      <c r="D18" s="14" t="n">
        <f aca="false">$D$17/$D$6*100</f>
        <v>42.7774333539988</v>
      </c>
      <c r="E18" s="14" t="n">
        <f aca="false">$E$17/$E$6*100</f>
        <v>46.1081155813632</v>
      </c>
      <c r="F18" s="14" t="n">
        <f aca="false">$F$17/$F$6*100</f>
        <v>47.078313253012</v>
      </c>
      <c r="G18" s="14" t="n">
        <f aca="false">$G$17/$G$6*100</f>
        <v>47.0845070422535</v>
      </c>
      <c r="H18" s="14" t="n">
        <f aca="false">$H$17/$H$6*100</f>
        <v>47.0725388601036</v>
      </c>
      <c r="I18" s="14" t="n">
        <f aca="false">$I$17/$I$6*100</f>
        <v>47.0781426953567</v>
      </c>
      <c r="J18" s="14" t="n">
        <f aca="false">$J$17/$J$6*100</f>
        <v>44.3889368272855</v>
      </c>
      <c r="K18" s="14" t="n">
        <f aca="false">$K$17/$K$6*100</f>
        <v>47.0782436447673</v>
      </c>
      <c r="L18" s="14" t="n">
        <f aca="false">$L$17/$L$6*100</f>
        <v>47.5743768426695</v>
      </c>
    </row>
    <row r="19" customFormat="false" ht="15" hidden="false" customHeight="false" outlineLevel="0" collapsed="false">
      <c r="A19" s="12" t="s">
        <v>28</v>
      </c>
      <c r="B19" s="14" t="n">
        <f aca="false">$B$17-$B$20</f>
        <v>7.25</v>
      </c>
      <c r="C19" s="14" t="n">
        <f aca="false">$C$17-$C$20</f>
        <v>8.84</v>
      </c>
      <c r="D19" s="14" t="n">
        <f aca="false">$D$17-$D$20</f>
        <v>10.18</v>
      </c>
      <c r="E19" s="14" t="n">
        <f aca="false">$E$17-$E$20</f>
        <v>11.42</v>
      </c>
      <c r="F19" s="14" t="n">
        <f aca="false">$F$17-$F$20</f>
        <v>10.66</v>
      </c>
      <c r="G19" s="14" t="n">
        <f aca="false">$G$17-$G$20</f>
        <v>11.93</v>
      </c>
      <c r="H19" s="14" t="n">
        <f aca="false">$H$17-$H$20</f>
        <v>13.64</v>
      </c>
      <c r="I19" s="14" t="n">
        <f aca="false">$I$17-$I$20</f>
        <v>12.67</v>
      </c>
      <c r="J19" s="14" t="n">
        <f aca="false">$J$17-$J$20</f>
        <v>37.69</v>
      </c>
      <c r="K19" s="14" t="n">
        <f aca="false">$K$17-$K$20</f>
        <v>48.9</v>
      </c>
      <c r="L19" s="14" t="n">
        <f aca="false">$L$17-$L$20</f>
        <v>52.4</v>
      </c>
    </row>
    <row r="20" customFormat="false" ht="15" hidden="false" customHeight="false" outlineLevel="0" collapsed="false">
      <c r="A20" s="9" t="s">
        <v>29</v>
      </c>
      <c r="B20" s="10" t="n">
        <v>6.99</v>
      </c>
      <c r="C20" s="10" t="n">
        <v>13.71</v>
      </c>
      <c r="D20" s="10" t="n">
        <v>17.42</v>
      </c>
      <c r="E20" s="10" t="n">
        <v>21.93</v>
      </c>
      <c r="F20" s="13" t="n">
        <v>20.6</v>
      </c>
      <c r="G20" s="13" t="n">
        <v>21.5</v>
      </c>
      <c r="H20" s="13" t="n">
        <v>22.7</v>
      </c>
      <c r="I20" s="13" t="n">
        <v>28.9</v>
      </c>
      <c r="J20" s="11" t="n">
        <f aca="false">SUM($B20:$E20)</f>
        <v>60.05</v>
      </c>
      <c r="K20" s="11" t="n">
        <f aca="false">SUM($F20:$I20)</f>
        <v>93.7</v>
      </c>
      <c r="L20" s="13" t="n">
        <v>125.1</v>
      </c>
    </row>
    <row r="21" customFormat="false" ht="15" hidden="false" customHeight="false" outlineLevel="0" collapsed="false">
      <c r="A21" s="9" t="s">
        <v>30</v>
      </c>
      <c r="B21" s="11" t="n">
        <f aca="false">$B$20/$B$6*100</f>
        <v>22.0643939393939</v>
      </c>
      <c r="C21" s="11" t="n">
        <f aca="false">$C$20/$C$6*100</f>
        <v>26.5389082462253</v>
      </c>
      <c r="D21" s="11" t="n">
        <f aca="false">$D$20/$D$6*100</f>
        <v>26.9993800371978</v>
      </c>
      <c r="E21" s="11" t="n">
        <f aca="false">$E$20/$E$6*100</f>
        <v>30.3193695562007</v>
      </c>
      <c r="F21" s="11" t="n">
        <f aca="false">$F$20/$F$6*100</f>
        <v>31.0240963855422</v>
      </c>
      <c r="G21" s="11" t="n">
        <f aca="false">$G$20/$G$6*100</f>
        <v>30.2816901408451</v>
      </c>
      <c r="H21" s="11" t="n">
        <f aca="false">$H$20/$H$6*100</f>
        <v>29.4041450777202</v>
      </c>
      <c r="I21" s="11" t="n">
        <f aca="false">$I$20/$I$6*100</f>
        <v>32.7293318233296</v>
      </c>
      <c r="J21" s="11" t="n">
        <f aca="false">$J$20/$J$6*100</f>
        <v>27.2719015395795</v>
      </c>
      <c r="K21" s="11" t="n">
        <f aca="false">$K$20/$K$6*100</f>
        <v>30.9343017497524</v>
      </c>
      <c r="L21" s="11" t="n">
        <f aca="false">$L$20/$L$6*100</f>
        <v>33.529884749397</v>
      </c>
    </row>
    <row r="22" customFormat="false" ht="15" hidden="false" customHeight="false" outlineLevel="0" collapsed="false">
      <c r="A22" s="12" t="s">
        <v>31</v>
      </c>
      <c r="B22" s="10" t="n">
        <v>9.3</v>
      </c>
      <c r="C22" s="10" t="n">
        <v>13.51</v>
      </c>
      <c r="D22" s="10" t="n">
        <v>19.77</v>
      </c>
      <c r="E22" s="10" t="n">
        <v>24.01</v>
      </c>
      <c r="F22" s="13" t="n">
        <v>22.07</v>
      </c>
      <c r="G22" s="13" t="n">
        <v>23.04</v>
      </c>
      <c r="H22" s="13" t="n">
        <v>24.32</v>
      </c>
      <c r="I22" s="13" t="n">
        <v>30.97</v>
      </c>
      <c r="J22" s="14" t="n">
        <f aca="false">SUM($B22:$E22)</f>
        <v>66.59</v>
      </c>
      <c r="K22" s="14" t="n">
        <f aca="false">SUM($F22:$I22)</f>
        <v>100.4</v>
      </c>
      <c r="L22" s="13" t="n">
        <v>137.9</v>
      </c>
    </row>
    <row r="23" customFormat="false" ht="15" hidden="false" customHeight="false" outlineLevel="0" collapsed="false">
      <c r="A23" s="12" t="s">
        <v>32</v>
      </c>
      <c r="B23" s="10" t="n">
        <v>6.83</v>
      </c>
      <c r="C23" s="10" t="n">
        <v>11.5</v>
      </c>
      <c r="D23" s="10" t="n">
        <v>16.07</v>
      </c>
      <c r="E23" s="10" t="n">
        <v>21.72</v>
      </c>
      <c r="F23" s="13" t="n">
        <v>17.94</v>
      </c>
      <c r="G23" s="13" t="n">
        <v>18.72</v>
      </c>
      <c r="H23" s="13" t="n">
        <v>19.77</v>
      </c>
      <c r="I23" s="13" t="n">
        <v>25.17</v>
      </c>
      <c r="J23" s="14" t="n">
        <f aca="false">SUM($B23:$E23)</f>
        <v>56.12</v>
      </c>
      <c r="K23" s="14" t="n">
        <f aca="false">SUM($F23:$I23)</f>
        <v>81.6</v>
      </c>
      <c r="L23" s="13" t="n">
        <v>112</v>
      </c>
    </row>
    <row r="24" customFormat="false" ht="15" hidden="false" customHeight="false" outlineLevel="0" collapsed="false">
      <c r="A24" s="12" t="s">
        <v>33</v>
      </c>
      <c r="B24" s="14" t="n">
        <f aca="false">$B$23/$B$6*100</f>
        <v>21.5593434343434</v>
      </c>
      <c r="C24" s="14" t="n">
        <f aca="false">$C$23/$C$6*100</f>
        <v>22.2609368950832</v>
      </c>
      <c r="D24" s="14" t="n">
        <f aca="false">$D$23/$D$6*100</f>
        <v>24.9070055796652</v>
      </c>
      <c r="E24" s="14" t="n">
        <f aca="false">$E$23/$E$6*100</f>
        <v>30.0290335960183</v>
      </c>
      <c r="F24" s="14" t="n">
        <f aca="false">$F$23/$F$6*100</f>
        <v>27.0180722891566</v>
      </c>
      <c r="G24" s="14" t="n">
        <f aca="false">$G$23/$G$6*100</f>
        <v>26.3661971830986</v>
      </c>
      <c r="H24" s="14" t="n">
        <f aca="false">$H$23/$H$6*100</f>
        <v>25.6088082901554</v>
      </c>
      <c r="I24" s="14" t="n">
        <f aca="false">$I$23/$I$6*100</f>
        <v>28.5050962627407</v>
      </c>
      <c r="J24" s="14" t="n">
        <f aca="false">$J$23/$J$6*100</f>
        <v>25.4870793405695</v>
      </c>
      <c r="K24" s="14" t="n">
        <f aca="false">$K$23/$K$6*100</f>
        <v>26.9395840211291</v>
      </c>
      <c r="L24" s="14" t="n">
        <f aca="false">$L$23/$L$6*100</f>
        <v>30.0187617260788</v>
      </c>
    </row>
    <row r="25" customFormat="false" ht="15" hidden="false" customHeight="false" outlineLevel="0" collapsed="false">
      <c r="A25" s="17" t="s">
        <v>34</v>
      </c>
      <c r="B25" s="11" t="n">
        <f aca="false">$B$23*1000000/21197.1</f>
        <v>322.213887748796</v>
      </c>
      <c r="C25" s="11" t="n">
        <f aca="false">$C$23*1000000/21197.1</f>
        <v>542.527043793727</v>
      </c>
      <c r="D25" s="11" t="n">
        <f aca="false">$D$23*1000000/21197.1</f>
        <v>758.122573370886</v>
      </c>
      <c r="E25" s="11" t="n">
        <f aca="false">$E$23*1000000/21197.1</f>
        <v>1024.66846879998</v>
      </c>
      <c r="F25" s="11" t="n">
        <f aca="false">$F$23*1000000/21197.1</f>
        <v>846.342188318213</v>
      </c>
      <c r="G25" s="11" t="n">
        <f aca="false">$G$23*1000000/21197.1</f>
        <v>883.139674766831</v>
      </c>
      <c r="H25" s="11" t="n">
        <f aca="false">$H$23*1000000/21197.1</f>
        <v>932.674752678433</v>
      </c>
      <c r="I25" s="11" t="n">
        <f aca="false">$I$23*1000000/21197.1</f>
        <v>1187.4265819381</v>
      </c>
      <c r="J25" s="11" t="n">
        <f aca="false">$J$23*1000000/21197.1</f>
        <v>2647.53197371339</v>
      </c>
      <c r="K25" s="11" t="n">
        <f aca="false">$K$23*1000000/21197.1</f>
        <v>3849.58319770157</v>
      </c>
      <c r="L25" s="11" t="n">
        <f aca="false">$L$23*1000000/21197.1</f>
        <v>5283.74164390412</v>
      </c>
    </row>
    <row r="26" customFormat="false" ht="15" hidden="false" customHeight="false" outlineLevel="0" collapsed="false">
      <c r="A26" s="15" t="s">
        <v>35</v>
      </c>
      <c r="B26" s="14" t="n">
        <f aca="false">($B$25/$B$32-1)*100</f>
        <v>-56.7447751741609</v>
      </c>
      <c r="C26" s="14" t="n">
        <f aca="false">($C$25/$C$32-1)*100</f>
        <v>-27.9899812147777</v>
      </c>
      <c r="D26" s="14" t="n">
        <f aca="false">($D$25/$D$32-1)*100</f>
        <v>44.3845462713387</v>
      </c>
      <c r="E26" s="14" t="n">
        <f aca="false">($E$25/$E$32-1)*100</f>
        <v>84.3803056027165</v>
      </c>
      <c r="F26" s="14" t="n">
        <f aca="false">($F$25/$B$25-1)*100</f>
        <v>162.664714494876</v>
      </c>
      <c r="G26" s="14" t="n">
        <f aca="false">($G$25/$C$25-1)*100</f>
        <v>62.7826086956522</v>
      </c>
      <c r="H26" s="14" t="n">
        <f aca="false">($H$25/$D$25-1)*100</f>
        <v>23.0242688238955</v>
      </c>
      <c r="I26" s="14" t="n">
        <f aca="false">($I$25/$E$25-1)*100</f>
        <v>15.8839779005525</v>
      </c>
      <c r="J26" s="14" t="n">
        <f aca="false">($J$25/$G$32-1)*100</f>
        <v>2.67105744603</v>
      </c>
      <c r="K26" s="14" t="n">
        <f aca="false">($K$25/$J$25-1)*100</f>
        <v>45.4027084818247</v>
      </c>
      <c r="L26" s="14" t="n">
        <f aca="false">($L$25/$K$25-1)*100</f>
        <v>37.2549019607843</v>
      </c>
    </row>
    <row r="27" customFormat="false" ht="15" hidden="false" customHeight="false" outlineLevel="0" collapsed="false">
      <c r="A27" s="15" t="s">
        <v>36</v>
      </c>
      <c r="B27" s="14" t="n">
        <f aca="false">($B$25/$E$32-1)*100</f>
        <v>-42.0203735144312</v>
      </c>
      <c r="C27" s="14" t="n">
        <f aca="false">($C$25/$B$25-1)*100</f>
        <v>68.3748169838946</v>
      </c>
      <c r="D27" s="14" t="n">
        <f aca="false">($D$25/$C$25-1)*100</f>
        <v>39.7391304347826</v>
      </c>
      <c r="E27" s="14" t="n">
        <f aca="false">($E$25/$D$25-1)*100</f>
        <v>35.1586807716242</v>
      </c>
      <c r="F27" s="14" t="n">
        <f aca="false">($F$25/$E$25-1)*100</f>
        <v>-17.4033149171271</v>
      </c>
      <c r="G27" s="14" t="n">
        <f aca="false">($G$25/$F$25-1)*100</f>
        <v>4.34782608695652</v>
      </c>
      <c r="H27" s="14" t="n">
        <f aca="false">($H$25/$G$25-1)*100</f>
        <v>5.60897435897436</v>
      </c>
      <c r="I27" s="14" t="n">
        <f aca="false">($I$25/$H$25-1)*100</f>
        <v>27.3141122913505</v>
      </c>
      <c r="J27" s="16"/>
      <c r="K27" s="16"/>
      <c r="L27" s="16"/>
    </row>
    <row r="28" customFormat="false" ht="15" hidden="false" customHeight="false" outlineLevel="0" collapsed="false">
      <c r="A28" s="9" t="s">
        <v>37</v>
      </c>
      <c r="B28" s="16"/>
      <c r="C28" s="16"/>
      <c r="D28" s="16"/>
      <c r="E28" s="16"/>
      <c r="F28" s="16"/>
      <c r="G28" s="16"/>
      <c r="H28" s="16"/>
      <c r="I28" s="16"/>
      <c r="J28" s="16"/>
      <c r="K28" s="13" t="n">
        <v>4025</v>
      </c>
      <c r="L28" s="16"/>
    </row>
    <row r="30" customFormat="false" ht="15" hidden="false" customHeight="false" outlineLevel="0" collapsed="false">
      <c r="A30" s="18" t="s">
        <v>38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2" t="s">
        <v>39</v>
      </c>
      <c r="B31" s="10" t="n">
        <v>35.07</v>
      </c>
      <c r="C31" s="10" t="n">
        <v>49.76</v>
      </c>
      <c r="D31" s="10" t="n">
        <v>50.39</v>
      </c>
      <c r="E31" s="10" t="n">
        <v>39.26</v>
      </c>
      <c r="F31" s="16"/>
      <c r="G31" s="10" t="n">
        <v>174.48</v>
      </c>
      <c r="H31" s="16"/>
      <c r="I31" s="16"/>
      <c r="J31" s="16"/>
      <c r="K31" s="16"/>
      <c r="L31" s="16"/>
    </row>
    <row r="32" customFormat="false" ht="15" hidden="false" customHeight="false" outlineLevel="0" collapsed="false">
      <c r="A32" s="15" t="s">
        <v>40</v>
      </c>
      <c r="B32" s="14" t="n">
        <f aca="false">$B$33*1000000/21197.1</f>
        <v>744.913219261125</v>
      </c>
      <c r="C32" s="14" t="n">
        <f aca="false">$C$33*1000000/21197.1</f>
        <v>753.404946903114</v>
      </c>
      <c r="D32" s="14" t="n">
        <f aca="false">$D$33*1000000/21197.1</f>
        <v>525.071825862972</v>
      </c>
      <c r="E32" s="14" t="n">
        <f aca="false">$E$33*1000000/21197.1</f>
        <v>555.736397903487</v>
      </c>
      <c r="F32" s="16"/>
      <c r="G32" s="14" t="n">
        <f aca="false">$G$33*1000000/21197.1</f>
        <v>2578.65462728392</v>
      </c>
      <c r="H32" s="16"/>
      <c r="I32" s="16"/>
      <c r="J32" s="16"/>
      <c r="K32" s="16"/>
      <c r="L32" s="16"/>
    </row>
    <row r="33" customFormat="false" ht="15" hidden="false" customHeight="false" outlineLevel="0" collapsed="false">
      <c r="A33" s="12" t="s">
        <v>41</v>
      </c>
      <c r="B33" s="10" t="n">
        <v>15.79</v>
      </c>
      <c r="C33" s="10" t="n">
        <v>15.97</v>
      </c>
      <c r="D33" s="10" t="n">
        <v>11.13</v>
      </c>
      <c r="E33" s="10" t="n">
        <v>11.78</v>
      </c>
      <c r="F33" s="16"/>
      <c r="G33" s="10" t="n">
        <v>54.66</v>
      </c>
      <c r="H33" s="16"/>
      <c r="I33" s="16"/>
      <c r="J33" s="16"/>
      <c r="K33" s="16"/>
      <c r="L33" s="16"/>
    </row>
    <row r="35" customFormat="false" ht="15" hidden="false" customHeight="false" outlineLevel="0" collapsed="false">
      <c r="A35" s="19" t="s">
        <v>42</v>
      </c>
    </row>
    <row r="36" customFormat="false" ht="15" hidden="false" customHeight="false" outlineLevel="0" collapsed="false">
      <c r="A36" s="20" t="s">
        <v>43</v>
      </c>
    </row>
    <row r="37" customFormat="false" ht="15" hidden="false" customHeight="false" outlineLevel="0" collapsed="false">
      <c r="A37" s="20" t="s">
        <v>44</v>
      </c>
    </row>
    <row r="38" customFormat="false" ht="15" hidden="false" customHeight="false" outlineLevel="0" collapsed="false">
      <c r="A38" s="20" t="s">
        <v>45</v>
      </c>
    </row>
    <row r="39" customFormat="false" ht="15" hidden="false" customHeight="false" outlineLevel="0" collapsed="false">
      <c r="A39" s="20" t="s">
        <v>46</v>
      </c>
    </row>
    <row r="40" customFormat="false" ht="15" hidden="false" customHeight="false" outlineLevel="0" collapsed="false">
      <c r="A40" s="20" t="s">
        <v>47</v>
      </c>
    </row>
    <row r="41" customFormat="false" ht="15" hidden="false" customHeight="false" outlineLevel="0" collapsed="false">
      <c r="A41" s="20" t="s">
        <v>48</v>
      </c>
    </row>
    <row r="42" customFormat="false" ht="15" hidden="false" customHeight="false" outlineLevel="0" collapsed="false">
      <c r="A42" s="20" t="s">
        <v>49</v>
      </c>
    </row>
    <row r="43" customFormat="false" ht="15" hidden="false" customHeight="false" outlineLevel="0" collapsed="false">
      <c r="A43" s="20" t="s">
        <v>50</v>
      </c>
    </row>
    <row r="44" customFormat="false" ht="15" hidden="false" customHeight="false" outlineLevel="0" collapsed="false">
      <c r="A44" s="2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8" min="3" style="0" width="13"/>
  </cols>
  <sheetData>
    <row r="1" customFormat="false" ht="24" hidden="false" customHeight="true" outlineLevel="0" collapsed="false">
      <c r="A1" s="21" t="s">
        <v>52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2</v>
      </c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22" t="s">
        <v>53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3" t="s">
        <v>54</v>
      </c>
      <c r="B6" s="24" t="s">
        <v>55</v>
      </c>
      <c r="D6" s="25" t="s">
        <v>56</v>
      </c>
    </row>
    <row r="7" customFormat="false" ht="15" hidden="false" customHeight="false" outlineLevel="0" collapsed="false">
      <c r="A7" s="26" t="s">
        <v>57</v>
      </c>
      <c r="B7" s="27" t="n">
        <f aca="false">'Forward EPS'!$K$28</f>
        <v>4025</v>
      </c>
      <c r="D7" s="3" t="s">
        <v>58</v>
      </c>
    </row>
    <row r="8" customFormat="false" ht="15" hidden="false" customHeight="false" outlineLevel="0" collapsed="false">
      <c r="A8" s="23" t="s">
        <v>59</v>
      </c>
      <c r="B8" s="28" t="s">
        <v>60</v>
      </c>
      <c r="D8" s="25" t="s">
        <v>61</v>
      </c>
    </row>
    <row r="9" customFormat="false" ht="15" hidden="false" customHeight="false" outlineLevel="0" collapsed="false">
      <c r="A9" s="23" t="s">
        <v>62</v>
      </c>
      <c r="B9" s="29" t="n">
        <f aca="false">INDEX($C$22:$C$26,MATCH($B$8,$A$22:$A$26,0))</f>
        <v>62.6</v>
      </c>
      <c r="D9" s="3" t="s">
        <v>63</v>
      </c>
    </row>
    <row r="10" customFormat="false" ht="15" hidden="false" customHeight="false" outlineLevel="0" collapsed="false">
      <c r="A10" s="23" t="s">
        <v>64</v>
      </c>
      <c r="B10" s="30" t="n">
        <v>-0.3</v>
      </c>
      <c r="D10" s="25" t="s">
        <v>65</v>
      </c>
    </row>
    <row r="11" customFormat="false" ht="15" hidden="false" customHeight="false" outlineLevel="0" collapsed="false">
      <c r="A11" s="23" t="s">
        <v>66</v>
      </c>
      <c r="B11" s="29" t="n">
        <f aca="false">AVERAGE($F$22:$F$26)</f>
        <v>26.44</v>
      </c>
      <c r="D11" s="3" t="s">
        <v>67</v>
      </c>
    </row>
    <row r="12" customFormat="false" ht="15" hidden="false" customHeight="false" outlineLevel="0" collapsed="false">
      <c r="A12" s="23" t="s">
        <v>68</v>
      </c>
      <c r="B12" s="29" t="n">
        <f aca="false">MEDIAN($F$22:$F$26)</f>
        <v>25.385</v>
      </c>
    </row>
    <row r="13" customFormat="false" ht="15" hidden="false" customHeight="false" outlineLevel="0" collapsed="false">
      <c r="A13" s="23" t="s">
        <v>69</v>
      </c>
      <c r="B13" s="31" t="n">
        <v>43.82</v>
      </c>
      <c r="D13" s="25" t="s">
        <v>70</v>
      </c>
    </row>
    <row r="14" customFormat="false" ht="15" hidden="false" customHeight="false" outlineLevel="0" collapsed="false">
      <c r="A14" s="23" t="s">
        <v>71</v>
      </c>
      <c r="B14" s="29" t="n">
        <f aca="false">IF($B$6="특정 피어 조정",$B$9*(1+$B$10),IF($B$6="피어 평균",$B$11,IF($B$6="피어 중앙값",$B$12,$B$13)))</f>
        <v>43.82</v>
      </c>
      <c r="D14" s="25" t="s">
        <v>72</v>
      </c>
    </row>
    <row r="15" customFormat="false" ht="15" hidden="false" customHeight="false" outlineLevel="0" collapsed="false">
      <c r="A15" s="23" t="s">
        <v>73</v>
      </c>
      <c r="B15" s="32" t="n">
        <f aca="false">ROUND($B$7*$B$14,-4)</f>
        <v>180000</v>
      </c>
      <c r="D15" s="25" t="s">
        <v>74</v>
      </c>
    </row>
    <row r="16" customFormat="false" ht="15" hidden="false" customHeight="false" outlineLevel="0" collapsed="false">
      <c r="A16" s="23" t="s">
        <v>75</v>
      </c>
      <c r="B16" s="33" t="n">
        <v>143100</v>
      </c>
      <c r="D16" s="3" t="s">
        <v>76</v>
      </c>
    </row>
    <row r="17" customFormat="false" ht="15" hidden="false" customHeight="false" outlineLevel="0" collapsed="false">
      <c r="A17" s="23" t="s">
        <v>77</v>
      </c>
      <c r="B17" s="34" t="n">
        <f aca="false">$B$15/$B$16-1</f>
        <v>0.257861635220126</v>
      </c>
      <c r="D17" s="25" t="s">
        <v>78</v>
      </c>
    </row>
    <row r="20" customFormat="false" ht="15" hidden="false" customHeight="false" outlineLevel="0" collapsed="false">
      <c r="A20" s="18" t="s">
        <v>79</v>
      </c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7" t="s">
        <v>80</v>
      </c>
      <c r="B21" s="7" t="s">
        <v>81</v>
      </c>
      <c r="C21" s="7" t="s">
        <v>82</v>
      </c>
      <c r="D21" s="8" t="s">
        <v>83</v>
      </c>
      <c r="E21" s="7" t="s">
        <v>84</v>
      </c>
      <c r="F21" s="7" t="s">
        <v>85</v>
      </c>
      <c r="G21" s="7"/>
      <c r="H21" s="7"/>
    </row>
    <row r="22" customFormat="false" ht="15" hidden="false" customHeight="false" outlineLevel="0" collapsed="false">
      <c r="A22" s="35" t="s">
        <v>60</v>
      </c>
      <c r="B22" s="36" t="s">
        <v>86</v>
      </c>
      <c r="C22" s="31" t="n">
        <v>62.6</v>
      </c>
      <c r="D22" s="28" t="s">
        <v>87</v>
      </c>
      <c r="E22" s="30" t="n">
        <v>0</v>
      </c>
      <c r="F22" s="37" t="str">
        <f aca="false">IF($D$22="Y",$C$22*(1+$E$22),"")</f>
        <v/>
      </c>
      <c r="G22" s="38" t="s">
        <v>88</v>
      </c>
    </row>
    <row r="23" customFormat="false" ht="15" hidden="false" customHeight="false" outlineLevel="0" collapsed="false">
      <c r="A23" s="39" t="s">
        <v>89</v>
      </c>
      <c r="B23" s="36" t="s">
        <v>90</v>
      </c>
      <c r="C23" s="31" t="n">
        <v>28.3</v>
      </c>
      <c r="D23" s="28" t="s">
        <v>91</v>
      </c>
      <c r="E23" s="30" t="n">
        <v>0</v>
      </c>
      <c r="F23" s="37" t="n">
        <f aca="false">IF($D$23="Y",$C$23*(1+$E$23),"")</f>
        <v>28.3</v>
      </c>
      <c r="G23" s="38" t="s">
        <v>92</v>
      </c>
    </row>
    <row r="24" customFormat="false" ht="15" hidden="false" customHeight="false" outlineLevel="0" collapsed="false">
      <c r="A24" s="39" t="s">
        <v>93</v>
      </c>
      <c r="B24" s="36" t="s">
        <v>90</v>
      </c>
      <c r="C24" s="31" t="n">
        <v>22.47</v>
      </c>
      <c r="D24" s="28" t="s">
        <v>91</v>
      </c>
      <c r="E24" s="30" t="n">
        <v>0</v>
      </c>
      <c r="F24" s="37" t="n">
        <f aca="false">IF($D$24="Y",$C$24*(1+$E$24),"")</f>
        <v>22.47</v>
      </c>
      <c r="G24" s="38" t="s">
        <v>94</v>
      </c>
    </row>
    <row r="25" customFormat="false" ht="15" hidden="false" customHeight="false" outlineLevel="0" collapsed="false">
      <c r="A25" s="39" t="s">
        <v>95</v>
      </c>
      <c r="B25" s="36" t="s">
        <v>90</v>
      </c>
      <c r="C25" s="31" t="n">
        <v>15.68</v>
      </c>
      <c r="D25" s="28" t="s">
        <v>91</v>
      </c>
      <c r="E25" s="30" t="n">
        <v>0</v>
      </c>
      <c r="F25" s="37" t="n">
        <f aca="false">IF($D$25="Y",$C$25*(1+$E$25),"")</f>
        <v>15.68</v>
      </c>
      <c r="G25" s="38" t="s">
        <v>94</v>
      </c>
    </row>
    <row r="26" customFormat="false" ht="15" hidden="false" customHeight="false" outlineLevel="0" collapsed="false">
      <c r="A26" s="39" t="s">
        <v>96</v>
      </c>
      <c r="B26" s="36" t="s">
        <v>90</v>
      </c>
      <c r="C26" s="31" t="n">
        <v>39.31</v>
      </c>
      <c r="D26" s="28" t="s">
        <v>91</v>
      </c>
      <c r="E26" s="30" t="n">
        <v>0</v>
      </c>
      <c r="F26" s="37" t="n">
        <f aca="false">IF($D$26="Y",$C$26*(1+$E$26),"")</f>
        <v>39.31</v>
      </c>
      <c r="G26" s="38" t="s">
        <v>94</v>
      </c>
    </row>
    <row r="28" customFormat="false" ht="15" hidden="false" customHeight="false" outlineLevel="0" collapsed="false">
      <c r="A28" s="23" t="s">
        <v>66</v>
      </c>
      <c r="F28" s="37" t="n">
        <f aca="false">AVERAGE($F$22:$F$26)</f>
        <v>26.44</v>
      </c>
    </row>
    <row r="29" customFormat="false" ht="15" hidden="false" customHeight="false" outlineLevel="0" collapsed="false">
      <c r="A29" s="23" t="s">
        <v>68</v>
      </c>
      <c r="F29" s="37" t="n">
        <f aca="false">MEDIAN($F$22:$F$26)</f>
        <v>25.385</v>
      </c>
    </row>
    <row r="31" customFormat="false" ht="15" hidden="false" customHeight="false" outlineLevel="0" collapsed="false">
      <c r="A31" s="18" t="s">
        <v>97</v>
      </c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7" t="s">
        <v>3</v>
      </c>
      <c r="B32" s="7" t="s">
        <v>98</v>
      </c>
      <c r="C32" s="7" t="s">
        <v>99</v>
      </c>
      <c r="D32" s="7" t="s">
        <v>100</v>
      </c>
      <c r="E32" s="7"/>
      <c r="F32" s="7"/>
      <c r="G32" s="7"/>
      <c r="H32" s="7"/>
    </row>
    <row r="33" customFormat="false" ht="15" hidden="false" customHeight="false" outlineLevel="0" collapsed="false">
      <c r="A33" s="35" t="s">
        <v>101</v>
      </c>
      <c r="B33" s="37" t="n">
        <f aca="false">$B$14</f>
        <v>43.82</v>
      </c>
      <c r="C33" s="40" t="n">
        <v>43.82</v>
      </c>
      <c r="D33" s="37" t="n">
        <f aca="false">$B$33-$C$33</f>
        <v>0</v>
      </c>
    </row>
    <row r="34" customFormat="false" ht="15" hidden="false" customHeight="false" outlineLevel="0" collapsed="false">
      <c r="A34" s="39" t="s">
        <v>102</v>
      </c>
      <c r="B34" s="41" t="n">
        <f aca="false">$B$15</f>
        <v>180000</v>
      </c>
      <c r="C34" s="42" t="n">
        <v>180000</v>
      </c>
      <c r="D34" s="41" t="n">
        <f aca="false">$B$34-$C$34</f>
        <v>0</v>
      </c>
    </row>
    <row r="35" customFormat="false" ht="15" hidden="false" customHeight="false" outlineLevel="0" collapsed="false">
      <c r="A35" s="39" t="s">
        <v>77</v>
      </c>
      <c r="B35" s="43" t="n">
        <f aca="false">$B$17</f>
        <v>0.257861635220126</v>
      </c>
      <c r="C35" s="44" t="n">
        <v>0.26</v>
      </c>
      <c r="D35" s="43" t="n">
        <f aca="false">$B$35-$C$35</f>
        <v>-0.00213836477987428</v>
      </c>
    </row>
    <row r="37" customFormat="false" ht="15" hidden="false" customHeight="false" outlineLevel="0" collapsed="false">
      <c r="A37" s="19" t="s">
        <v>103</v>
      </c>
    </row>
    <row r="38" customFormat="false" ht="15" hidden="false" customHeight="false" outlineLevel="0" collapsed="false">
      <c r="A38" s="20" t="s">
        <v>104</v>
      </c>
    </row>
    <row r="39" customFormat="false" ht="15" hidden="false" customHeight="false" outlineLevel="0" collapsed="false">
      <c r="A39" s="20" t="s">
        <v>105</v>
      </c>
    </row>
    <row r="40" customFormat="false" ht="15" hidden="false" customHeight="false" outlineLevel="0" collapsed="false">
      <c r="A40" s="20" t="s">
        <v>106</v>
      </c>
    </row>
  </sheetData>
  <dataValidations count="3">
    <dataValidation allowBlank="false" error="목록에 있는 네 가지 중에서 골라 주세요." errorStyle="stop" errorTitle="선정 방식" operator="between" prompt="특정 피어 조정 / 피어 평균 / 피어 중앙값 / 직접 입력 중 선택" promptTitle="Target P/E 선정 방식" showDropDown="false" showErrorMessage="true" showInputMessage="true" sqref="B6" type="list">
      <formula1>"특정 피어 조정,피어 평균,피어 중앙값,직접 입력"</formula1>
      <formula2>0</formula2>
    </dataValidation>
    <dataValidation allowBlank="false" errorStyle="stop" operator="between" prompt="아래 피어 표의 기업 중에서 선택" promptTitle="선택 피어" showDropDown="false" showErrorMessage="true" showInputMessage="true" sqref="B8" type="list">
      <formula1>$A$22:$A$26</formula1>
      <formula2>0</formula2>
    </dataValidation>
    <dataValidation allowBlank="false" errorStyle="stop" operator="between" prompt="Y 면 피어 평균·중앙값 계산에 포함" promptTitle="Include" showDropDown="false" showErrorMessage="true" showInputMessage="true" sqref="D22:D2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E6A"/>
    <pageSetUpPr fitToPage="tru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86"/>
  </cols>
  <sheetData>
    <row r="1" customFormat="false" ht="22.05" hidden="false" customHeight="false" outlineLevel="0" collapsed="false">
      <c r="B1" s="45" t="s">
        <v>107</v>
      </c>
    </row>
    <row r="2" customFormat="false" ht="15" hidden="false" customHeight="false" outlineLevel="0" collapsed="false">
      <c r="B2" s="46" t="s">
        <v>108</v>
      </c>
    </row>
    <row r="4" customFormat="false" ht="15" hidden="false" customHeight="false" outlineLevel="0" collapsed="false">
      <c r="A4" s="47" t="s">
        <v>109</v>
      </c>
      <c r="B4" s="48"/>
      <c r="C4" s="48"/>
      <c r="D4" s="48"/>
    </row>
    <row r="5" customFormat="false" ht="15" hidden="false" customHeight="false" outlineLevel="0" collapsed="false">
      <c r="B5" s="49" t="s">
        <v>110</v>
      </c>
      <c r="C5" s="49" t="s">
        <v>111</v>
      </c>
      <c r="D5" s="49" t="s">
        <v>112</v>
      </c>
    </row>
    <row r="6" customFormat="false" ht="30" hidden="false" customHeight="true" outlineLevel="0" collapsed="false">
      <c r="B6" s="50" t="s">
        <v>113</v>
      </c>
      <c r="C6" s="51" t="s">
        <v>114</v>
      </c>
      <c r="D6" s="52" t="s">
        <v>115</v>
      </c>
    </row>
    <row r="7" customFormat="false" ht="30" hidden="false" customHeight="true" outlineLevel="0" collapsed="false">
      <c r="B7" s="50" t="s">
        <v>116</v>
      </c>
      <c r="C7" s="53" t="s">
        <v>117</v>
      </c>
      <c r="D7" s="52" t="s">
        <v>118</v>
      </c>
    </row>
    <row r="8" customFormat="false" ht="30" hidden="false" customHeight="true" outlineLevel="0" collapsed="false">
      <c r="B8" s="50" t="s">
        <v>119</v>
      </c>
      <c r="C8" s="54" t="s">
        <v>120</v>
      </c>
      <c r="D8" s="52" t="s">
        <v>121</v>
      </c>
    </row>
    <row r="9" customFormat="false" ht="30" hidden="false" customHeight="true" outlineLevel="0" collapsed="false">
      <c r="B9" s="50" t="s">
        <v>122</v>
      </c>
      <c r="C9" s="55" t="s">
        <v>123</v>
      </c>
      <c r="D9" s="52" t="s">
        <v>124</v>
      </c>
    </row>
    <row r="10" customFormat="false" ht="30" hidden="false" customHeight="true" outlineLevel="0" collapsed="false">
      <c r="B10" s="50" t="s">
        <v>125</v>
      </c>
      <c r="C10" s="56" t="s">
        <v>126</v>
      </c>
      <c r="D10" s="52" t="s">
        <v>127</v>
      </c>
    </row>
    <row r="11" customFormat="false" ht="30" hidden="false" customHeight="true" outlineLevel="0" collapsed="false">
      <c r="B11" s="50" t="s">
        <v>128</v>
      </c>
      <c r="C11" s="57" t="s">
        <v>129</v>
      </c>
      <c r="D11" s="52" t="s">
        <v>130</v>
      </c>
    </row>
    <row r="13" customFormat="false" ht="15" hidden="false" customHeight="false" outlineLevel="0" collapsed="false">
      <c r="A13" s="47" t="s">
        <v>131</v>
      </c>
      <c r="B13" s="48"/>
      <c r="C13" s="48"/>
      <c r="D13" s="48"/>
    </row>
    <row r="14" customFormat="false" ht="15" hidden="false" customHeight="false" outlineLevel="0" collapsed="false">
      <c r="B14" s="49" t="s">
        <v>132</v>
      </c>
      <c r="C14" s="49" t="s">
        <v>133</v>
      </c>
      <c r="D14" s="49" t="s">
        <v>134</v>
      </c>
    </row>
    <row r="15" customFormat="false" ht="15" hidden="false" customHeight="false" outlineLevel="0" collapsed="false">
      <c r="B15" s="35" t="s">
        <v>57</v>
      </c>
      <c r="C15" s="58" t="s">
        <v>135</v>
      </c>
      <c r="D15" s="59" t="s">
        <v>136</v>
      </c>
    </row>
    <row r="16" customFormat="false" ht="15" hidden="false" customHeight="false" outlineLevel="0" collapsed="false">
      <c r="B16" s="35" t="s">
        <v>137</v>
      </c>
      <c r="C16" s="58" t="s">
        <v>135</v>
      </c>
      <c r="D16" s="59" t="s">
        <v>138</v>
      </c>
    </row>
    <row r="17" customFormat="false" ht="15" hidden="false" customHeight="false" outlineLevel="0" collapsed="false">
      <c r="B17" s="35" t="s">
        <v>139</v>
      </c>
      <c r="C17" s="58" t="s">
        <v>140</v>
      </c>
      <c r="D17" s="59" t="s">
        <v>141</v>
      </c>
    </row>
    <row r="18" customFormat="false" ht="15" hidden="false" customHeight="false" outlineLevel="0" collapsed="false">
      <c r="B18" s="35" t="s">
        <v>142</v>
      </c>
      <c r="C18" s="58" t="s">
        <v>140</v>
      </c>
      <c r="D18" s="60" t="s">
        <v>143</v>
      </c>
    </row>
    <row r="19" customFormat="false" ht="15" hidden="false" customHeight="false" outlineLevel="0" collapsed="false">
      <c r="B19" s="35" t="s">
        <v>144</v>
      </c>
      <c r="C19" s="58" t="s">
        <v>140</v>
      </c>
      <c r="D19" s="59" t="s">
        <v>145</v>
      </c>
    </row>
    <row r="20" customFormat="false" ht="15" hidden="false" customHeight="false" outlineLevel="0" collapsed="false">
      <c r="B20" s="35" t="s">
        <v>146</v>
      </c>
      <c r="C20" s="58" t="s">
        <v>147</v>
      </c>
      <c r="D20" s="59" t="s">
        <v>148</v>
      </c>
    </row>
    <row r="21" customFormat="false" ht="15" hidden="false" customHeight="false" outlineLevel="0" collapsed="false">
      <c r="B21" s="35" t="s">
        <v>149</v>
      </c>
      <c r="C21" s="58" t="s">
        <v>150</v>
      </c>
      <c r="D21" s="59" t="s">
        <v>151</v>
      </c>
    </row>
    <row r="22" customFormat="false" ht="15" hidden="false" customHeight="false" outlineLevel="0" collapsed="false">
      <c r="B22" s="35" t="s">
        <v>152</v>
      </c>
      <c r="C22" s="58" t="s">
        <v>153</v>
      </c>
      <c r="D22" s="59" t="s">
        <v>154</v>
      </c>
    </row>
    <row r="23" customFormat="false" ht="15" hidden="false" customHeight="false" outlineLevel="0" collapsed="false">
      <c r="B23" s="35" t="s">
        <v>155</v>
      </c>
      <c r="C23" s="58" t="s">
        <v>156</v>
      </c>
      <c r="D23" s="59" t="s">
        <v>157</v>
      </c>
    </row>
    <row r="24" customFormat="false" ht="15" hidden="false" customHeight="false" outlineLevel="0" collapsed="false">
      <c r="B24" s="35" t="s">
        <v>158</v>
      </c>
      <c r="C24" s="61" t="s">
        <v>159</v>
      </c>
      <c r="D24" s="59" t="s">
        <v>160</v>
      </c>
    </row>
    <row r="25" customFormat="false" ht="15" hidden="false" customHeight="false" outlineLevel="0" collapsed="false">
      <c r="B25" s="35" t="s">
        <v>161</v>
      </c>
      <c r="C25" s="61" t="s">
        <v>162</v>
      </c>
      <c r="D25" s="60" t="s">
        <v>163</v>
      </c>
    </row>
    <row r="26" customFormat="false" ht="15" hidden="false" customHeight="false" outlineLevel="0" collapsed="false">
      <c r="B26" s="35" t="s">
        <v>164</v>
      </c>
      <c r="C26" s="61" t="s">
        <v>165</v>
      </c>
      <c r="D26" s="60" t="s">
        <v>166</v>
      </c>
    </row>
    <row r="27" customFormat="false" ht="15" hidden="false" customHeight="false" outlineLevel="0" collapsed="false">
      <c r="B27" s="35" t="s">
        <v>167</v>
      </c>
      <c r="C27" s="61" t="s">
        <v>168</v>
      </c>
      <c r="D27" s="59" t="s">
        <v>169</v>
      </c>
    </row>
    <row r="28" customFormat="false" ht="15" hidden="false" customHeight="false" outlineLevel="0" collapsed="false">
      <c r="B28" s="35" t="s">
        <v>170</v>
      </c>
      <c r="C28" s="61" t="s">
        <v>171</v>
      </c>
      <c r="D28" s="59" t="s">
        <v>172</v>
      </c>
    </row>
    <row r="29" customFormat="false" ht="15" hidden="false" customHeight="false" outlineLevel="0" collapsed="false">
      <c r="B29" s="35" t="s">
        <v>173</v>
      </c>
      <c r="C29" s="61" t="s">
        <v>174</v>
      </c>
      <c r="D29" s="59" t="s">
        <v>175</v>
      </c>
    </row>
    <row r="30" customFormat="false" ht="15" hidden="false" customHeight="false" outlineLevel="0" collapsed="false">
      <c r="B30" s="35" t="s">
        <v>176</v>
      </c>
      <c r="C30" s="61" t="s">
        <v>177</v>
      </c>
      <c r="D30" s="59" t="s">
        <v>178</v>
      </c>
    </row>
    <row r="31" customFormat="false" ht="15" hidden="false" customHeight="false" outlineLevel="0" collapsed="false">
      <c r="B31" s="35" t="s">
        <v>179</v>
      </c>
      <c r="C31" s="61" t="s">
        <v>180</v>
      </c>
      <c r="D31" s="59" t="s">
        <v>181</v>
      </c>
    </row>
    <row r="32" customFormat="false" ht="15" hidden="false" customHeight="false" outlineLevel="0" collapsed="false">
      <c r="B32" s="35" t="s">
        <v>182</v>
      </c>
      <c r="C32" s="61" t="s">
        <v>183</v>
      </c>
      <c r="D32" s="59" t="s">
        <v>184</v>
      </c>
    </row>
    <row r="33" customFormat="false" ht="15" hidden="false" customHeight="false" outlineLevel="0" collapsed="false">
      <c r="B33" s="35" t="s">
        <v>185</v>
      </c>
      <c r="C33" s="61" t="s">
        <v>186</v>
      </c>
      <c r="D33" s="60" t="s">
        <v>187</v>
      </c>
    </row>
    <row r="34" customFormat="false" ht="15" hidden="false" customHeight="false" outlineLevel="0" collapsed="false">
      <c r="B34" s="35" t="s">
        <v>188</v>
      </c>
      <c r="C34" s="58" t="s">
        <v>189</v>
      </c>
      <c r="D34" s="59" t="s">
        <v>190</v>
      </c>
    </row>
    <row r="35" customFormat="false" ht="15" hidden="false" customHeight="false" outlineLevel="0" collapsed="false">
      <c r="B35" s="35" t="s">
        <v>191</v>
      </c>
      <c r="C35" s="58" t="s">
        <v>189</v>
      </c>
      <c r="D35" s="59" t="s">
        <v>192</v>
      </c>
    </row>
    <row r="36" customFormat="false" ht="15" hidden="false" customHeight="false" outlineLevel="0" collapsed="false">
      <c r="B36" s="35" t="s">
        <v>193</v>
      </c>
      <c r="C36" s="58" t="s">
        <v>189</v>
      </c>
      <c r="D36" s="59" t="s">
        <v>194</v>
      </c>
    </row>
    <row r="37" customFormat="false" ht="15" hidden="false" customHeight="false" outlineLevel="0" collapsed="false">
      <c r="B37" s="35" t="s">
        <v>195</v>
      </c>
      <c r="C37" s="58" t="s">
        <v>189</v>
      </c>
      <c r="D37" s="59" t="s">
        <v>196</v>
      </c>
    </row>
    <row r="38" customFormat="false" ht="15" hidden="false" customHeight="false" outlineLevel="0" collapsed="false">
      <c r="B38" s="35" t="s">
        <v>197</v>
      </c>
      <c r="C38" s="58" t="s">
        <v>198</v>
      </c>
      <c r="D38" s="59" t="s">
        <v>199</v>
      </c>
    </row>
    <row r="39" customFormat="false" ht="15" hidden="false" customHeight="false" outlineLevel="0" collapsed="false">
      <c r="B39" s="35" t="s">
        <v>200</v>
      </c>
      <c r="C39" s="58" t="s">
        <v>198</v>
      </c>
      <c r="D39" s="59" t="s">
        <v>201</v>
      </c>
    </row>
    <row r="40" customFormat="false" ht="15" hidden="false" customHeight="false" outlineLevel="0" collapsed="false">
      <c r="B40" s="35" t="s">
        <v>202</v>
      </c>
      <c r="C40" s="58" t="s">
        <v>203</v>
      </c>
      <c r="D40" s="59" t="s">
        <v>204</v>
      </c>
    </row>
    <row r="41" customFormat="false" ht="15" hidden="false" customHeight="false" outlineLevel="0" collapsed="false">
      <c r="B41" s="35" t="s">
        <v>205</v>
      </c>
      <c r="C41" s="58" t="s">
        <v>203</v>
      </c>
      <c r="D41" s="59" t="s">
        <v>206</v>
      </c>
    </row>
    <row r="42" customFormat="false" ht="15" hidden="false" customHeight="false" outlineLevel="0" collapsed="false">
      <c r="B42" s="35" t="s">
        <v>207</v>
      </c>
      <c r="C42" s="58" t="s">
        <v>203</v>
      </c>
      <c r="D42" s="59" t="s">
        <v>208</v>
      </c>
    </row>
    <row r="43" customFormat="false" ht="15" hidden="false" customHeight="false" outlineLevel="0" collapsed="false">
      <c r="B43" s="35" t="s">
        <v>209</v>
      </c>
      <c r="C43" s="58" t="s">
        <v>210</v>
      </c>
      <c r="D43" s="59" t="s">
        <v>211</v>
      </c>
    </row>
    <row r="45" customFormat="false" ht="15" hidden="false" customHeight="false" outlineLevel="0" collapsed="false">
      <c r="A45" s="47" t="s">
        <v>212</v>
      </c>
      <c r="B45" s="48"/>
      <c r="C45" s="48"/>
      <c r="D45" s="48"/>
    </row>
    <row r="46" customFormat="false" ht="15" hidden="false" customHeight="true" outlineLevel="0" collapsed="false">
      <c r="B46" s="62" t="s">
        <v>213</v>
      </c>
      <c r="C46" s="63" t="s">
        <v>214</v>
      </c>
      <c r="D46" s="63"/>
    </row>
    <row r="47" customFormat="false" ht="30" hidden="false" customHeight="true" outlineLevel="0" collapsed="false">
      <c r="B47" s="62" t="s">
        <v>213</v>
      </c>
      <c r="C47" s="63" t="s">
        <v>215</v>
      </c>
      <c r="D47" s="63"/>
    </row>
    <row r="48" customFormat="false" ht="30" hidden="false" customHeight="true" outlineLevel="0" collapsed="false">
      <c r="B48" s="62" t="s">
        <v>213</v>
      </c>
      <c r="C48" s="63" t="s">
        <v>216</v>
      </c>
      <c r="D48" s="63"/>
    </row>
    <row r="49" customFormat="false" ht="30" hidden="false" customHeight="true" outlineLevel="0" collapsed="false">
      <c r="B49" s="62" t="s">
        <v>213</v>
      </c>
      <c r="C49" s="63" t="s">
        <v>217</v>
      </c>
      <c r="D49" s="63"/>
    </row>
    <row r="50" customFormat="false" ht="30" hidden="false" customHeight="true" outlineLevel="0" collapsed="false">
      <c r="B50" s="62" t="s">
        <v>213</v>
      </c>
      <c r="C50" s="63" t="s">
        <v>218</v>
      </c>
      <c r="D50" s="63"/>
    </row>
    <row r="51" customFormat="false" ht="30" hidden="false" customHeight="true" outlineLevel="0" collapsed="false">
      <c r="B51" s="62" t="s">
        <v>213</v>
      </c>
      <c r="C51" s="63" t="s">
        <v>219</v>
      </c>
      <c r="D51" s="63"/>
    </row>
    <row r="52" customFormat="false" ht="30" hidden="false" customHeight="true" outlineLevel="0" collapsed="false">
      <c r="B52" s="62" t="s">
        <v>213</v>
      </c>
      <c r="C52" s="63" t="s">
        <v>220</v>
      </c>
      <c r="D52" s="63"/>
    </row>
    <row r="53" customFormat="false" ht="15" hidden="false" customHeight="true" outlineLevel="0" collapsed="false">
      <c r="B53" s="62" t="s">
        <v>213</v>
      </c>
      <c r="C53" s="63" t="s">
        <v>221</v>
      </c>
      <c r="D53" s="63"/>
    </row>
    <row r="54" customFormat="false" ht="15" hidden="false" customHeight="true" outlineLevel="0" collapsed="false">
      <c r="B54" s="62" t="s">
        <v>213</v>
      </c>
      <c r="C54" s="63" t="s">
        <v>222</v>
      </c>
      <c r="D54" s="63"/>
    </row>
    <row r="55" customFormat="false" ht="30" hidden="false" customHeight="true" outlineLevel="0" collapsed="false">
      <c r="B55" s="62" t="s">
        <v>213</v>
      </c>
      <c r="C55" s="63" t="s">
        <v>223</v>
      </c>
      <c r="D55" s="63"/>
    </row>
    <row r="56" customFormat="false" ht="30" hidden="false" customHeight="true" outlineLevel="0" collapsed="false">
      <c r="B56" s="62" t="s">
        <v>213</v>
      </c>
      <c r="C56" s="63" t="s">
        <v>224</v>
      </c>
      <c r="D56" s="63"/>
    </row>
    <row r="57" customFormat="false" ht="15" hidden="false" customHeight="true" outlineLevel="0" collapsed="false">
      <c r="B57" s="62" t="s">
        <v>213</v>
      </c>
      <c r="C57" s="63" t="s">
        <v>225</v>
      </c>
      <c r="D57" s="63"/>
    </row>
  </sheetData>
  <mergeCells count="12"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1"/>
    <col collapsed="false" customWidth="true" hidden="false" outlineLevel="0" max="12" min="12" style="0" width="10"/>
    <col collapsed="false" customWidth="true" hidden="false" outlineLevel="0" max="13" min="13" style="0" width="52"/>
  </cols>
  <sheetData>
    <row r="1" customFormat="false" ht="20.1" hidden="false" customHeight="false" outlineLevel="0" collapsed="false">
      <c r="A1" s="64" t="s">
        <v>226</v>
      </c>
    </row>
    <row r="2" customFormat="false" ht="15" hidden="false" customHeight="false" outlineLevel="0" collapsed="false">
      <c r="A2" s="19" t="s">
        <v>227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228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3</v>
      </c>
      <c r="B5" s="49" t="s">
        <v>229</v>
      </c>
      <c r="C5" s="49" t="s">
        <v>230</v>
      </c>
      <c r="D5" s="49" t="s">
        <v>231</v>
      </c>
    </row>
    <row r="6" customFormat="false" ht="15" hidden="false" customHeight="false" outlineLevel="0" collapsed="false">
      <c r="A6" s="50" t="s">
        <v>232</v>
      </c>
      <c r="B6" s="67" t="n">
        <v>21197.1</v>
      </c>
      <c r="C6" s="61" t="s">
        <v>233</v>
      </c>
      <c r="D6" s="68" t="s">
        <v>234</v>
      </c>
    </row>
    <row r="8" customFormat="false" ht="15" hidden="false" customHeight="false" outlineLevel="0" collapsed="false">
      <c r="A8" s="66" t="s">
        <v>235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customFormat="false" ht="15" hidden="false" customHeight="false" outlineLevel="0" collapsed="false">
      <c r="A9" s="49" t="s">
        <v>110</v>
      </c>
      <c r="B9" s="69" t="s">
        <v>4</v>
      </c>
      <c r="C9" s="69" t="s">
        <v>5</v>
      </c>
      <c r="D9" s="69" t="s">
        <v>6</v>
      </c>
      <c r="E9" s="69" t="s">
        <v>7</v>
      </c>
      <c r="F9" s="69" t="s">
        <v>236</v>
      </c>
      <c r="G9" s="69" t="s">
        <v>237</v>
      </c>
      <c r="H9" s="69" t="s">
        <v>238</v>
      </c>
      <c r="I9" s="69" t="s">
        <v>239</v>
      </c>
      <c r="J9" s="69" t="s">
        <v>240</v>
      </c>
      <c r="K9" s="69" t="s">
        <v>241</v>
      </c>
      <c r="L9" s="49" t="s">
        <v>230</v>
      </c>
    </row>
    <row r="10" customFormat="false" ht="15" hidden="false" customHeight="false" outlineLevel="0" collapsed="false">
      <c r="A10" s="12" t="s">
        <v>16</v>
      </c>
      <c r="B10" s="70" t="n">
        <f aca="false">'Forward EPS'!$B$7</f>
        <v>16.9</v>
      </c>
      <c r="C10" s="70" t="n">
        <f aca="false">'Forward EPS'!$C$7</f>
        <v>33.1</v>
      </c>
      <c r="D10" s="70" t="n">
        <f aca="false">'Forward EPS'!$D$7</f>
        <v>44</v>
      </c>
      <c r="E10" s="70" t="n">
        <f aca="false">'Forward EPS'!$E$7</f>
        <v>54.4</v>
      </c>
      <c r="F10" s="70" t="n">
        <f aca="false">'Forward EPS'!$F$7</f>
        <v>47.3</v>
      </c>
      <c r="G10" s="70" t="n">
        <f aca="false">'Forward EPS'!$G$7</f>
        <v>50.6</v>
      </c>
      <c r="H10" s="70" t="n">
        <f aca="false">'Forward EPS'!$H$7</f>
        <v>57.2</v>
      </c>
      <c r="I10" s="70" t="n">
        <f aca="false">'Forward EPS'!$I$7</f>
        <v>62.9</v>
      </c>
      <c r="J10" s="71" t="n">
        <f aca="false">SUM($B10:$E10)</f>
        <v>148.4</v>
      </c>
      <c r="K10" s="71" t="n">
        <f aca="false">SUM($F10:$I10)</f>
        <v>218</v>
      </c>
      <c r="L10" s="72" t="s">
        <v>242</v>
      </c>
    </row>
    <row r="11" customFormat="false" ht="15" hidden="false" customHeight="false" outlineLevel="0" collapsed="false">
      <c r="A11" s="12" t="s">
        <v>17</v>
      </c>
      <c r="B11" s="70" t="n">
        <f aca="false">'Forward EPS'!$B$8</f>
        <v>9.5</v>
      </c>
      <c r="C11" s="70" t="n">
        <f aca="false">'Forward EPS'!$C$8</f>
        <v>14</v>
      </c>
      <c r="D11" s="70" t="n">
        <f aca="false">'Forward EPS'!$D$8</f>
        <v>13.5</v>
      </c>
      <c r="E11" s="70" t="n">
        <f aca="false">'Forward EPS'!$E$8</f>
        <v>12</v>
      </c>
      <c r="F11" s="70" t="n">
        <f aca="false">'Forward EPS'!$F$8</f>
        <v>9.6</v>
      </c>
      <c r="G11" s="70" t="n">
        <f aca="false">'Forward EPS'!$G$8</f>
        <v>10.6</v>
      </c>
      <c r="H11" s="70" t="n">
        <f aca="false">'Forward EPS'!$H$8</f>
        <v>10.6</v>
      </c>
      <c r="I11" s="70" t="n">
        <f aca="false">'Forward EPS'!$I$8</f>
        <v>10</v>
      </c>
      <c r="J11" s="71" t="n">
        <f aca="false">SUM($B11:$E11)</f>
        <v>49</v>
      </c>
      <c r="K11" s="71" t="n">
        <f aca="false">SUM($F11:$I11)</f>
        <v>40.8</v>
      </c>
      <c r="L11" s="72" t="s">
        <v>242</v>
      </c>
    </row>
    <row r="12" customFormat="false" ht="15" hidden="false" customHeight="false" outlineLevel="0" collapsed="false">
      <c r="A12" s="15" t="s">
        <v>18</v>
      </c>
      <c r="B12" s="70" t="n">
        <f aca="false">'Forward EPS'!$B$9</f>
        <v>3.2</v>
      </c>
      <c r="C12" s="70" t="n">
        <f aca="false">'Forward EPS'!$C$9</f>
        <v>3</v>
      </c>
      <c r="D12" s="70" t="n">
        <f aca="false">'Forward EPS'!$D$9</f>
        <v>4.5</v>
      </c>
      <c r="E12" s="70" t="n">
        <f aca="false">'Forward EPS'!$E$9</f>
        <v>3</v>
      </c>
      <c r="F12" s="70" t="n">
        <f aca="false">'Forward EPS'!$F$9</f>
        <v>3.4</v>
      </c>
      <c r="G12" s="70" t="n">
        <f aca="false">'Forward EPS'!$G$9</f>
        <v>3.5</v>
      </c>
      <c r="H12" s="70" t="n">
        <f aca="false">'Forward EPS'!$H$9</f>
        <v>3.6</v>
      </c>
      <c r="I12" s="70" t="n">
        <f aca="false">'Forward EPS'!$I$9</f>
        <v>3.4</v>
      </c>
      <c r="J12" s="71" t="n">
        <f aca="false">SUM($B12:$E12)</f>
        <v>13.7</v>
      </c>
      <c r="K12" s="71" t="n">
        <f aca="false">SUM($F12:$I12)</f>
        <v>13.9</v>
      </c>
      <c r="L12" s="72" t="s">
        <v>242</v>
      </c>
    </row>
    <row r="13" customFormat="false" ht="15" hidden="false" customHeight="false" outlineLevel="0" collapsed="false">
      <c r="A13" s="12" t="s">
        <v>19</v>
      </c>
      <c r="B13" s="70" t="n">
        <f aca="false">'Forward EPS'!$B$10</f>
        <v>1</v>
      </c>
      <c r="C13" s="70" t="n">
        <f aca="false">'Forward EPS'!$C$10</f>
        <v>0.7</v>
      </c>
      <c r="D13" s="70" t="n">
        <f aca="false">'Forward EPS'!$D$10</f>
        <v>1.5</v>
      </c>
      <c r="E13" s="70" t="n">
        <f aca="false">'Forward EPS'!$E$10</f>
        <v>1.9</v>
      </c>
      <c r="F13" s="70" t="n">
        <f aca="false">'Forward EPS'!$F$10</f>
        <v>3.3</v>
      </c>
      <c r="G13" s="70" t="n">
        <f aca="false">'Forward EPS'!$G$10</f>
        <v>2.8</v>
      </c>
      <c r="H13" s="70" t="n">
        <f aca="false">'Forward EPS'!$H$10</f>
        <v>3.4</v>
      </c>
      <c r="I13" s="70" t="n">
        <f aca="false">'Forward EPS'!$I$10</f>
        <v>4.8</v>
      </c>
      <c r="J13" s="71" t="n">
        <f aca="false">SUM($B13:$E13)</f>
        <v>5.1</v>
      </c>
      <c r="K13" s="71" t="n">
        <f aca="false">SUM($F13:$I13)</f>
        <v>14.3</v>
      </c>
      <c r="L13" s="72" t="s">
        <v>242</v>
      </c>
    </row>
    <row r="14" customFormat="false" ht="15" hidden="false" customHeight="false" outlineLevel="0" collapsed="false">
      <c r="A14" s="12" t="s">
        <v>20</v>
      </c>
      <c r="B14" s="70" t="n">
        <f aca="false">'Forward EPS'!$B$11</f>
        <v>0.7</v>
      </c>
      <c r="C14" s="70" t="n">
        <f aca="false">'Forward EPS'!$C$11</f>
        <v>0.7</v>
      </c>
      <c r="D14" s="70" t="n">
        <f aca="false">'Forward EPS'!$D$11</f>
        <v>0.8</v>
      </c>
      <c r="E14" s="70" t="n">
        <f aca="false">'Forward EPS'!$E$11</f>
        <v>1</v>
      </c>
      <c r="F14" s="70" t="n">
        <f aca="false">'Forward EPS'!$F$11</f>
        <v>0.8</v>
      </c>
      <c r="G14" s="70" t="n">
        <f aca="false">'Forward EPS'!$G$11</f>
        <v>0.8</v>
      </c>
      <c r="H14" s="70" t="n">
        <f aca="false">'Forward EPS'!$H$11</f>
        <v>0.9</v>
      </c>
      <c r="I14" s="70" t="n">
        <f aca="false">'Forward EPS'!$I$11</f>
        <v>0.9</v>
      </c>
      <c r="J14" s="71" t="n">
        <f aca="false">SUM($B14:$E14)</f>
        <v>3.2</v>
      </c>
      <c r="K14" s="71" t="n">
        <f aca="false">SUM($F14:$I14)</f>
        <v>3.4</v>
      </c>
      <c r="L14" s="72" t="s">
        <v>242</v>
      </c>
    </row>
    <row r="15" customFormat="false" ht="15" hidden="false" customHeight="false" outlineLevel="0" collapsed="false">
      <c r="A15" s="15" t="s">
        <v>21</v>
      </c>
      <c r="B15" s="70" t="n">
        <f aca="false">'Forward EPS'!$B$12</f>
        <v>0</v>
      </c>
      <c r="C15" s="70" t="n">
        <f aca="false">'Forward EPS'!$C$12</f>
        <v>0</v>
      </c>
      <c r="D15" s="70" t="n">
        <f aca="false">'Forward EPS'!$D$12</f>
        <v>0</v>
      </c>
      <c r="E15" s="70" t="n">
        <f aca="false">'Forward EPS'!$E$12</f>
        <v>0</v>
      </c>
      <c r="F15" s="70" t="n">
        <f aca="false">'Forward EPS'!$F$12</f>
        <v>0</v>
      </c>
      <c r="G15" s="70" t="n">
        <f aca="false">'Forward EPS'!$G$12</f>
        <v>0</v>
      </c>
      <c r="H15" s="70" t="n">
        <f aca="false">'Forward EPS'!$H$12</f>
        <v>0</v>
      </c>
      <c r="I15" s="70" t="n">
        <f aca="false">'Forward EPS'!$I$12</f>
        <v>0</v>
      </c>
      <c r="J15" s="71" t="n">
        <f aca="false">SUM($B15:$E15)</f>
        <v>0</v>
      </c>
      <c r="K15" s="71" t="n">
        <f aca="false">SUM($F15:$I15)</f>
        <v>0</v>
      </c>
      <c r="L15" s="72" t="s">
        <v>242</v>
      </c>
    </row>
    <row r="16" customFormat="false" ht="15" hidden="false" customHeight="false" outlineLevel="0" collapsed="false">
      <c r="A16" s="12" t="s">
        <v>22</v>
      </c>
      <c r="B16" s="70" t="n">
        <f aca="false">'Forward EPS'!$B$13</f>
        <v>0.4</v>
      </c>
      <c r="C16" s="70" t="n">
        <f aca="false">'Forward EPS'!$C$13</f>
        <v>0.2</v>
      </c>
      <c r="D16" s="70" t="n">
        <f aca="false">'Forward EPS'!$D$13</f>
        <v>0.2</v>
      </c>
      <c r="E16" s="70" t="n">
        <f aca="false">'Forward EPS'!$E$13</f>
        <v>0</v>
      </c>
      <c r="F16" s="70" t="n">
        <f aca="false">'Forward EPS'!$F$13</f>
        <v>2</v>
      </c>
      <c r="G16" s="70" t="n">
        <f aca="false">'Forward EPS'!$G$13</f>
        <v>2.7</v>
      </c>
      <c r="H16" s="70" t="n">
        <f aca="false">'Forward EPS'!$H$13</f>
        <v>1.5</v>
      </c>
      <c r="I16" s="70" t="n">
        <f aca="false">'Forward EPS'!$I$13</f>
        <v>6.3</v>
      </c>
      <c r="J16" s="71" t="n">
        <f aca="false">SUM($B16:$E16)</f>
        <v>0.8</v>
      </c>
      <c r="K16" s="71" t="n">
        <f aca="false">SUM($F16:$I16)</f>
        <v>12.5</v>
      </c>
      <c r="L16" s="72" t="s">
        <v>242</v>
      </c>
    </row>
    <row r="17" customFormat="false" ht="15" hidden="false" customHeight="false" outlineLevel="0" collapsed="false">
      <c r="A17" s="50" t="s">
        <v>15</v>
      </c>
      <c r="B17" s="73" t="n">
        <f aca="false">B$10+B$11+B$12+B$13+B$14+B$15+B$16</f>
        <v>31.7</v>
      </c>
      <c r="C17" s="73" t="n">
        <f aca="false">C$10+C$11+C$12+C$13+C$14+C$15+C$16</f>
        <v>51.7</v>
      </c>
      <c r="D17" s="73" t="n">
        <f aca="false">D$10+D$11+D$12+D$13+D$14+D$15+D$16</f>
        <v>64.5</v>
      </c>
      <c r="E17" s="73" t="n">
        <f aca="false">E$10+E$11+E$12+E$13+E$14+E$15+E$16</f>
        <v>72.3</v>
      </c>
      <c r="F17" s="73" t="n">
        <f aca="false">F$10+F$11+F$12+F$13+F$14+F$15+F$16</f>
        <v>66.4</v>
      </c>
      <c r="G17" s="73" t="n">
        <f aca="false">G$10+G$11+G$12+G$13+G$14+G$15+G$16</f>
        <v>71</v>
      </c>
      <c r="H17" s="73" t="n">
        <f aca="false">H$10+H$11+H$12+H$13+H$14+H$15+H$16</f>
        <v>77.2</v>
      </c>
      <c r="I17" s="73" t="n">
        <f aca="false">I$10+I$11+I$12+I$13+I$14+I$15+I$16</f>
        <v>88.3</v>
      </c>
      <c r="J17" s="73" t="n">
        <f aca="false">J$10+J$11+J$12+J$13+J$14+J$15+J$16</f>
        <v>220.2</v>
      </c>
      <c r="K17" s="73" t="n">
        <f aca="false">K$10+K$11+K$12+K$13+K$14+K$15+K$16</f>
        <v>302.9</v>
      </c>
      <c r="L17" s="72" t="s">
        <v>242</v>
      </c>
    </row>
    <row r="18" customFormat="false" ht="15" hidden="false" customHeight="false" outlineLevel="0" collapsed="false">
      <c r="A18" s="35" t="s">
        <v>243</v>
      </c>
      <c r="B18" s="74" t="n">
        <f aca="false">B$17/'09_도표5_분기실적_수정전'!$B$5-1</f>
        <v>-0.096866096866097</v>
      </c>
      <c r="C18" s="74" t="n">
        <f aca="false">C$17/'09_도표5_분기실적_수정전'!$C$5-1</f>
        <v>0.0381526104417673</v>
      </c>
      <c r="D18" s="74" t="n">
        <f aca="false">D$17/'09_도표5_분기실적_수정전'!$D$5-1</f>
        <v>0.279761904761905</v>
      </c>
      <c r="E18" s="74" t="n">
        <f aca="false">E$17/'09_도표5_분기실적_수정전'!$E$5-1</f>
        <v>0.83969465648855</v>
      </c>
      <c r="F18" s="75" t="n">
        <f aca="false">F$17/B$17-1</f>
        <v>1.09463722397476</v>
      </c>
      <c r="G18" s="75" t="n">
        <f aca="false">G$17/C$17-1</f>
        <v>0.373307543520309</v>
      </c>
      <c r="H18" s="75" t="n">
        <f aca="false">H$17/D$17-1</f>
        <v>0.196899224806202</v>
      </c>
      <c r="I18" s="75" t="n">
        <f aca="false">I$17/E$17-1</f>
        <v>0.221300138312586</v>
      </c>
      <c r="J18" s="74" t="n">
        <f aca="false">$J$17/'09_도표5_분기실적_수정전'!$J$5-1</f>
        <v>0.26189111747851</v>
      </c>
      <c r="K18" s="75" t="n">
        <f aca="false">$K$17/$J$17-1</f>
        <v>0.375567665758402</v>
      </c>
      <c r="L18" s="16" t="s">
        <v>244</v>
      </c>
    </row>
    <row r="19" customFormat="false" ht="15" hidden="false" customHeight="false" outlineLevel="0" collapsed="false">
      <c r="A19" s="35" t="s">
        <v>245</v>
      </c>
      <c r="B19" s="74" t="n">
        <f aca="false">$B$17/'09_도표5_분기실적_수정전'!$E$5-1</f>
        <v>-0.193384223918575</v>
      </c>
      <c r="C19" s="75" t="n">
        <f aca="false">C$17/B$17-1</f>
        <v>0.630914826498423</v>
      </c>
      <c r="D19" s="75" t="n">
        <f aca="false">D$17/C$17-1</f>
        <v>0.247582205029013</v>
      </c>
      <c r="E19" s="75" t="n">
        <f aca="false">E$17/D$17-1</f>
        <v>0.12093023255814</v>
      </c>
      <c r="F19" s="75" t="n">
        <f aca="false">F$17/E$17-1</f>
        <v>-0.0816044260027665</v>
      </c>
      <c r="G19" s="75" t="n">
        <f aca="false">G$17/F$17-1</f>
        <v>0.0692771084337351</v>
      </c>
      <c r="H19" s="75" t="n">
        <f aca="false">H$17/G$17-1</f>
        <v>0.0873239436619719</v>
      </c>
      <c r="I19" s="75" t="n">
        <f aca="false">I$17/H$17-1</f>
        <v>0.143782383419689</v>
      </c>
      <c r="J19" s="16"/>
      <c r="K19" s="16"/>
      <c r="L19" s="16" t="s">
        <v>244</v>
      </c>
    </row>
    <row r="20" customFormat="false" ht="15" hidden="false" customHeight="false" outlineLevel="0" collapsed="false">
      <c r="A20" s="50" t="s">
        <v>29</v>
      </c>
      <c r="B20" s="70" t="n">
        <f aca="false">'Forward EPS'!$B$20</f>
        <v>6.99</v>
      </c>
      <c r="C20" s="70" t="n">
        <f aca="false">'Forward EPS'!$C$20</f>
        <v>13.71</v>
      </c>
      <c r="D20" s="70" t="n">
        <f aca="false">'Forward EPS'!$D$20</f>
        <v>17.42</v>
      </c>
      <c r="E20" s="70" t="n">
        <f aca="false">'Forward EPS'!$E$20</f>
        <v>21.93</v>
      </c>
      <c r="F20" s="70" t="n">
        <f aca="false">'Forward EPS'!$F$20</f>
        <v>20.6</v>
      </c>
      <c r="G20" s="70" t="n">
        <f aca="false">'Forward EPS'!$G$20</f>
        <v>21.5</v>
      </c>
      <c r="H20" s="70" t="n">
        <f aca="false">'Forward EPS'!$H$20</f>
        <v>22.7</v>
      </c>
      <c r="I20" s="70" t="n">
        <f aca="false">'Forward EPS'!$I$20</f>
        <v>28.9</v>
      </c>
      <c r="J20" s="73" t="n">
        <f aca="false">SUM($B20:$E20)</f>
        <v>60.05</v>
      </c>
      <c r="K20" s="73" t="n">
        <f aca="false">SUM($F20:$I20)</f>
        <v>93.7</v>
      </c>
      <c r="L20" s="72" t="s">
        <v>242</v>
      </c>
    </row>
    <row r="21" customFormat="false" ht="15" hidden="false" customHeight="false" outlineLevel="0" collapsed="false">
      <c r="A21" s="35" t="s">
        <v>246</v>
      </c>
      <c r="B21" s="76" t="n">
        <f aca="false">B$20/B$17</f>
        <v>0.220504731861199</v>
      </c>
      <c r="C21" s="76" t="n">
        <f aca="false">C$20/C$17</f>
        <v>0.265183752417795</v>
      </c>
      <c r="D21" s="76" t="n">
        <f aca="false">D$20/D$17</f>
        <v>0.270077519379845</v>
      </c>
      <c r="E21" s="76" t="n">
        <f aca="false">E$20/E$17</f>
        <v>0.303319502074689</v>
      </c>
      <c r="F21" s="76" t="n">
        <f aca="false">F$20/F$17</f>
        <v>0.310240963855422</v>
      </c>
      <c r="G21" s="76" t="n">
        <f aca="false">G$20/G$17</f>
        <v>0.302816901408451</v>
      </c>
      <c r="H21" s="76" t="n">
        <f aca="false">H$20/H$17</f>
        <v>0.294041450777202</v>
      </c>
      <c r="I21" s="76" t="n">
        <f aca="false">I$20/I$17</f>
        <v>0.327293318233296</v>
      </c>
      <c r="J21" s="76" t="n">
        <f aca="false">J$20/J$17</f>
        <v>0.272706630336058</v>
      </c>
      <c r="K21" s="76" t="n">
        <f aca="false">K$20/K$17</f>
        <v>0.309343017497524</v>
      </c>
      <c r="L21" s="16" t="s">
        <v>244</v>
      </c>
    </row>
    <row r="22" customFormat="false" ht="15" hidden="false" customHeight="false" outlineLevel="0" collapsed="false">
      <c r="A22" s="39" t="s">
        <v>247</v>
      </c>
      <c r="B22" s="74" t="n">
        <f aca="false">B$20/'09_도표5_분기실적_수정전'!$B$15-1</f>
        <v>-0.187209302325581</v>
      </c>
      <c r="C22" s="74" t="n">
        <f aca="false">C$20/'09_도표5_분기실적_수정전'!$C$15-1</f>
        <v>-0.0798657718120805</v>
      </c>
      <c r="D22" s="74" t="n">
        <f aca="false">D$20/'09_도표5_분기실적_수정전'!$D$15-1</f>
        <v>0.26231884057971</v>
      </c>
      <c r="E22" s="74" t="n">
        <f aca="false">E$20/'09_도표5_분기실적_수정전'!$E$15-1</f>
        <v>1.924</v>
      </c>
      <c r="F22" s="75" t="n">
        <f aca="false">F$20/B$20-1</f>
        <v>1.94706723891273</v>
      </c>
      <c r="G22" s="75" t="n">
        <f aca="false">G$20/C$20-1</f>
        <v>0.568198395331875</v>
      </c>
      <c r="H22" s="75" t="n">
        <f aca="false">H$20/D$20-1</f>
        <v>0.303099885189437</v>
      </c>
      <c r="I22" s="75" t="n">
        <f aca="false">I$20/E$20-1</f>
        <v>0.317829457364341</v>
      </c>
      <c r="J22" s="74" t="n">
        <f aca="false">$J$20/'09_도표5_분기실적_수정전'!$J$15-1</f>
        <v>0.340401785714286</v>
      </c>
      <c r="K22" s="75" t="n">
        <f aca="false">$K$20/$J$20-1</f>
        <v>0.560366361365529</v>
      </c>
      <c r="L22" s="16" t="s">
        <v>244</v>
      </c>
    </row>
    <row r="23" customFormat="false" ht="15" hidden="false" customHeight="false" outlineLevel="0" collapsed="false">
      <c r="A23" s="39" t="s">
        <v>248</v>
      </c>
      <c r="B23" s="70" t="n">
        <f aca="false">B$17-'08_도표4_분기실적_수정후'!$B$5</f>
        <v>0</v>
      </c>
      <c r="C23" s="70" t="n">
        <f aca="false">C$17-'08_도표4_분기실적_수정후'!$C$5</f>
        <v>0</v>
      </c>
      <c r="D23" s="70" t="n">
        <f aca="false">D$17-'08_도표4_분기실적_수정후'!$D$5</f>
        <v>0</v>
      </c>
      <c r="E23" s="70" t="n">
        <f aca="false">E$17-'08_도표4_분기실적_수정후'!$E$5</f>
        <v>0</v>
      </c>
      <c r="F23" s="70" t="n">
        <f aca="false">F$17-'08_도표4_분기실적_수정후'!$F$5</f>
        <v>-0.100000000000009</v>
      </c>
      <c r="G23" s="70" t="n">
        <f aca="false">G$17-'08_도표4_분기실적_수정후'!$G$5</f>
        <v>0</v>
      </c>
      <c r="H23" s="70" t="n">
        <f aca="false">H$17-'08_도표4_분기실적_수정후'!$H$5</f>
        <v>0.100000000000009</v>
      </c>
      <c r="I23" s="70" t="n">
        <f aca="false">I$17-'08_도표4_분기실적_수정후'!$I$5</f>
        <v>-0.0999999999999943</v>
      </c>
      <c r="J23" s="70" t="n">
        <f aca="false">$J$17-'08_도표4_분기실적_수정후'!$K$5</f>
        <v>0.0999999999999943</v>
      </c>
      <c r="K23" s="70" t="n">
        <f aca="false">$K$17-'08_도표4_분기실적_수정후'!$L$5</f>
        <v>0</v>
      </c>
      <c r="L23" s="77" t="s">
        <v>242</v>
      </c>
    </row>
    <row r="24" customFormat="false" ht="15" hidden="false" customHeight="false" outlineLevel="0" collapsed="false">
      <c r="A24" s="20" t="s">
        <v>249</v>
      </c>
    </row>
    <row r="26" customFormat="false" ht="15" hidden="false" customHeight="false" outlineLevel="0" collapsed="false">
      <c r="A26" s="66" t="s">
        <v>250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customFormat="false" ht="15" hidden="false" customHeight="false" outlineLevel="0" collapsed="false">
      <c r="A27" s="49" t="s">
        <v>110</v>
      </c>
      <c r="B27" s="69" t="s">
        <v>251</v>
      </c>
      <c r="C27" s="69" t="s">
        <v>252</v>
      </c>
      <c r="D27" s="69" t="s">
        <v>240</v>
      </c>
      <c r="E27" s="69" t="s">
        <v>241</v>
      </c>
      <c r="F27" s="69" t="s">
        <v>253</v>
      </c>
      <c r="G27" s="49" t="s">
        <v>230</v>
      </c>
      <c r="H27" s="49"/>
      <c r="I27" s="49"/>
      <c r="J27" s="49"/>
      <c r="K27" s="49" t="s">
        <v>231</v>
      </c>
    </row>
    <row r="28" customFormat="false" ht="15" hidden="false" customHeight="false" outlineLevel="0" collapsed="false">
      <c r="A28" s="50" t="s">
        <v>15</v>
      </c>
      <c r="B28" s="78" t="n">
        <f aca="false">'15_p5_손익계산서'!$B$5</f>
        <v>140.2</v>
      </c>
      <c r="C28" s="78" t="n">
        <f aca="false">'15_p5_손익계산서'!$C$5</f>
        <v>174.5</v>
      </c>
      <c r="D28" s="73" t="n">
        <f aca="false">$J$17</f>
        <v>220.2</v>
      </c>
      <c r="E28" s="73" t="n">
        <f aca="false">$K$17</f>
        <v>302.9</v>
      </c>
      <c r="F28" s="73" t="n">
        <f aca="false">$E28*(1+$F29)</f>
        <v>373.11222</v>
      </c>
      <c r="G28" s="72" t="s">
        <v>242</v>
      </c>
      <c r="K28" s="79" t="s">
        <v>254</v>
      </c>
    </row>
    <row r="29" customFormat="false" ht="15" hidden="false" customHeight="false" outlineLevel="0" collapsed="false">
      <c r="A29" s="39" t="s">
        <v>255</v>
      </c>
      <c r="B29" s="76" t="s">
        <v>256</v>
      </c>
      <c r="C29" s="76" t="n">
        <f aca="false">$C28/$B28-1</f>
        <v>0.244650499286733</v>
      </c>
      <c r="D29" s="80" t="n">
        <f aca="false">$D28/$C28-1</f>
        <v>0.26189111747851</v>
      </c>
      <c r="E29" s="80" t="n">
        <f aca="false">$E28/$D28-1</f>
        <v>0.375567665758402</v>
      </c>
      <c r="F29" s="81" t="n">
        <v>0.2318</v>
      </c>
      <c r="G29" s="82" t="s">
        <v>244</v>
      </c>
      <c r="K29" s="79" t="s">
        <v>257</v>
      </c>
    </row>
    <row r="30" customFormat="false" ht="15" hidden="false" customHeight="false" outlineLevel="0" collapsed="false">
      <c r="A30" s="35" t="s">
        <v>246</v>
      </c>
      <c r="B30" s="83" t="n">
        <f aca="false">$B31/$B28</f>
        <v>0.0763195435092725</v>
      </c>
      <c r="C30" s="83" t="n">
        <f aca="false">$C31/$C28</f>
        <v>0.256733524355301</v>
      </c>
      <c r="D30" s="84" t="n">
        <f aca="false">$J$21</f>
        <v>0.272706630336058</v>
      </c>
      <c r="E30" s="84" t="n">
        <f aca="false">$K$21</f>
        <v>0.309343017497524</v>
      </c>
      <c r="F30" s="85" t="n">
        <v>0.3353</v>
      </c>
      <c r="G30" s="82" t="s">
        <v>244</v>
      </c>
      <c r="K30" s="79" t="s">
        <v>258</v>
      </c>
    </row>
    <row r="31" customFormat="false" ht="15" hidden="false" customHeight="false" outlineLevel="0" collapsed="false">
      <c r="A31" s="50" t="s">
        <v>29</v>
      </c>
      <c r="B31" s="78" t="n">
        <f aca="false">'15_p5_손익계산서'!$B$9</f>
        <v>10.7</v>
      </c>
      <c r="C31" s="78" t="n">
        <f aca="false">'15_p5_손익계산서'!$C$9</f>
        <v>44.8</v>
      </c>
      <c r="D31" s="73" t="n">
        <f aca="false">$J$20</f>
        <v>60.05</v>
      </c>
      <c r="E31" s="73" t="n">
        <f aca="false">$K$20</f>
        <v>93.7</v>
      </c>
      <c r="F31" s="73" t="n">
        <f aca="false">$F28*$F30</f>
        <v>125.104527366</v>
      </c>
      <c r="G31" s="72" t="s">
        <v>242</v>
      </c>
      <c r="K31" s="79" t="s">
        <v>259</v>
      </c>
    </row>
    <row r="32" customFormat="false" ht="15" hidden="false" customHeight="false" outlineLevel="0" collapsed="false">
      <c r="A32" s="39" t="s">
        <v>260</v>
      </c>
      <c r="B32" s="67" t="n">
        <v>6.8</v>
      </c>
      <c r="C32" s="67" t="n">
        <v>24.8</v>
      </c>
      <c r="D32" s="86" t="n">
        <v>6.5</v>
      </c>
      <c r="E32" s="86" t="n">
        <v>6.8</v>
      </c>
      <c r="F32" s="86" t="n">
        <v>12.7</v>
      </c>
      <c r="G32" s="72" t="s">
        <v>242</v>
      </c>
      <c r="K32" s="79" t="s">
        <v>261</v>
      </c>
    </row>
    <row r="33" customFormat="false" ht="15" hidden="false" customHeight="false" outlineLevel="0" collapsed="false">
      <c r="A33" s="50" t="s">
        <v>31</v>
      </c>
      <c r="B33" s="87" t="n">
        <f aca="false">$B31+$B32</f>
        <v>17.5</v>
      </c>
      <c r="C33" s="87" t="n">
        <f aca="false">$C31+$C32</f>
        <v>69.6</v>
      </c>
      <c r="D33" s="73" t="n">
        <f aca="false">$D31+$D32</f>
        <v>66.55</v>
      </c>
      <c r="E33" s="73" t="n">
        <f aca="false">$E31+$E32</f>
        <v>100.5</v>
      </c>
      <c r="F33" s="73" t="n">
        <f aca="false">$F31+$F32</f>
        <v>137.804527366</v>
      </c>
      <c r="G33" s="72" t="s">
        <v>242</v>
      </c>
      <c r="K33" s="88" t="s">
        <v>262</v>
      </c>
    </row>
    <row r="34" customFormat="false" ht="15" hidden="false" customHeight="false" outlineLevel="0" collapsed="false">
      <c r="A34" s="39" t="s">
        <v>263</v>
      </c>
      <c r="B34" s="89" t="n">
        <v>0.2273</v>
      </c>
      <c r="C34" s="89" t="n">
        <v>0.2112</v>
      </c>
      <c r="D34" s="85" t="n">
        <v>0.1547</v>
      </c>
      <c r="E34" s="85" t="n">
        <v>0.1803</v>
      </c>
      <c r="F34" s="85" t="n">
        <v>0.1798</v>
      </c>
      <c r="G34" s="82" t="s">
        <v>244</v>
      </c>
      <c r="K34" s="79" t="s">
        <v>264</v>
      </c>
    </row>
    <row r="35" customFormat="false" ht="15" hidden="false" customHeight="false" outlineLevel="0" collapsed="false">
      <c r="A35" s="39" t="s">
        <v>265</v>
      </c>
      <c r="B35" s="71" t="n">
        <f aca="false">$B33*$B34</f>
        <v>3.97775</v>
      </c>
      <c r="C35" s="71" t="n">
        <f aca="false">$C33*$C34</f>
        <v>14.69952</v>
      </c>
      <c r="D35" s="90" t="n">
        <f aca="false">$D33*$D34</f>
        <v>10.295285</v>
      </c>
      <c r="E35" s="90" t="n">
        <f aca="false">$E33*$E34</f>
        <v>18.12015</v>
      </c>
      <c r="F35" s="90" t="n">
        <f aca="false">$F33*$F34</f>
        <v>24.7772540204068</v>
      </c>
      <c r="G35" s="72" t="s">
        <v>242</v>
      </c>
      <c r="K35" s="88" t="s">
        <v>266</v>
      </c>
    </row>
    <row r="36" customFormat="false" ht="15" hidden="false" customHeight="false" outlineLevel="0" collapsed="false">
      <c r="A36" s="50" t="s">
        <v>267</v>
      </c>
      <c r="B36" s="87" t="n">
        <f aca="false">$B33-$B35</f>
        <v>13.52225</v>
      </c>
      <c r="C36" s="87" t="n">
        <f aca="false">$C33-$C35</f>
        <v>54.90048</v>
      </c>
      <c r="D36" s="73" t="n">
        <f aca="false">$D33-$D35</f>
        <v>56.254715</v>
      </c>
      <c r="E36" s="73" t="n">
        <f aca="false">$E33-$E35</f>
        <v>82.37985</v>
      </c>
      <c r="F36" s="73" t="n">
        <f aca="false">$F33-$F35</f>
        <v>113.027273345593</v>
      </c>
      <c r="G36" s="72" t="s">
        <v>242</v>
      </c>
      <c r="K36" s="88" t="s">
        <v>268</v>
      </c>
    </row>
    <row r="37" customFormat="false" ht="15" hidden="false" customHeight="false" outlineLevel="0" collapsed="false">
      <c r="A37" s="39" t="s">
        <v>269</v>
      </c>
      <c r="B37" s="89" t="n">
        <v>0.0294</v>
      </c>
      <c r="C37" s="89" t="n">
        <v>0.0036</v>
      </c>
      <c r="D37" s="85" t="n">
        <v>0.0071</v>
      </c>
      <c r="E37" s="85" t="n">
        <v>0.0085</v>
      </c>
      <c r="F37" s="85" t="n">
        <v>0.0088</v>
      </c>
      <c r="G37" s="82" t="s">
        <v>244</v>
      </c>
      <c r="K37" s="79" t="s">
        <v>264</v>
      </c>
    </row>
    <row r="38" customFormat="false" ht="15" hidden="false" customHeight="false" outlineLevel="0" collapsed="false">
      <c r="A38" s="50" t="s">
        <v>32</v>
      </c>
      <c r="B38" s="87" t="n">
        <f aca="false">$B36*(1-$B37)</f>
        <v>13.12469585</v>
      </c>
      <c r="C38" s="87" t="n">
        <f aca="false">$C36*(1-$C37)</f>
        <v>54.702838272</v>
      </c>
      <c r="D38" s="73" t="n">
        <f aca="false">$D36*(1-$D37)</f>
        <v>55.8553065235</v>
      </c>
      <c r="E38" s="73" t="n">
        <f aca="false">$E36*(1-$E37)</f>
        <v>81.679621275</v>
      </c>
      <c r="F38" s="73" t="n">
        <f aca="false">$F36*(1-$F37)</f>
        <v>112.032633340152</v>
      </c>
      <c r="G38" s="72" t="s">
        <v>242</v>
      </c>
      <c r="K38" s="88" t="s">
        <v>270</v>
      </c>
    </row>
    <row r="39" customFormat="false" ht="15" hidden="false" customHeight="false" outlineLevel="0" collapsed="false">
      <c r="A39" s="91" t="s">
        <v>271</v>
      </c>
      <c r="B39" s="92" t="n">
        <f aca="false">$B38*1000000/$B$6</f>
        <v>619.174125234112</v>
      </c>
      <c r="C39" s="92" t="n">
        <f aca="false">$C38*1000000/$B$6</f>
        <v>2580.67557694213</v>
      </c>
      <c r="D39" s="93" t="n">
        <f aca="false">$D38*1000000/$B$6</f>
        <v>2635.04472420756</v>
      </c>
      <c r="E39" s="93" t="n">
        <f aca="false">$E38*1000000/$B$6</f>
        <v>3853.33943204495</v>
      </c>
      <c r="F39" s="93" t="n">
        <f aca="false">$F38*1000000/$B$6</f>
        <v>5285.28116299645</v>
      </c>
      <c r="G39" s="72" t="s">
        <v>272</v>
      </c>
      <c r="K39" s="88" t="s">
        <v>273</v>
      </c>
    </row>
    <row r="40" customFormat="false" ht="15" hidden="false" customHeight="false" outlineLevel="0" collapsed="false">
      <c r="A40" s="39" t="s">
        <v>274</v>
      </c>
      <c r="B40" s="70" t="n">
        <f aca="false">'16_p5_대차대조표'!$B$28</f>
        <v>473.4</v>
      </c>
      <c r="C40" s="70" t="n">
        <f aca="false">'16_p5_대차대조표'!$C$28</f>
        <v>522.7</v>
      </c>
      <c r="D40" s="94" t="n">
        <f aca="false">'16_p5_대차대조표'!$D$28</f>
        <v>535.2</v>
      </c>
      <c r="E40" s="94" t="n">
        <f aca="false">'16_p5_대차대조표'!$E$28</f>
        <v>600.2</v>
      </c>
      <c r="F40" s="94" t="n">
        <f aca="false">'16_p5_대차대조표'!$F$28</f>
        <v>694.8</v>
      </c>
      <c r="G40" s="72" t="s">
        <v>242</v>
      </c>
      <c r="K40" s="79" t="s">
        <v>275</v>
      </c>
    </row>
    <row r="41" customFormat="false" ht="15" hidden="false" customHeight="false" outlineLevel="0" collapsed="false">
      <c r="A41" s="91" t="s">
        <v>276</v>
      </c>
      <c r="B41" s="92" t="n">
        <f aca="false">$B40*1000000/$B$6</f>
        <v>22333.2436984304</v>
      </c>
      <c r="C41" s="92" t="n">
        <f aca="false">$C40*1000000/$B$6</f>
        <v>24659.0335470418</v>
      </c>
      <c r="D41" s="93" t="n">
        <f aca="false">$D40*1000000/$B$6</f>
        <v>25248.7368555133</v>
      </c>
      <c r="E41" s="93" t="n">
        <f aca="false">$E40*1000000/$B$6</f>
        <v>28315.1940595648</v>
      </c>
      <c r="F41" s="93" t="n">
        <f aca="false">$F40*1000000/$B$6</f>
        <v>32778.0686980766</v>
      </c>
      <c r="G41" s="72" t="s">
        <v>272</v>
      </c>
      <c r="K41" s="88" t="s">
        <v>277</v>
      </c>
    </row>
    <row r="42" customFormat="false" ht="15" hidden="false" customHeight="false" outlineLevel="0" collapsed="false">
      <c r="A42" s="39" t="s">
        <v>278</v>
      </c>
      <c r="B42" s="70" t="n">
        <f aca="false">'18_p5_현금흐름표'!$B$8</f>
        <v>8.7</v>
      </c>
      <c r="C42" s="70" t="n">
        <f aca="false">'18_p5_현금흐름표'!$C$8</f>
        <v>9.9</v>
      </c>
      <c r="D42" s="94" t="n">
        <f aca="false">'18_p5_현금흐름표'!$D$8</f>
        <v>9.9</v>
      </c>
      <c r="E42" s="94" t="n">
        <f aca="false">'18_p5_현금흐름표'!$E$8</f>
        <v>17.4</v>
      </c>
      <c r="F42" s="94" t="n">
        <f aca="false">'18_p5_현금흐름표'!$F$8</f>
        <v>18.2</v>
      </c>
      <c r="G42" s="72" t="s">
        <v>242</v>
      </c>
      <c r="K42" s="79" t="s">
        <v>279</v>
      </c>
    </row>
    <row r="43" customFormat="false" ht="15" hidden="false" customHeight="false" outlineLevel="0" collapsed="false">
      <c r="A43" s="91" t="s">
        <v>280</v>
      </c>
      <c r="B43" s="87" t="n">
        <f aca="false">$B31+$B42</f>
        <v>19.4</v>
      </c>
      <c r="C43" s="87" t="n">
        <f aca="false">$C31+$C42</f>
        <v>54.7</v>
      </c>
      <c r="D43" s="73" t="n">
        <f aca="false">$D31+$D42</f>
        <v>69.95</v>
      </c>
      <c r="E43" s="73" t="n">
        <f aca="false">$E31+$E42</f>
        <v>111.1</v>
      </c>
      <c r="F43" s="73" t="n">
        <f aca="false">$F31+$F42</f>
        <v>143.304527366</v>
      </c>
      <c r="G43" s="72" t="s">
        <v>242</v>
      </c>
      <c r="K43" s="88" t="s">
        <v>281</v>
      </c>
    </row>
    <row r="44" customFormat="false" ht="15" hidden="false" customHeight="false" outlineLevel="0" collapsed="false">
      <c r="A44" s="39" t="s">
        <v>282</v>
      </c>
      <c r="B44" s="70" t="n">
        <f aca="false">-'16_p5_대차대조표'!$B$36</f>
        <v>276.9</v>
      </c>
      <c r="C44" s="70" t="n">
        <f aca="false">-'16_p5_대차대조표'!$C$36</f>
        <v>325.9</v>
      </c>
      <c r="D44" s="94" t="n">
        <f aca="false">-'16_p5_대차대조표'!$D$36</f>
        <v>330</v>
      </c>
      <c r="E44" s="94" t="n">
        <f aca="false">-'16_p5_대차대조표'!$E$36</f>
        <v>305.4</v>
      </c>
      <c r="F44" s="94" t="n">
        <f aca="false">-'16_p5_대차대조표'!$F$36</f>
        <v>381.5</v>
      </c>
      <c r="G44" s="72" t="s">
        <v>242</v>
      </c>
      <c r="K44" s="79" t="s">
        <v>283</v>
      </c>
    </row>
    <row r="46" customFormat="false" ht="15" hidden="false" customHeight="false" outlineLevel="0" collapsed="false">
      <c r="A46" s="66" t="s">
        <v>284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customFormat="false" ht="15" hidden="false" customHeight="false" outlineLevel="0" collapsed="false">
      <c r="A47" s="49" t="s">
        <v>285</v>
      </c>
      <c r="B47" s="69" t="s">
        <v>251</v>
      </c>
      <c r="C47" s="69" t="s">
        <v>252</v>
      </c>
      <c r="D47" s="69" t="s">
        <v>240</v>
      </c>
      <c r="E47" s="69" t="s">
        <v>241</v>
      </c>
      <c r="F47" s="69" t="s">
        <v>253</v>
      </c>
      <c r="G47" s="49" t="s">
        <v>230</v>
      </c>
      <c r="H47" s="49"/>
      <c r="I47" s="49"/>
      <c r="J47" s="49"/>
      <c r="K47" s="49" t="s">
        <v>231</v>
      </c>
    </row>
    <row r="48" customFormat="false" ht="15" hidden="false" customHeight="false" outlineLevel="0" collapsed="false">
      <c r="A48" s="39" t="s">
        <v>286</v>
      </c>
      <c r="B48" s="70" t="n">
        <f aca="false">$B$28-'15_p5_손익계산서'!$B$5</f>
        <v>0</v>
      </c>
      <c r="C48" s="70" t="n">
        <f aca="false">$C$28-'15_p5_손익계산서'!$C$5</f>
        <v>0</v>
      </c>
      <c r="D48" s="70" t="n">
        <f aca="false">$D$28-'15_p5_손익계산서'!$D$5</f>
        <v>0.00999999999999091</v>
      </c>
      <c r="E48" s="70" t="n">
        <f aca="false">$E$28-'15_p5_손익계산서'!$E$5</f>
        <v>0</v>
      </c>
      <c r="F48" s="70" t="n">
        <f aca="false">$F$28-'15_p5_손익계산서'!$F$5</f>
        <v>0.0122200000000134</v>
      </c>
      <c r="K48" s="68" t="s">
        <v>287</v>
      </c>
    </row>
    <row r="49" customFormat="false" ht="15" hidden="false" customHeight="false" outlineLevel="0" collapsed="false">
      <c r="A49" s="39" t="s">
        <v>288</v>
      </c>
      <c r="B49" s="70" t="n">
        <f aca="false">$B$31-'15_p5_손익계산서'!$B$9</f>
        <v>0</v>
      </c>
      <c r="C49" s="70" t="n">
        <f aca="false">$C$31-'15_p5_손익계산서'!$C$9</f>
        <v>0</v>
      </c>
      <c r="D49" s="70" t="n">
        <f aca="false">$D$31-'15_p5_손익계산서'!$D$9</f>
        <v>0</v>
      </c>
      <c r="E49" s="70" t="n">
        <f aca="false">$E$31-'15_p5_손익계산서'!$E$9</f>
        <v>0</v>
      </c>
      <c r="F49" s="70" t="n">
        <f aca="false">$F$31-'15_p5_손익계산서'!$F$9</f>
        <v>0.00452736599999071</v>
      </c>
      <c r="K49" s="68" t="s">
        <v>287</v>
      </c>
    </row>
    <row r="50" customFormat="false" ht="15" hidden="false" customHeight="false" outlineLevel="0" collapsed="false">
      <c r="A50" s="39" t="s">
        <v>289</v>
      </c>
      <c r="B50" s="70" t="n">
        <f aca="false">$B$38-'15_p5_손익계산서'!$B$19</f>
        <v>-0.0753041499999991</v>
      </c>
      <c r="C50" s="70" t="n">
        <f aca="false">$C$38-'15_p5_손익계산서'!$C$19</f>
        <v>0.00283827199999109</v>
      </c>
      <c r="D50" s="70" t="n">
        <f aca="false">$D$38-'15_p5_손익계산서'!$D$19</f>
        <v>-0.264693476499986</v>
      </c>
      <c r="E50" s="70" t="n">
        <f aca="false">$E$38-'15_p5_손익계산서'!$E$19</f>
        <v>0.0796212749999938</v>
      </c>
      <c r="F50" s="70" t="n">
        <f aca="false">$F$38-'15_p5_손익계산서'!$F$19</f>
        <v>0.0326333401519605</v>
      </c>
      <c r="K50" s="68" t="s">
        <v>287</v>
      </c>
    </row>
    <row r="51" customFormat="false" ht="15" hidden="false" customHeight="false" outlineLevel="0" collapsed="false">
      <c r="A51" s="35" t="s">
        <v>290</v>
      </c>
      <c r="B51" s="95" t="n">
        <f aca="false">$B$39/'17_p5_투자지표'!$B$6-1</f>
        <v>-0.140035937174844</v>
      </c>
      <c r="C51" s="95" t="n">
        <f aca="false">$C$39/'17_p5_투자지표'!$C$6-1</f>
        <v>0.000649700248983587</v>
      </c>
      <c r="D51" s="95" t="n">
        <f aca="false">$D$39/'17_p5_투자지표'!$D$6-1</f>
        <v>-0.0011202713390609</v>
      </c>
      <c r="E51" s="95" t="n">
        <f aca="false">$E$39/'17_p5_투자지표'!$E$6-1</f>
        <v>0.000867384946739991</v>
      </c>
      <c r="F51" s="95" t="n">
        <f aca="false">$F$39/'17_p5_투자지표'!$F$6-1</f>
        <v>5.32001885422684E-005</v>
      </c>
      <c r="K51" s="68" t="s">
        <v>291</v>
      </c>
    </row>
    <row r="52" customFormat="false" ht="15" hidden="false" customHeight="false" outlineLevel="0" collapsed="false">
      <c r="A52" s="35" t="s">
        <v>292</v>
      </c>
      <c r="B52" s="95" t="n">
        <f aca="false">$B$41/'17_p5_투자지표'!$B$7-1</f>
        <v>-0.0362385665028072</v>
      </c>
      <c r="C52" s="95" t="n">
        <f aca="false">$C$41/'17_p5_투자지표'!$C$7-1</f>
        <v>-0.0332444604601946</v>
      </c>
      <c r="D52" s="95" t="n">
        <f aca="false">$D$41/'17_p5_투자지표'!$D$7-1</f>
        <v>-0.0322817502007106</v>
      </c>
      <c r="E52" s="95" t="n">
        <f aca="false">$E$41/'17_p5_투자지표'!$E$7-1</f>
        <v>-0.0289380959715782</v>
      </c>
      <c r="F52" s="95" t="n">
        <f aca="false">$F$41/'17_p5_투자지표'!$F$7-1</f>
        <v>-0.0251295631538939</v>
      </c>
      <c r="K52" s="68" t="s">
        <v>291</v>
      </c>
    </row>
    <row r="53" customFormat="false" ht="15" hidden="false" customHeight="false" outlineLevel="0" collapsed="false">
      <c r="A53" s="35" t="s">
        <v>293</v>
      </c>
      <c r="B53" s="70" t="n">
        <f aca="false">$B$43-'15_p5_손익계산서'!$B$22</f>
        <v>0</v>
      </c>
      <c r="C53" s="70" t="n">
        <f aca="false">$C$43-'15_p5_손익계산서'!$C$22</f>
        <v>0.0999999999999943</v>
      </c>
      <c r="D53" s="70" t="n">
        <f aca="false">$D$43-'15_p5_손익계산서'!$D$22</f>
        <v>-0.0499999999999972</v>
      </c>
      <c r="E53" s="70" t="n">
        <f aca="false">$E$43-'15_p5_손익계산서'!$E$22</f>
        <v>0</v>
      </c>
      <c r="F53" s="70" t="n">
        <f aca="false">$F$43-'15_p5_손익계산서'!$F$22</f>
        <v>-0.095472634000032</v>
      </c>
      <c r="K53" s="68" t="s">
        <v>287</v>
      </c>
    </row>
    <row r="55" customFormat="false" ht="15" hidden="false" customHeight="false" outlineLevel="0" collapsed="false">
      <c r="A55" s="19" t="s">
        <v>294</v>
      </c>
    </row>
    <row r="56" customFormat="false" ht="15" hidden="false" customHeight="false" outlineLevel="0" collapsed="false">
      <c r="A56" s="20" t="s">
        <v>295</v>
      </c>
    </row>
    <row r="57" customFormat="false" ht="15" hidden="false" customHeight="false" outlineLevel="0" collapsed="false">
      <c r="A57" s="20" t="s">
        <v>296</v>
      </c>
    </row>
    <row r="58" customFormat="false" ht="15" hidden="false" customHeight="false" outlineLevel="0" collapsed="false">
      <c r="A58" s="2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64" t="s">
        <v>298</v>
      </c>
    </row>
    <row r="2" customFormat="false" ht="15" hidden="false" customHeight="false" outlineLevel="0" collapsed="false">
      <c r="A2" s="96" t="s">
        <v>299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66" t="s">
        <v>300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49" t="s">
        <v>301</v>
      </c>
      <c r="D5" s="49" t="s">
        <v>230</v>
      </c>
      <c r="E5" s="49" t="s">
        <v>231</v>
      </c>
    </row>
    <row r="6" customFormat="false" ht="15" hidden="false" customHeight="false" outlineLevel="0" collapsed="false">
      <c r="A6" s="72" t="s">
        <v>302</v>
      </c>
      <c r="B6" s="39" t="s">
        <v>303</v>
      </c>
      <c r="C6" s="97" t="n">
        <f aca="false">M1_실적추정_모델!$E$39</f>
        <v>3853.33943204495</v>
      </c>
      <c r="D6" s="61" t="s">
        <v>272</v>
      </c>
      <c r="E6" s="79" t="s">
        <v>304</v>
      </c>
    </row>
    <row r="7" customFormat="false" ht="15" hidden="false" customHeight="false" outlineLevel="0" collapsed="false">
      <c r="A7" s="72" t="s">
        <v>305</v>
      </c>
      <c r="B7" s="39" t="s">
        <v>306</v>
      </c>
      <c r="C7" s="98" t="n">
        <v>4025</v>
      </c>
      <c r="D7" s="61" t="s">
        <v>272</v>
      </c>
      <c r="E7" s="88" t="s">
        <v>307</v>
      </c>
    </row>
    <row r="8" customFormat="false" ht="15" hidden="false" customHeight="false" outlineLevel="0" collapsed="false">
      <c r="A8" s="72" t="s">
        <v>308</v>
      </c>
      <c r="B8" s="39" t="s">
        <v>309</v>
      </c>
      <c r="C8" s="99" t="n">
        <v>2</v>
      </c>
      <c r="D8" s="58" t="s">
        <v>310</v>
      </c>
      <c r="E8" s="88" t="s">
        <v>311</v>
      </c>
    </row>
    <row r="9" customFormat="false" ht="15" hidden="false" customHeight="false" outlineLevel="0" collapsed="false">
      <c r="A9" s="72" t="s">
        <v>312</v>
      </c>
      <c r="B9" s="50" t="s">
        <v>313</v>
      </c>
      <c r="C9" s="93" t="n">
        <f aca="false">IF($C$8=1,$C$6,$C$7)</f>
        <v>4025</v>
      </c>
      <c r="D9" s="61" t="s">
        <v>272</v>
      </c>
      <c r="E9" s="88" t="s">
        <v>314</v>
      </c>
    </row>
    <row r="10" customFormat="false" ht="15" hidden="false" customHeight="false" outlineLevel="0" collapsed="false">
      <c r="A10" s="72" t="s">
        <v>302</v>
      </c>
      <c r="B10" s="39" t="s">
        <v>315</v>
      </c>
      <c r="C10" s="97" t="n">
        <f aca="false">M1_실적추정_모델!$E$41</f>
        <v>28315.1940595648</v>
      </c>
      <c r="D10" s="61" t="s">
        <v>272</v>
      </c>
      <c r="E10" s="79" t="s">
        <v>316</v>
      </c>
    </row>
    <row r="11" customFormat="false" ht="15" hidden="false" customHeight="false" outlineLevel="0" collapsed="false">
      <c r="A11" s="72" t="s">
        <v>302</v>
      </c>
      <c r="B11" s="39" t="s">
        <v>317</v>
      </c>
      <c r="C11" s="70" t="n">
        <f aca="false">M1_실적추정_모델!$E$43</f>
        <v>111.1</v>
      </c>
      <c r="D11" s="61" t="s">
        <v>242</v>
      </c>
      <c r="E11" s="79" t="s">
        <v>318</v>
      </c>
    </row>
    <row r="12" customFormat="false" ht="15" hidden="false" customHeight="false" outlineLevel="0" collapsed="false">
      <c r="A12" s="72" t="s">
        <v>302</v>
      </c>
      <c r="B12" s="39" t="s">
        <v>319</v>
      </c>
      <c r="C12" s="70" t="n">
        <f aca="false">M1_실적추정_모델!$E$44</f>
        <v>305.4</v>
      </c>
      <c r="D12" s="61" t="s">
        <v>242</v>
      </c>
      <c r="E12" s="79" t="s">
        <v>320</v>
      </c>
    </row>
    <row r="13" customFormat="false" ht="15" hidden="false" customHeight="false" outlineLevel="0" collapsed="false">
      <c r="A13" s="72" t="s">
        <v>302</v>
      </c>
      <c r="B13" s="39" t="s">
        <v>232</v>
      </c>
      <c r="C13" s="70" t="n">
        <f aca="false">M1_실적추정_모델!$B$6</f>
        <v>21197.1</v>
      </c>
      <c r="D13" s="61" t="s">
        <v>233</v>
      </c>
      <c r="E13" s="79" t="s">
        <v>321</v>
      </c>
    </row>
    <row r="14" customFormat="false" ht="15" hidden="false" customHeight="false" outlineLevel="0" collapsed="false">
      <c r="A14" s="72" t="s">
        <v>305</v>
      </c>
      <c r="B14" s="39" t="s">
        <v>322</v>
      </c>
      <c r="C14" s="98" t="n">
        <v>143100</v>
      </c>
      <c r="D14" s="61" t="s">
        <v>272</v>
      </c>
      <c r="E14" s="79" t="s">
        <v>76</v>
      </c>
    </row>
    <row r="16" customFormat="false" ht="15" hidden="false" customHeight="false" outlineLevel="0" collapsed="false">
      <c r="A16" s="66" t="s">
        <v>323</v>
      </c>
      <c r="B16" s="48"/>
      <c r="C16" s="48"/>
      <c r="D16" s="48"/>
      <c r="E16" s="48"/>
    </row>
    <row r="17" customFormat="false" ht="15" hidden="false" customHeight="false" outlineLevel="0" collapsed="false">
      <c r="A17" s="49" t="s">
        <v>110</v>
      </c>
      <c r="B17" s="49" t="s">
        <v>3</v>
      </c>
      <c r="C17" s="49" t="s">
        <v>301</v>
      </c>
      <c r="D17" s="49" t="s">
        <v>230</v>
      </c>
      <c r="E17" s="49" t="s">
        <v>231</v>
      </c>
    </row>
    <row r="18" customFormat="false" ht="15" hidden="false" customHeight="false" outlineLevel="0" collapsed="false">
      <c r="A18" s="72" t="s">
        <v>308</v>
      </c>
      <c r="B18" s="39" t="s">
        <v>324</v>
      </c>
      <c r="C18" s="100" t="n">
        <v>62.6</v>
      </c>
      <c r="D18" s="61" t="s">
        <v>325</v>
      </c>
      <c r="E18" s="88" t="s">
        <v>326</v>
      </c>
    </row>
    <row r="19" customFormat="false" ht="15" hidden="false" customHeight="false" outlineLevel="0" collapsed="false">
      <c r="A19" s="72" t="s">
        <v>308</v>
      </c>
      <c r="B19" s="39" t="s">
        <v>327</v>
      </c>
      <c r="C19" s="101" t="n">
        <v>0.3</v>
      </c>
      <c r="D19" s="58" t="s">
        <v>244</v>
      </c>
      <c r="E19" s="88" t="s">
        <v>328</v>
      </c>
    </row>
    <row r="20" customFormat="false" ht="15" hidden="false" customHeight="false" outlineLevel="0" collapsed="false">
      <c r="A20" s="72" t="s">
        <v>312</v>
      </c>
      <c r="B20" s="91" t="s">
        <v>101</v>
      </c>
      <c r="C20" s="102" t="n">
        <f aca="false">$C$18*(1-$C$19)</f>
        <v>43.82</v>
      </c>
      <c r="D20" s="61" t="s">
        <v>325</v>
      </c>
      <c r="E20" s="88" t="s">
        <v>329</v>
      </c>
    </row>
    <row r="21" customFormat="false" ht="15" hidden="false" customHeight="false" outlineLevel="0" collapsed="false">
      <c r="A21" s="72" t="s">
        <v>308</v>
      </c>
      <c r="B21" s="35" t="s">
        <v>330</v>
      </c>
      <c r="C21" s="103" t="n">
        <v>6.17</v>
      </c>
      <c r="D21" s="61" t="s">
        <v>325</v>
      </c>
      <c r="E21" s="88" t="s">
        <v>331</v>
      </c>
    </row>
    <row r="22" customFormat="false" ht="15" hidden="false" customHeight="false" outlineLevel="0" collapsed="false">
      <c r="A22" s="72" t="s">
        <v>308</v>
      </c>
      <c r="B22" s="35" t="s">
        <v>332</v>
      </c>
      <c r="C22" s="100" t="n">
        <v>31.6</v>
      </c>
      <c r="D22" s="61" t="s">
        <v>325</v>
      </c>
      <c r="E22" s="88" t="s">
        <v>333</v>
      </c>
    </row>
    <row r="24" customFormat="false" ht="15" hidden="false" customHeight="false" outlineLevel="0" collapsed="false">
      <c r="A24" s="66" t="s">
        <v>334</v>
      </c>
      <c r="B24" s="48"/>
      <c r="C24" s="48"/>
      <c r="D24" s="48"/>
      <c r="E24" s="48"/>
    </row>
    <row r="25" customFormat="false" ht="15" hidden="false" customHeight="false" outlineLevel="0" collapsed="false">
      <c r="A25" s="49" t="s">
        <v>110</v>
      </c>
      <c r="B25" s="49" t="s">
        <v>335</v>
      </c>
      <c r="C25" s="49" t="s">
        <v>336</v>
      </c>
      <c r="D25" s="49" t="s">
        <v>337</v>
      </c>
      <c r="E25" s="49" t="s">
        <v>338</v>
      </c>
    </row>
    <row r="26" customFormat="false" ht="15" hidden="false" customHeight="false" outlineLevel="0" collapsed="false">
      <c r="A26" s="72" t="s">
        <v>312</v>
      </c>
      <c r="B26" s="91" t="s">
        <v>339</v>
      </c>
      <c r="C26" s="92" t="n">
        <f aca="false">$C$9*$C$20</f>
        <v>176375.5</v>
      </c>
      <c r="D26" s="101" t="n">
        <v>1</v>
      </c>
      <c r="E26" s="88" t="s">
        <v>340</v>
      </c>
    </row>
    <row r="27" customFormat="false" ht="15" hidden="false" customHeight="false" outlineLevel="0" collapsed="false">
      <c r="A27" s="72" t="s">
        <v>312</v>
      </c>
      <c r="B27" s="91" t="s">
        <v>341</v>
      </c>
      <c r="C27" s="92" t="n">
        <f aca="false">$C$10*$C$21</f>
        <v>174704.747347515</v>
      </c>
      <c r="D27" s="101" t="n">
        <v>0</v>
      </c>
      <c r="E27" s="88" t="s">
        <v>342</v>
      </c>
    </row>
    <row r="28" customFormat="false" ht="15" hidden="false" customHeight="false" outlineLevel="0" collapsed="false">
      <c r="A28" s="72" t="s">
        <v>312</v>
      </c>
      <c r="B28" s="91" t="s">
        <v>343</v>
      </c>
      <c r="C28" s="92" t="n">
        <f aca="false">($C$11*$C$22+$C$12)*1000000/$C$13</f>
        <v>180032.17421251</v>
      </c>
      <c r="D28" s="101" t="n">
        <v>0</v>
      </c>
      <c r="E28" s="79" t="s">
        <v>344</v>
      </c>
    </row>
    <row r="29" customFormat="false" ht="15" hidden="false" customHeight="false" outlineLevel="0" collapsed="false">
      <c r="B29" s="39" t="s">
        <v>345</v>
      </c>
      <c r="C29" s="16"/>
      <c r="D29" s="104" t="n">
        <f aca="false">$D$26+$D$27+$D$28</f>
        <v>1</v>
      </c>
      <c r="E29" s="105" t="s">
        <v>346</v>
      </c>
    </row>
    <row r="31" customFormat="false" ht="15" hidden="false" customHeight="false" outlineLevel="0" collapsed="false">
      <c r="A31" s="66" t="s">
        <v>347</v>
      </c>
      <c r="B31" s="48"/>
      <c r="C31" s="48"/>
      <c r="D31" s="48"/>
      <c r="E31" s="48"/>
    </row>
    <row r="32" customFormat="false" ht="15" hidden="false" customHeight="false" outlineLevel="0" collapsed="false">
      <c r="A32" s="49" t="s">
        <v>110</v>
      </c>
      <c r="B32" s="49" t="s">
        <v>3</v>
      </c>
      <c r="C32" s="49" t="s">
        <v>301</v>
      </c>
      <c r="D32" s="49" t="s">
        <v>230</v>
      </c>
      <c r="E32" s="49" t="s">
        <v>231</v>
      </c>
    </row>
    <row r="33" customFormat="false" ht="15" hidden="false" customHeight="false" outlineLevel="0" collapsed="false">
      <c r="A33" s="72" t="s">
        <v>312</v>
      </c>
      <c r="B33" s="39" t="s">
        <v>348</v>
      </c>
      <c r="C33" s="106" t="n">
        <f aca="false">$C$26*$D$26+$C$27*$D$27+$C$28*$D$28</f>
        <v>176375.5</v>
      </c>
      <c r="D33" s="61" t="s">
        <v>272</v>
      </c>
      <c r="E33" s="88" t="s">
        <v>349</v>
      </c>
    </row>
    <row r="34" customFormat="false" ht="15" hidden="false" customHeight="false" outlineLevel="0" collapsed="false">
      <c r="A34" s="72" t="s">
        <v>308</v>
      </c>
      <c r="B34" s="39" t="s">
        <v>350</v>
      </c>
      <c r="C34" s="107" t="n">
        <v>10000</v>
      </c>
      <c r="D34" s="61" t="s">
        <v>272</v>
      </c>
      <c r="E34" s="88" t="s">
        <v>351</v>
      </c>
    </row>
    <row r="35" customFormat="false" ht="15" hidden="false" customHeight="false" outlineLevel="0" collapsed="false">
      <c r="A35" s="72" t="s">
        <v>312</v>
      </c>
      <c r="B35" s="50" t="s">
        <v>352</v>
      </c>
      <c r="C35" s="108" t="n">
        <f aca="false">ROUND($C$33/$C$34,0)*$C$34</f>
        <v>180000</v>
      </c>
      <c r="D35" s="61" t="s">
        <v>272</v>
      </c>
      <c r="E35" s="88" t="s">
        <v>353</v>
      </c>
    </row>
    <row r="36" customFormat="false" ht="15" hidden="false" customHeight="false" outlineLevel="0" collapsed="false">
      <c r="A36" s="72" t="s">
        <v>312</v>
      </c>
      <c r="B36" s="50" t="s">
        <v>77</v>
      </c>
      <c r="C36" s="109" t="n">
        <f aca="false">$C$35/$C$14-1</f>
        <v>0.257861635220126</v>
      </c>
      <c r="D36" s="58" t="s">
        <v>244</v>
      </c>
      <c r="E36" s="88" t="s">
        <v>354</v>
      </c>
    </row>
    <row r="37" customFormat="false" ht="15" hidden="false" customHeight="false" outlineLevel="0" collapsed="false">
      <c r="A37" s="72" t="s">
        <v>312</v>
      </c>
      <c r="B37" s="50" t="s">
        <v>355</v>
      </c>
      <c r="C37" s="110" t="str">
        <f aca="false">IF($C$36&gt;=0.15,"BUY",IF($C$36&gt;=-0.15,"Neutral","Reduce"))</f>
        <v>BUY</v>
      </c>
      <c r="D37" s="16"/>
      <c r="E37" s="68" t="s">
        <v>356</v>
      </c>
    </row>
    <row r="39" customFormat="false" ht="15" hidden="false" customHeight="false" outlineLevel="0" collapsed="false">
      <c r="A39" s="66" t="s">
        <v>357</v>
      </c>
      <c r="B39" s="48"/>
      <c r="C39" s="48"/>
      <c r="D39" s="48"/>
      <c r="E39" s="48"/>
    </row>
    <row r="40" customFormat="false" ht="15" hidden="false" customHeight="false" outlineLevel="0" collapsed="false">
      <c r="A40" s="49" t="s">
        <v>110</v>
      </c>
      <c r="B40" s="49" t="s">
        <v>3</v>
      </c>
      <c r="C40" s="49" t="s">
        <v>301</v>
      </c>
      <c r="D40" s="49" t="s">
        <v>99</v>
      </c>
      <c r="E40" s="49" t="s">
        <v>231</v>
      </c>
    </row>
    <row r="41" customFormat="false" ht="15" hidden="false" customHeight="false" outlineLevel="0" collapsed="false">
      <c r="A41" s="72" t="s">
        <v>358</v>
      </c>
      <c r="B41" s="35" t="s">
        <v>101</v>
      </c>
      <c r="C41" s="111" t="n">
        <f aca="false">$C$20</f>
        <v>43.82</v>
      </c>
      <c r="D41" s="112" t="n">
        <v>43.82</v>
      </c>
      <c r="E41" s="68" t="s">
        <v>359</v>
      </c>
    </row>
    <row r="42" customFormat="false" ht="15" hidden="false" customHeight="false" outlineLevel="0" collapsed="false">
      <c r="A42" s="72" t="s">
        <v>358</v>
      </c>
      <c r="B42" s="39" t="s">
        <v>352</v>
      </c>
      <c r="C42" s="106" t="n">
        <f aca="false">$C$35</f>
        <v>180000</v>
      </c>
      <c r="D42" s="113" t="n">
        <v>180000</v>
      </c>
      <c r="E42" s="68" t="s">
        <v>359</v>
      </c>
    </row>
    <row r="43" customFormat="false" ht="15" hidden="false" customHeight="false" outlineLevel="0" collapsed="false">
      <c r="A43" s="72" t="s">
        <v>358</v>
      </c>
      <c r="B43" s="39" t="s">
        <v>77</v>
      </c>
      <c r="C43" s="75" t="n">
        <f aca="false">$C$36</f>
        <v>0.257861635220126</v>
      </c>
      <c r="D43" s="114" t="n">
        <v>0.26</v>
      </c>
      <c r="E43" s="68" t="s">
        <v>360</v>
      </c>
    </row>
    <row r="44" customFormat="false" ht="15" hidden="false" customHeight="false" outlineLevel="0" collapsed="false">
      <c r="A44" s="72" t="s">
        <v>361</v>
      </c>
      <c r="B44" s="39" t="s">
        <v>362</v>
      </c>
      <c r="C44" s="111" t="n">
        <f aca="false">$C$35/$C$9</f>
        <v>44.7204968944099</v>
      </c>
      <c r="D44" s="16"/>
      <c r="E44" s="68" t="s">
        <v>363</v>
      </c>
    </row>
    <row r="45" customFormat="false" ht="15" hidden="false" customHeight="false" outlineLevel="0" collapsed="false">
      <c r="A45" s="72" t="s">
        <v>361</v>
      </c>
      <c r="B45" s="39" t="s">
        <v>364</v>
      </c>
      <c r="C45" s="111" t="n">
        <f aca="false">$C$35/$C$10</f>
        <v>6.35701099633455</v>
      </c>
      <c r="D45" s="16"/>
      <c r="E45" s="68" t="s">
        <v>365</v>
      </c>
    </row>
    <row r="46" customFormat="false" ht="15" hidden="false" customHeight="false" outlineLevel="0" collapsed="false">
      <c r="A46" s="72" t="s">
        <v>361</v>
      </c>
      <c r="B46" s="39" t="s">
        <v>366</v>
      </c>
      <c r="C46" s="111" t="n">
        <f aca="false">($C$35*$C$13/1000000-$C$12)/$C$11</f>
        <v>31.5938613861386</v>
      </c>
      <c r="D46" s="16"/>
      <c r="E46" s="105" t="s">
        <v>367</v>
      </c>
    </row>
    <row r="47" customFormat="false" ht="15" hidden="false" customHeight="false" outlineLevel="0" collapsed="false">
      <c r="A47" s="72" t="s">
        <v>361</v>
      </c>
      <c r="B47" s="39" t="s">
        <v>368</v>
      </c>
      <c r="C47" s="111" t="n">
        <f aca="false">$C$14/$C$9</f>
        <v>35.5527950310559</v>
      </c>
      <c r="D47" s="16"/>
      <c r="E47" s="68" t="s">
        <v>369</v>
      </c>
    </row>
    <row r="49" customFormat="false" ht="15" hidden="false" customHeight="false" outlineLevel="0" collapsed="false">
      <c r="A49" s="19" t="s">
        <v>294</v>
      </c>
    </row>
    <row r="50" customFormat="false" ht="15" hidden="false" customHeight="false" outlineLevel="0" collapsed="false">
      <c r="A50" s="20" t="s">
        <v>370</v>
      </c>
    </row>
    <row r="51" customFormat="false" ht="15" hidden="false" customHeight="false" outlineLevel="0" collapsed="false">
      <c r="A51" s="20" t="s">
        <v>371</v>
      </c>
    </row>
    <row r="52" customFormat="false" ht="15" hidden="false" customHeight="false" outlineLevel="0" collapsed="false">
      <c r="A52" s="20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3"/>
  </cols>
  <sheetData>
    <row r="1" customFormat="false" ht="20.1" hidden="false" customHeight="false" outlineLevel="0" collapsed="false">
      <c r="A1" s="64" t="s">
        <v>373</v>
      </c>
    </row>
    <row r="2" customFormat="false" ht="15" hidden="false" customHeight="false" outlineLevel="0" collapsed="false">
      <c r="A2" s="96" t="s">
        <v>374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375</v>
      </c>
      <c r="B4" s="48"/>
      <c r="C4" s="48"/>
      <c r="D4" s="48"/>
      <c r="E4" s="48"/>
      <c r="F4" s="48"/>
      <c r="G4" s="48"/>
    </row>
    <row r="5" customFormat="false" ht="15" hidden="false" customHeight="false" outlineLevel="0" collapsed="false">
      <c r="B5" s="115" t="s">
        <v>376</v>
      </c>
      <c r="C5" s="116" t="n">
        <f aca="false">'05_도표1_Valuation'!$C$7-10</f>
        <v>52.6</v>
      </c>
      <c r="D5" s="116" t="n">
        <f aca="false">'05_도표1_Valuation'!$C$7-5</f>
        <v>57.6</v>
      </c>
      <c r="E5" s="116" t="n">
        <f aca="false">'05_도표1_Valuation'!$C$7+0</f>
        <v>62.6</v>
      </c>
      <c r="F5" s="116" t="n">
        <f aca="false">'05_도표1_Valuation'!$C$7+5</f>
        <v>67.6</v>
      </c>
      <c r="G5" s="116" t="n">
        <f aca="false">'05_도표1_Valuation'!$C$7+10</f>
        <v>72.6</v>
      </c>
    </row>
    <row r="6" customFormat="false" ht="15" hidden="false" customHeight="false" outlineLevel="0" collapsed="false">
      <c r="B6" s="117" t="n">
        <f aca="false">'05_도표1_Valuation'!$C$8-0.1</f>
        <v>0.2</v>
      </c>
      <c r="C6" s="118" t="n">
        <f aca="false">ROUND('05_도표1_Valuation'!$C$6*C$5*(1-$B6)/'05_도표1_Valuation'!$C$10,0)*'05_도표1_Valuation'!$C$10</f>
        <v>170000</v>
      </c>
      <c r="D6" s="118" t="n">
        <f aca="false">ROUND('05_도표1_Valuation'!$C$6*D$5*(1-$B6)/'05_도표1_Valuation'!$C$10,0)*'05_도표1_Valuation'!$C$10</f>
        <v>190000</v>
      </c>
      <c r="E6" s="118" t="n">
        <f aca="false">ROUND('05_도표1_Valuation'!$C$6*E$5*(1-$B6)/'05_도표1_Valuation'!$C$10,0)*'05_도표1_Valuation'!$C$10</f>
        <v>200000</v>
      </c>
      <c r="F6" s="118" t="n">
        <f aca="false">ROUND('05_도표1_Valuation'!$C$6*F$5*(1-$B6)/'05_도표1_Valuation'!$C$10,0)*'05_도표1_Valuation'!$C$10</f>
        <v>220000</v>
      </c>
      <c r="G6" s="118" t="n">
        <f aca="false">ROUND('05_도표1_Valuation'!$C$6*G$5*(1-$B6)/'05_도표1_Valuation'!$C$10,0)*'05_도표1_Valuation'!$C$10</f>
        <v>230000</v>
      </c>
    </row>
    <row r="7" customFormat="false" ht="15" hidden="false" customHeight="false" outlineLevel="0" collapsed="false">
      <c r="B7" s="117" t="n">
        <f aca="false">'05_도표1_Valuation'!$C$8-0.05</f>
        <v>0.25</v>
      </c>
      <c r="C7" s="118" t="n">
        <f aca="false">ROUND('05_도표1_Valuation'!$C$6*C$5*(1-$B7)/'05_도표1_Valuation'!$C$10,0)*'05_도표1_Valuation'!$C$10</f>
        <v>160000</v>
      </c>
      <c r="D7" s="118" t="n">
        <f aca="false">ROUND('05_도표1_Valuation'!$C$6*D$5*(1-$B7)/'05_도표1_Valuation'!$C$10,0)*'05_도표1_Valuation'!$C$10</f>
        <v>170000</v>
      </c>
      <c r="E7" s="118" t="n">
        <f aca="false">ROUND('05_도표1_Valuation'!$C$6*E$5*(1-$B7)/'05_도표1_Valuation'!$C$10,0)*'05_도표1_Valuation'!$C$10</f>
        <v>190000</v>
      </c>
      <c r="F7" s="118" t="n">
        <f aca="false">ROUND('05_도표1_Valuation'!$C$6*F$5*(1-$B7)/'05_도표1_Valuation'!$C$10,0)*'05_도표1_Valuation'!$C$10</f>
        <v>200000</v>
      </c>
      <c r="G7" s="118" t="n">
        <f aca="false">ROUND('05_도표1_Valuation'!$C$6*G$5*(1-$B7)/'05_도표1_Valuation'!$C$10,0)*'05_도표1_Valuation'!$C$10</f>
        <v>220000</v>
      </c>
    </row>
    <row r="8" customFormat="false" ht="15" hidden="false" customHeight="false" outlineLevel="0" collapsed="false">
      <c r="B8" s="117" t="n">
        <f aca="false">'05_도표1_Valuation'!$C$8+0</f>
        <v>0.3</v>
      </c>
      <c r="C8" s="119" t="n">
        <f aca="false">ROUND('05_도표1_Valuation'!$C$6*C$5*(1-$B8)/'05_도표1_Valuation'!$C$10,0)*'05_도표1_Valuation'!$C$10</f>
        <v>150000</v>
      </c>
      <c r="D8" s="119" t="n">
        <f aca="false">ROUND('05_도표1_Valuation'!$C$6*D$5*(1-$B8)/'05_도표1_Valuation'!$C$10,0)*'05_도표1_Valuation'!$C$10</f>
        <v>160000</v>
      </c>
      <c r="E8" s="120" t="n">
        <f aca="false">ROUND('05_도표1_Valuation'!$C$6*E$5*(1-$B8)/'05_도표1_Valuation'!$C$10,0)*'05_도표1_Valuation'!$C$10</f>
        <v>180000</v>
      </c>
      <c r="F8" s="118" t="n">
        <f aca="false">ROUND('05_도표1_Valuation'!$C$6*F$5*(1-$B8)/'05_도표1_Valuation'!$C$10,0)*'05_도표1_Valuation'!$C$10</f>
        <v>190000</v>
      </c>
      <c r="G8" s="118" t="n">
        <f aca="false">ROUND('05_도표1_Valuation'!$C$6*G$5*(1-$B8)/'05_도표1_Valuation'!$C$10,0)*'05_도표1_Valuation'!$C$10</f>
        <v>200000</v>
      </c>
    </row>
    <row r="9" customFormat="false" ht="15" hidden="false" customHeight="false" outlineLevel="0" collapsed="false">
      <c r="B9" s="117" t="n">
        <f aca="false">'05_도표1_Valuation'!$C$8+0.05</f>
        <v>0.35</v>
      </c>
      <c r="C9" s="119" t="n">
        <f aca="false">ROUND('05_도표1_Valuation'!$C$6*C$5*(1-$B9)/'05_도표1_Valuation'!$C$10,0)*'05_도표1_Valuation'!$C$10</f>
        <v>140000</v>
      </c>
      <c r="D9" s="119" t="n">
        <f aca="false">ROUND('05_도표1_Valuation'!$C$6*D$5*(1-$B9)/'05_도표1_Valuation'!$C$10,0)*'05_도표1_Valuation'!$C$10</f>
        <v>150000</v>
      </c>
      <c r="E9" s="119" t="n">
        <f aca="false">ROUND('05_도표1_Valuation'!$C$6*E$5*(1-$B9)/'05_도표1_Valuation'!$C$10,0)*'05_도표1_Valuation'!$C$10</f>
        <v>160000</v>
      </c>
      <c r="F9" s="118" t="n">
        <f aca="false">ROUND('05_도표1_Valuation'!$C$6*F$5*(1-$B9)/'05_도표1_Valuation'!$C$10,0)*'05_도표1_Valuation'!$C$10</f>
        <v>180000</v>
      </c>
      <c r="G9" s="118" t="n">
        <f aca="false">ROUND('05_도표1_Valuation'!$C$6*G$5*(1-$B9)/'05_도표1_Valuation'!$C$10,0)*'05_도표1_Valuation'!$C$10</f>
        <v>190000</v>
      </c>
    </row>
    <row r="10" customFormat="false" ht="15" hidden="false" customHeight="false" outlineLevel="0" collapsed="false">
      <c r="B10" s="117" t="n">
        <f aca="false">'05_도표1_Valuation'!$C$8+0.1</f>
        <v>0.4</v>
      </c>
      <c r="C10" s="119" t="n">
        <f aca="false">ROUND('05_도표1_Valuation'!$C$6*C$5*(1-$B10)/'05_도표1_Valuation'!$C$10,0)*'05_도표1_Valuation'!$C$10</f>
        <v>130000</v>
      </c>
      <c r="D10" s="119" t="n">
        <f aca="false">ROUND('05_도표1_Valuation'!$C$6*D$5*(1-$B10)/'05_도표1_Valuation'!$C$10,0)*'05_도표1_Valuation'!$C$10</f>
        <v>140000</v>
      </c>
      <c r="E10" s="119" t="n">
        <f aca="false">ROUND('05_도표1_Valuation'!$C$6*E$5*(1-$B10)/'05_도표1_Valuation'!$C$10,0)*'05_도표1_Valuation'!$C$10</f>
        <v>150000</v>
      </c>
      <c r="F10" s="118" t="n">
        <f aca="false">ROUND('05_도표1_Valuation'!$C$6*F$5*(1-$B10)/'05_도표1_Valuation'!$C$10,0)*'05_도표1_Valuation'!$C$10</f>
        <v>160000</v>
      </c>
      <c r="G10" s="118" t="n">
        <f aca="false">ROUND('05_도표1_Valuation'!$C$6*G$5*(1-$B10)/'05_도표1_Valuation'!$C$10,0)*'05_도표1_Valuation'!$C$10</f>
        <v>180000</v>
      </c>
    </row>
    <row r="11" customFormat="false" ht="15" hidden="false" customHeight="false" outlineLevel="0" collapsed="false">
      <c r="A11" s="20" t="s">
        <v>377</v>
      </c>
    </row>
    <row r="13" customFormat="false" ht="15" hidden="false" customHeight="false" outlineLevel="0" collapsed="false">
      <c r="A13" s="66" t="s">
        <v>378</v>
      </c>
      <c r="B13" s="48"/>
      <c r="C13" s="48"/>
      <c r="D13" s="48"/>
      <c r="E13" s="48"/>
      <c r="F13" s="48"/>
      <c r="G13" s="48"/>
    </row>
    <row r="14" customFormat="false" ht="15" hidden="false" customHeight="false" outlineLevel="0" collapsed="false">
      <c r="B14" s="115" t="s">
        <v>376</v>
      </c>
      <c r="C14" s="116" t="n">
        <f aca="false">'05_도표1_Valuation'!$C$7-10</f>
        <v>52.6</v>
      </c>
      <c r="D14" s="116" t="n">
        <f aca="false">'05_도표1_Valuation'!$C$7-5</f>
        <v>57.6</v>
      </c>
      <c r="E14" s="116" t="n">
        <f aca="false">'05_도표1_Valuation'!$C$7+0</f>
        <v>62.6</v>
      </c>
      <c r="F14" s="116" t="n">
        <f aca="false">'05_도표1_Valuation'!$C$7+5</f>
        <v>67.6</v>
      </c>
      <c r="G14" s="116" t="n">
        <f aca="false">'05_도표1_Valuation'!$C$7+10</f>
        <v>72.6</v>
      </c>
    </row>
    <row r="15" customFormat="false" ht="15" hidden="false" customHeight="false" outlineLevel="0" collapsed="false">
      <c r="B15" s="117" t="n">
        <f aca="false">'05_도표1_Valuation'!$C$8-0.1</f>
        <v>0.2</v>
      </c>
      <c r="C15" s="121" t="n">
        <f aca="false">ROUND('05_도표1_Valuation'!$C$6*C$14*(1-$B15)/'05_도표1_Valuation'!$C$10,0)*'05_도표1_Valuation'!$C$10/'05_도표1_Valuation'!$C$9-1</f>
        <v>0.187980433263452</v>
      </c>
      <c r="D15" s="121" t="n">
        <f aca="false">ROUND('05_도표1_Valuation'!$C$6*D$14*(1-$B15)/'05_도표1_Valuation'!$C$10,0)*'05_도표1_Valuation'!$C$10/'05_도표1_Valuation'!$C$9-1</f>
        <v>0.327742837176799</v>
      </c>
      <c r="E15" s="121" t="n">
        <f aca="false">ROUND('05_도표1_Valuation'!$C$6*E$14*(1-$B15)/'05_도표1_Valuation'!$C$10,0)*'05_도표1_Valuation'!$C$10/'05_도표1_Valuation'!$C$9-1</f>
        <v>0.397624039133473</v>
      </c>
      <c r="F15" s="121" t="n">
        <f aca="false">ROUND('05_도표1_Valuation'!$C$6*F$14*(1-$B15)/'05_도표1_Valuation'!$C$10,0)*'05_도표1_Valuation'!$C$10/'05_도표1_Valuation'!$C$9-1</f>
        <v>0.537386443046821</v>
      </c>
      <c r="G15" s="121" t="n">
        <f aca="false">ROUND('05_도표1_Valuation'!$C$6*G$14*(1-$B15)/'05_도표1_Valuation'!$C$10,0)*'05_도표1_Valuation'!$C$10/'05_도표1_Valuation'!$C$9-1</f>
        <v>0.607267645003494</v>
      </c>
    </row>
    <row r="16" customFormat="false" ht="15" hidden="false" customHeight="false" outlineLevel="0" collapsed="false">
      <c r="B16" s="117" t="n">
        <f aca="false">'05_도표1_Valuation'!$C$8-0.05</f>
        <v>0.25</v>
      </c>
      <c r="C16" s="121" t="n">
        <f aca="false">ROUND('05_도표1_Valuation'!$C$6*C$14*(1-$B16)/'05_도표1_Valuation'!$C$10,0)*'05_도표1_Valuation'!$C$10/'05_도표1_Valuation'!$C$9-1</f>
        <v>0.118099231306779</v>
      </c>
      <c r="D16" s="121" t="n">
        <f aca="false">ROUND('05_도표1_Valuation'!$C$6*D$14*(1-$B16)/'05_도표1_Valuation'!$C$10,0)*'05_도표1_Valuation'!$C$10/'05_도표1_Valuation'!$C$9-1</f>
        <v>0.187980433263452</v>
      </c>
      <c r="E16" s="121" t="n">
        <f aca="false">ROUND('05_도표1_Valuation'!$C$6*E$14*(1-$B16)/'05_도표1_Valuation'!$C$10,0)*'05_도표1_Valuation'!$C$10/'05_도표1_Valuation'!$C$9-1</f>
        <v>0.327742837176799</v>
      </c>
      <c r="F16" s="121" t="n">
        <f aca="false">ROUND('05_도표1_Valuation'!$C$6*F$14*(1-$B16)/'05_도표1_Valuation'!$C$10,0)*'05_도표1_Valuation'!$C$10/'05_도표1_Valuation'!$C$9-1</f>
        <v>0.397624039133473</v>
      </c>
      <c r="G16" s="121" t="n">
        <f aca="false">ROUND('05_도표1_Valuation'!$C$6*G$14*(1-$B16)/'05_도표1_Valuation'!$C$10,0)*'05_도표1_Valuation'!$C$10/'05_도표1_Valuation'!$C$9-1</f>
        <v>0.537386443046821</v>
      </c>
    </row>
    <row r="17" customFormat="false" ht="15" hidden="false" customHeight="false" outlineLevel="0" collapsed="false">
      <c r="B17" s="117" t="n">
        <f aca="false">'05_도표1_Valuation'!$C$8+0</f>
        <v>0.3</v>
      </c>
      <c r="C17" s="122" t="n">
        <f aca="false">ROUND('05_도표1_Valuation'!$C$6*C$14*(1-$B17)/'05_도표1_Valuation'!$C$10,0)*'05_도표1_Valuation'!$C$10/'05_도표1_Valuation'!$C$9-1</f>
        <v>0.0482180293501049</v>
      </c>
      <c r="D17" s="122" t="n">
        <f aca="false">ROUND('05_도표1_Valuation'!$C$6*D$14*(1-$B17)/'05_도표1_Valuation'!$C$10,0)*'05_도표1_Valuation'!$C$10/'05_도표1_Valuation'!$C$9-1</f>
        <v>0.118099231306779</v>
      </c>
      <c r="E17" s="123" t="n">
        <f aca="false">ROUND('05_도표1_Valuation'!$C$6*E$14*(1-$B17)/'05_도표1_Valuation'!$C$10,0)*'05_도표1_Valuation'!$C$10/'05_도표1_Valuation'!$C$9-1</f>
        <v>0.257861635220126</v>
      </c>
      <c r="F17" s="121" t="n">
        <f aca="false">ROUND('05_도표1_Valuation'!$C$6*F$14*(1-$B17)/'05_도표1_Valuation'!$C$10,0)*'05_도표1_Valuation'!$C$10/'05_도표1_Valuation'!$C$9-1</f>
        <v>0.327742837176799</v>
      </c>
      <c r="G17" s="121" t="n">
        <f aca="false">ROUND('05_도표1_Valuation'!$C$6*G$14*(1-$B17)/'05_도표1_Valuation'!$C$10,0)*'05_도표1_Valuation'!$C$10/'05_도표1_Valuation'!$C$9-1</f>
        <v>0.397624039133473</v>
      </c>
    </row>
    <row r="18" customFormat="false" ht="15" hidden="false" customHeight="false" outlineLevel="0" collapsed="false">
      <c r="B18" s="117" t="n">
        <f aca="false">'05_도표1_Valuation'!$C$8+0.05</f>
        <v>0.35</v>
      </c>
      <c r="C18" s="122" t="n">
        <f aca="false">ROUND('05_도표1_Valuation'!$C$6*C$14*(1-$B18)/'05_도표1_Valuation'!$C$10,0)*'05_도표1_Valuation'!$C$10/'05_도표1_Valuation'!$C$9-1</f>
        <v>-0.0216631726065688</v>
      </c>
      <c r="D18" s="122" t="n">
        <f aca="false">ROUND('05_도표1_Valuation'!$C$6*D$14*(1-$B18)/'05_도표1_Valuation'!$C$10,0)*'05_도표1_Valuation'!$C$10/'05_도표1_Valuation'!$C$9-1</f>
        <v>0.0482180293501049</v>
      </c>
      <c r="E18" s="122" t="n">
        <f aca="false">ROUND('05_도표1_Valuation'!$C$6*E$14*(1-$B18)/'05_도표1_Valuation'!$C$10,0)*'05_도표1_Valuation'!$C$10/'05_도표1_Valuation'!$C$9-1</f>
        <v>0.118099231306779</v>
      </c>
      <c r="F18" s="121" t="n">
        <f aca="false">ROUND('05_도표1_Valuation'!$C$6*F$14*(1-$B18)/'05_도표1_Valuation'!$C$10,0)*'05_도표1_Valuation'!$C$10/'05_도표1_Valuation'!$C$9-1</f>
        <v>0.257861635220126</v>
      </c>
      <c r="G18" s="121" t="n">
        <f aca="false">ROUND('05_도표1_Valuation'!$C$6*G$14*(1-$B18)/'05_도표1_Valuation'!$C$10,0)*'05_도표1_Valuation'!$C$10/'05_도표1_Valuation'!$C$9-1</f>
        <v>0.327742837176799</v>
      </c>
    </row>
    <row r="19" customFormat="false" ht="15" hidden="false" customHeight="false" outlineLevel="0" collapsed="false">
      <c r="B19" s="117" t="n">
        <f aca="false">'05_도표1_Valuation'!$C$8+0.1</f>
        <v>0.4</v>
      </c>
      <c r="C19" s="122" t="n">
        <f aca="false">ROUND('05_도표1_Valuation'!$C$6*C$14*(1-$B19)/'05_도표1_Valuation'!$C$10,0)*'05_도표1_Valuation'!$C$10/'05_도표1_Valuation'!$C$9-1</f>
        <v>-0.0915443745632425</v>
      </c>
      <c r="D19" s="122" t="n">
        <f aca="false">ROUND('05_도표1_Valuation'!$C$6*D$14*(1-$B19)/'05_도표1_Valuation'!$C$10,0)*'05_도표1_Valuation'!$C$10/'05_도표1_Valuation'!$C$9-1</f>
        <v>-0.0216631726065688</v>
      </c>
      <c r="E19" s="122" t="n">
        <f aca="false">ROUND('05_도표1_Valuation'!$C$6*E$14*(1-$B19)/'05_도표1_Valuation'!$C$10,0)*'05_도표1_Valuation'!$C$10/'05_도표1_Valuation'!$C$9-1</f>
        <v>0.0482180293501049</v>
      </c>
      <c r="F19" s="121" t="n">
        <f aca="false">ROUND('05_도표1_Valuation'!$C$6*F$14*(1-$B19)/'05_도표1_Valuation'!$C$10,0)*'05_도표1_Valuation'!$C$10/'05_도표1_Valuation'!$C$9-1</f>
        <v>0.118099231306779</v>
      </c>
      <c r="G19" s="121" t="n">
        <f aca="false">ROUND('05_도표1_Valuation'!$C$6*G$14*(1-$B19)/'05_도표1_Valuation'!$C$10,0)*'05_도표1_Valuation'!$C$10/'05_도표1_Valuation'!$C$9-1</f>
        <v>0.257861635220126</v>
      </c>
    </row>
    <row r="20" customFormat="false" ht="15" hidden="false" customHeight="false" outlineLevel="0" collapsed="false">
      <c r="A20" s="20" t="s">
        <v>379</v>
      </c>
    </row>
    <row r="22" customFormat="false" ht="15" hidden="false" customHeight="false" outlineLevel="0" collapsed="false">
      <c r="A22" s="47" t="s">
        <v>380</v>
      </c>
      <c r="B22" s="48"/>
      <c r="C22" s="48"/>
      <c r="D22" s="48"/>
      <c r="E22" s="48"/>
      <c r="F22" s="48"/>
      <c r="G22" s="48"/>
    </row>
    <row r="23" customFormat="false" ht="15" hidden="false" customHeight="false" outlineLevel="0" collapsed="false">
      <c r="B23" s="115" t="s">
        <v>376</v>
      </c>
      <c r="C23" s="116" t="n">
        <f aca="false">'05_도표1_Valuation'!$C$7-10</f>
        <v>52.6</v>
      </c>
      <c r="D23" s="116" t="n">
        <f aca="false">'05_도표1_Valuation'!$C$7-5</f>
        <v>57.6</v>
      </c>
      <c r="E23" s="116" t="n">
        <f aca="false">'05_도표1_Valuation'!$C$7+0</f>
        <v>62.6</v>
      </c>
      <c r="F23" s="116" t="n">
        <f aca="false">'05_도표1_Valuation'!$C$7+5</f>
        <v>67.6</v>
      </c>
      <c r="G23" s="116" t="n">
        <f aca="false">'05_도표1_Valuation'!$C$7+10</f>
        <v>72.6</v>
      </c>
    </row>
    <row r="24" customFormat="false" ht="15" hidden="false" customHeight="false" outlineLevel="0" collapsed="false">
      <c r="B24" s="117" t="n">
        <f aca="false">'05_도표1_Valuation'!$C$8-0.1</f>
        <v>0.2</v>
      </c>
      <c r="C24" s="124" t="n">
        <f aca="false">C$23*(1-$B24)</f>
        <v>42.08</v>
      </c>
      <c r="D24" s="124" t="n">
        <f aca="false">D$23*(1-$B24)</f>
        <v>46.08</v>
      </c>
      <c r="E24" s="124" t="n">
        <f aca="false">E$23*(1-$B24)</f>
        <v>50.08</v>
      </c>
      <c r="F24" s="124" t="n">
        <f aca="false">F$23*(1-$B24)</f>
        <v>54.08</v>
      </c>
      <c r="G24" s="124" t="n">
        <f aca="false">G$23*(1-$B24)</f>
        <v>58.08</v>
      </c>
    </row>
    <row r="25" customFormat="false" ht="15" hidden="false" customHeight="false" outlineLevel="0" collapsed="false">
      <c r="B25" s="117" t="n">
        <f aca="false">'05_도표1_Valuation'!$C$8-0.05</f>
        <v>0.25</v>
      </c>
      <c r="C25" s="124" t="n">
        <f aca="false">C$23*(1-$B25)</f>
        <v>39.45</v>
      </c>
      <c r="D25" s="124" t="n">
        <f aca="false">D$23*(1-$B25)</f>
        <v>43.2</v>
      </c>
      <c r="E25" s="124" t="n">
        <f aca="false">E$23*(1-$B25)</f>
        <v>46.95</v>
      </c>
      <c r="F25" s="124" t="n">
        <f aca="false">F$23*(1-$B25)</f>
        <v>50.7</v>
      </c>
      <c r="G25" s="124" t="n">
        <f aca="false">G$23*(1-$B25)</f>
        <v>54.45</v>
      </c>
    </row>
    <row r="26" customFormat="false" ht="15" hidden="false" customHeight="false" outlineLevel="0" collapsed="false">
      <c r="B26" s="117" t="n">
        <f aca="false">'05_도표1_Valuation'!$C$8+0</f>
        <v>0.3</v>
      </c>
      <c r="C26" s="125" t="n">
        <f aca="false">C$23*(1-$B26)</f>
        <v>36.82</v>
      </c>
      <c r="D26" s="125" t="n">
        <f aca="false">D$23*(1-$B26)</f>
        <v>40.32</v>
      </c>
      <c r="E26" s="126" t="n">
        <f aca="false">E$23*(1-$B26)</f>
        <v>43.82</v>
      </c>
      <c r="F26" s="124" t="n">
        <f aca="false">F$23*(1-$B26)</f>
        <v>47.32</v>
      </c>
      <c r="G26" s="124" t="n">
        <f aca="false">G$23*(1-$B26)</f>
        <v>50.82</v>
      </c>
    </row>
    <row r="27" customFormat="false" ht="15" hidden="false" customHeight="false" outlineLevel="0" collapsed="false">
      <c r="B27" s="117" t="n">
        <f aca="false">'05_도표1_Valuation'!$C$8+0.05</f>
        <v>0.35</v>
      </c>
      <c r="C27" s="125" t="n">
        <f aca="false">C$23*(1-$B27)</f>
        <v>34.19</v>
      </c>
      <c r="D27" s="125" t="n">
        <f aca="false">D$23*(1-$B27)</f>
        <v>37.44</v>
      </c>
      <c r="E27" s="125" t="n">
        <f aca="false">E$23*(1-$B27)</f>
        <v>40.69</v>
      </c>
      <c r="F27" s="124" t="n">
        <f aca="false">F$23*(1-$B27)</f>
        <v>43.94</v>
      </c>
      <c r="G27" s="124" t="n">
        <f aca="false">G$23*(1-$B27)</f>
        <v>47.19</v>
      </c>
    </row>
    <row r="28" customFormat="false" ht="15" hidden="false" customHeight="false" outlineLevel="0" collapsed="false">
      <c r="B28" s="117" t="n">
        <f aca="false">'05_도표1_Valuation'!$C$8+0.1</f>
        <v>0.4</v>
      </c>
      <c r="C28" s="125" t="n">
        <f aca="false">C$23*(1-$B28)</f>
        <v>31.56</v>
      </c>
      <c r="D28" s="125" t="n">
        <f aca="false">D$23*(1-$B28)</f>
        <v>34.56</v>
      </c>
      <c r="E28" s="125" t="n">
        <f aca="false">E$23*(1-$B28)</f>
        <v>37.56</v>
      </c>
      <c r="F28" s="124" t="n">
        <f aca="false">F$23*(1-$B28)</f>
        <v>40.56</v>
      </c>
      <c r="G28" s="124" t="n">
        <f aca="false">G$23*(1-$B28)</f>
        <v>43.56</v>
      </c>
    </row>
    <row r="29" customFormat="false" ht="15" hidden="false" customHeight="false" outlineLevel="0" collapsed="false">
      <c r="A29" s="20" t="s">
        <v>381</v>
      </c>
    </row>
    <row r="31" customFormat="false" ht="15" hidden="false" customHeight="false" outlineLevel="0" collapsed="false">
      <c r="A31" s="47" t="s">
        <v>382</v>
      </c>
      <c r="B31" s="48"/>
      <c r="C31" s="48"/>
      <c r="D31" s="48"/>
      <c r="E31" s="48"/>
      <c r="F31" s="48"/>
      <c r="G31" s="48"/>
    </row>
    <row r="32" customFormat="false" ht="15" hidden="false" customHeight="false" outlineLevel="0" collapsed="false">
      <c r="B32" s="127" t="s">
        <v>383</v>
      </c>
      <c r="C32" s="128" t="n">
        <f aca="false">'05_도표1_Valuation'!$C$6-400</f>
        <v>3625</v>
      </c>
      <c r="D32" s="128" t="n">
        <f aca="false">'05_도표1_Valuation'!$C$6-200</f>
        <v>3825</v>
      </c>
      <c r="E32" s="128" t="n">
        <f aca="false">'05_도표1_Valuation'!$C$6+0</f>
        <v>4025</v>
      </c>
      <c r="F32" s="128" t="n">
        <f aca="false">'05_도표1_Valuation'!$C$6+200</f>
        <v>4225</v>
      </c>
      <c r="G32" s="128" t="n">
        <f aca="false">'05_도표1_Valuation'!$C$6+400</f>
        <v>4425</v>
      </c>
    </row>
    <row r="33" customFormat="false" ht="15" hidden="false" customHeight="false" outlineLevel="0" collapsed="false">
      <c r="B33" s="129" t="s">
        <v>336</v>
      </c>
      <c r="C33" s="130" t="n">
        <f aca="false">ROUND(C$32*'05_도표1_Valuation'!$C$14/'05_도표1_Valuation'!$C$10,0)*'05_도표1_Valuation'!$C$10</f>
        <v>160000</v>
      </c>
      <c r="D33" s="130" t="n">
        <f aca="false">ROUND(D$32*'05_도표1_Valuation'!$C$14/'05_도표1_Valuation'!$C$10,0)*'05_도표1_Valuation'!$C$10</f>
        <v>170000</v>
      </c>
      <c r="E33" s="120" t="n">
        <f aca="false">ROUND(E$32*'05_도표1_Valuation'!$C$14/'05_도표1_Valuation'!$C$10,0)*'05_도표1_Valuation'!$C$10</f>
        <v>180000</v>
      </c>
      <c r="F33" s="130" t="n">
        <f aca="false">ROUND(F$32*'05_도표1_Valuation'!$C$14/'05_도표1_Valuation'!$C$10,0)*'05_도표1_Valuation'!$C$10</f>
        <v>190000</v>
      </c>
      <c r="G33" s="130" t="n">
        <f aca="false">ROUND(G$32*'05_도표1_Valuation'!$C$14/'05_도표1_Valuation'!$C$10,0)*'05_도표1_Valuation'!$C$10</f>
        <v>190000</v>
      </c>
    </row>
    <row r="34" customFormat="false" ht="15" hidden="false" customHeight="false" outlineLevel="0" collapsed="false">
      <c r="B34" s="129" t="s">
        <v>384</v>
      </c>
      <c r="C34" s="131" t="n">
        <f aca="false">ROUND(C$32*'05_도표1_Valuation'!$C$14/'05_도표1_Valuation'!$C$10,0)*'05_도표1_Valuation'!$C$10/'05_도표1_Valuation'!$C$9-1</f>
        <v>0.118099231306779</v>
      </c>
      <c r="D34" s="131" t="n">
        <f aca="false">ROUND(D$32*'05_도표1_Valuation'!$C$14/'05_도표1_Valuation'!$C$10,0)*'05_도표1_Valuation'!$C$10/'05_도표1_Valuation'!$C$9-1</f>
        <v>0.187980433263452</v>
      </c>
      <c r="E34" s="123" t="n">
        <f aca="false">ROUND(E$32*'05_도표1_Valuation'!$C$14/'05_도표1_Valuation'!$C$10,0)*'05_도표1_Valuation'!$C$10/'05_도표1_Valuation'!$C$9-1</f>
        <v>0.257861635220126</v>
      </c>
      <c r="F34" s="131" t="n">
        <f aca="false">ROUND(F$32*'05_도표1_Valuation'!$C$14/'05_도표1_Valuation'!$C$10,0)*'05_도표1_Valuation'!$C$10/'05_도표1_Valuation'!$C$9-1</f>
        <v>0.327742837176799</v>
      </c>
      <c r="G34" s="131" t="n">
        <f aca="false">ROUND(G$32*'05_도표1_Valuation'!$C$14/'05_도표1_Valuation'!$C$10,0)*'05_도표1_Valuation'!$C$10/'05_도표1_Valuation'!$C$9-1</f>
        <v>0.327742837176799</v>
      </c>
    </row>
    <row r="35" customFormat="false" ht="15" hidden="false" customHeight="false" outlineLevel="0" collapsed="false">
      <c r="A35" s="20" t="s">
        <v>385</v>
      </c>
    </row>
    <row r="37" customFormat="false" ht="15" hidden="false" customHeight="false" outlineLevel="0" collapsed="false">
      <c r="A37" s="19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64" t="s">
        <v>387</v>
      </c>
    </row>
    <row r="2" customFormat="false" ht="15" hidden="false" customHeight="false" outlineLevel="0" collapsed="false">
      <c r="A2" s="19" t="s">
        <v>388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389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49" t="s">
        <v>301</v>
      </c>
      <c r="D5" s="49" t="s">
        <v>230</v>
      </c>
      <c r="E5" s="49" t="s">
        <v>231</v>
      </c>
    </row>
    <row r="6" customFormat="false" ht="15" hidden="false" customHeight="false" outlineLevel="0" collapsed="false">
      <c r="A6" s="72" t="s">
        <v>390</v>
      </c>
      <c r="B6" s="50" t="s">
        <v>391</v>
      </c>
      <c r="C6" s="36" t="s">
        <v>392</v>
      </c>
      <c r="D6" s="16"/>
      <c r="E6" s="68" t="s">
        <v>393</v>
      </c>
    </row>
    <row r="7" customFormat="false" ht="15" hidden="false" customHeight="false" outlineLevel="0" collapsed="false">
      <c r="A7" s="72" t="s">
        <v>390</v>
      </c>
      <c r="B7" s="50" t="s">
        <v>394</v>
      </c>
      <c r="C7" s="36" t="s">
        <v>395</v>
      </c>
      <c r="D7" s="16"/>
      <c r="E7" s="105"/>
    </row>
    <row r="8" customFormat="false" ht="15" hidden="false" customHeight="false" outlineLevel="0" collapsed="false">
      <c r="A8" s="72" t="s">
        <v>390</v>
      </c>
      <c r="B8" s="50" t="s">
        <v>396</v>
      </c>
      <c r="C8" s="36" t="s">
        <v>397</v>
      </c>
      <c r="D8" s="16"/>
      <c r="E8" s="68" t="s">
        <v>398</v>
      </c>
    </row>
    <row r="9" customFormat="false" ht="15" hidden="false" customHeight="false" outlineLevel="0" collapsed="false">
      <c r="A9" s="72" t="s">
        <v>390</v>
      </c>
      <c r="B9" s="50" t="s">
        <v>399</v>
      </c>
      <c r="C9" s="132" t="s">
        <v>400</v>
      </c>
      <c r="D9" s="16"/>
      <c r="E9" s="105"/>
    </row>
    <row r="10" customFormat="false" ht="15" hidden="false" customHeight="false" outlineLevel="0" collapsed="false">
      <c r="A10" s="72" t="s">
        <v>390</v>
      </c>
      <c r="B10" s="50" t="s">
        <v>401</v>
      </c>
      <c r="C10" s="132" t="s">
        <v>402</v>
      </c>
      <c r="D10" s="16"/>
      <c r="E10" s="105"/>
    </row>
    <row r="11" customFormat="false" ht="15" hidden="false" customHeight="false" outlineLevel="0" collapsed="false">
      <c r="A11" s="72" t="s">
        <v>390</v>
      </c>
      <c r="B11" s="91" t="s">
        <v>403</v>
      </c>
      <c r="C11" s="132" t="s">
        <v>404</v>
      </c>
      <c r="D11" s="16"/>
      <c r="E11" s="105" t="s">
        <v>405</v>
      </c>
    </row>
    <row r="12" customFormat="false" ht="15" hidden="false" customHeight="false" outlineLevel="0" collapsed="false">
      <c r="A12" s="72" t="s">
        <v>390</v>
      </c>
      <c r="B12" s="50" t="s">
        <v>406</v>
      </c>
      <c r="C12" s="36" t="s">
        <v>407</v>
      </c>
      <c r="D12" s="16"/>
      <c r="E12" s="68" t="s">
        <v>408</v>
      </c>
    </row>
    <row r="13" customFormat="false" ht="15" hidden="false" customHeight="false" outlineLevel="0" collapsed="false">
      <c r="A13" s="72" t="s">
        <v>390</v>
      </c>
      <c r="B13" s="50" t="s">
        <v>409</v>
      </c>
      <c r="C13" s="133" t="n">
        <v>180000</v>
      </c>
      <c r="D13" s="61" t="s">
        <v>272</v>
      </c>
      <c r="E13" s="68" t="s">
        <v>410</v>
      </c>
    </row>
    <row r="14" customFormat="false" ht="15" hidden="false" customHeight="false" outlineLevel="0" collapsed="false">
      <c r="A14" s="72" t="s">
        <v>390</v>
      </c>
      <c r="B14" s="50" t="s">
        <v>322</v>
      </c>
      <c r="C14" s="133" t="n">
        <v>143100</v>
      </c>
      <c r="D14" s="61" t="s">
        <v>272</v>
      </c>
      <c r="E14" s="105" t="s">
        <v>411</v>
      </c>
    </row>
    <row r="15" customFormat="false" ht="15" hidden="false" customHeight="false" outlineLevel="0" collapsed="false">
      <c r="B15" s="39" t="s">
        <v>77</v>
      </c>
      <c r="C15" s="74" t="n">
        <f aca="false">'05_도표1_Valuation'!$C$17</f>
        <v>0.257861635220126</v>
      </c>
      <c r="D15" s="16" t="s">
        <v>244</v>
      </c>
      <c r="E15" s="105" t="s">
        <v>412</v>
      </c>
    </row>
    <row r="17" customFormat="false" ht="15" hidden="false" customHeight="false" outlineLevel="0" collapsed="false">
      <c r="A17" s="47" t="s">
        <v>413</v>
      </c>
      <c r="B17" s="48"/>
      <c r="C17" s="48"/>
      <c r="D17" s="48"/>
      <c r="E17" s="48"/>
    </row>
    <row r="18" customFormat="false" ht="15" hidden="false" customHeight="false" outlineLevel="0" collapsed="false">
      <c r="A18" s="49" t="s">
        <v>110</v>
      </c>
      <c r="B18" s="49" t="s">
        <v>3</v>
      </c>
      <c r="C18" s="49" t="s">
        <v>301</v>
      </c>
      <c r="D18" s="49" t="s">
        <v>230</v>
      </c>
      <c r="E18" s="49" t="s">
        <v>231</v>
      </c>
    </row>
    <row r="19" customFormat="false" ht="15" hidden="false" customHeight="false" outlineLevel="0" collapsed="false">
      <c r="A19" s="82" t="s">
        <v>414</v>
      </c>
      <c r="B19" s="35" t="s">
        <v>415</v>
      </c>
      <c r="C19" s="134" t="n">
        <v>1149.43</v>
      </c>
      <c r="D19" s="58" t="s">
        <v>416</v>
      </c>
      <c r="E19" s="105"/>
    </row>
    <row r="20" customFormat="false" ht="15" hidden="false" customHeight="false" outlineLevel="0" collapsed="false">
      <c r="A20" s="82" t="s">
        <v>414</v>
      </c>
      <c r="B20" s="35" t="s">
        <v>417</v>
      </c>
      <c r="C20" s="135" t="s">
        <v>418</v>
      </c>
      <c r="D20" s="61" t="s">
        <v>272</v>
      </c>
      <c r="E20" s="68" t="s">
        <v>419</v>
      </c>
    </row>
    <row r="21" customFormat="false" ht="15" hidden="false" customHeight="false" outlineLevel="0" collapsed="false">
      <c r="A21" s="82" t="s">
        <v>414</v>
      </c>
      <c r="B21" s="39" t="s">
        <v>420</v>
      </c>
      <c r="C21" s="136" t="n">
        <v>3033.3</v>
      </c>
      <c r="D21" s="61" t="s">
        <v>242</v>
      </c>
      <c r="E21" s="105"/>
    </row>
    <row r="22" customFormat="false" ht="15" hidden="false" customHeight="false" outlineLevel="0" collapsed="false">
      <c r="A22" s="82" t="s">
        <v>414</v>
      </c>
      <c r="B22" s="39" t="s">
        <v>421</v>
      </c>
      <c r="C22" s="137" t="n">
        <v>0.0048</v>
      </c>
      <c r="D22" s="58" t="s">
        <v>244</v>
      </c>
      <c r="E22" s="68" t="s">
        <v>422</v>
      </c>
    </row>
    <row r="23" customFormat="false" ht="15" hidden="false" customHeight="false" outlineLevel="0" collapsed="false">
      <c r="A23" s="82" t="s">
        <v>414</v>
      </c>
      <c r="B23" s="39" t="s">
        <v>232</v>
      </c>
      <c r="C23" s="136" t="n">
        <v>21197.1</v>
      </c>
      <c r="D23" s="61" t="s">
        <v>233</v>
      </c>
      <c r="E23" s="105"/>
    </row>
    <row r="24" customFormat="false" ht="15" hidden="false" customHeight="false" outlineLevel="0" collapsed="false">
      <c r="A24" s="82" t="s">
        <v>414</v>
      </c>
      <c r="B24" s="35" t="s">
        <v>423</v>
      </c>
      <c r="C24" s="136" t="n">
        <v>277.5</v>
      </c>
      <c r="D24" s="61" t="s">
        <v>233</v>
      </c>
      <c r="E24" s="105"/>
    </row>
    <row r="25" customFormat="false" ht="15" hidden="false" customHeight="false" outlineLevel="0" collapsed="false">
      <c r="A25" s="82" t="s">
        <v>414</v>
      </c>
      <c r="B25" s="35" t="s">
        <v>424</v>
      </c>
      <c r="C25" s="136" t="n">
        <v>29.7</v>
      </c>
      <c r="D25" s="61" t="s">
        <v>242</v>
      </c>
      <c r="E25" s="105"/>
    </row>
    <row r="26" customFormat="false" ht="15" hidden="false" customHeight="false" outlineLevel="0" collapsed="false">
      <c r="A26" s="82" t="s">
        <v>414</v>
      </c>
      <c r="B26" s="39" t="s">
        <v>425</v>
      </c>
      <c r="C26" s="137" t="n">
        <v>0.2052</v>
      </c>
      <c r="D26" s="58" t="s">
        <v>244</v>
      </c>
      <c r="E26" s="105"/>
    </row>
    <row r="27" customFormat="false" ht="15" hidden="false" customHeight="false" outlineLevel="0" collapsed="false">
      <c r="B27" s="39" t="s">
        <v>426</v>
      </c>
      <c r="C27" s="137" t="n">
        <v>0.4516</v>
      </c>
      <c r="D27" s="138" t="s">
        <v>244</v>
      </c>
      <c r="E27" s="16"/>
    </row>
    <row r="28" customFormat="false" ht="15" hidden="false" customHeight="false" outlineLevel="0" collapsed="false">
      <c r="B28" s="39" t="s">
        <v>427</v>
      </c>
      <c r="C28" s="137" t="n">
        <v>0.0616</v>
      </c>
      <c r="D28" s="138" t="s">
        <v>244</v>
      </c>
      <c r="E28" s="16"/>
    </row>
    <row r="30" customFormat="false" ht="15" hidden="false" customHeight="false" outlineLevel="0" collapsed="false">
      <c r="A30" s="66" t="s">
        <v>428</v>
      </c>
      <c r="B30" s="48"/>
      <c r="C30" s="48"/>
      <c r="D30" s="48"/>
      <c r="E30" s="48"/>
    </row>
    <row r="31" customFormat="false" ht="15" hidden="false" customHeight="false" outlineLevel="0" collapsed="false">
      <c r="A31" s="49" t="s">
        <v>110</v>
      </c>
      <c r="B31" s="49" t="s">
        <v>3</v>
      </c>
      <c r="C31" s="49" t="s">
        <v>429</v>
      </c>
      <c r="D31" s="49" t="s">
        <v>99</v>
      </c>
      <c r="E31" s="49" t="s">
        <v>231</v>
      </c>
    </row>
    <row r="32" customFormat="false" ht="15" hidden="false" customHeight="false" outlineLevel="0" collapsed="false">
      <c r="B32" s="39" t="s">
        <v>430</v>
      </c>
      <c r="C32" s="71" t="n">
        <f aca="false">143100*$C$23/1000000</f>
        <v>3033.30501</v>
      </c>
      <c r="D32" s="71" t="n">
        <f aca="false">$C$21</f>
        <v>3033.3</v>
      </c>
      <c r="E32" s="105" t="s">
        <v>431</v>
      </c>
    </row>
    <row r="33" customFormat="false" ht="15" hidden="false" customHeight="false" outlineLevel="0" collapsed="false">
      <c r="B33" s="39" t="s">
        <v>100</v>
      </c>
      <c r="C33" s="71" t="n">
        <f aca="false">$C$32-$D$32</f>
        <v>0.00500999999985652</v>
      </c>
      <c r="D33" s="16"/>
      <c r="E33" s="105" t="s">
        <v>432</v>
      </c>
    </row>
    <row r="34" customFormat="false" ht="15" hidden="false" customHeight="false" outlineLevel="0" collapsed="false">
      <c r="B34" s="35" t="s">
        <v>433</v>
      </c>
      <c r="C34" s="76" t="n">
        <f aca="false">143100/150700-1</f>
        <v>-0.0504313205043132</v>
      </c>
      <c r="D34" s="16"/>
      <c r="E34" s="105" t="s">
        <v>434</v>
      </c>
    </row>
    <row r="35" customFormat="false" ht="15" hidden="false" customHeight="false" outlineLevel="0" collapsed="false">
      <c r="B35" s="35" t="s">
        <v>435</v>
      </c>
      <c r="C35" s="76" t="n">
        <f aca="false">143100/43600-1</f>
        <v>2.28211009174312</v>
      </c>
      <c r="D35" s="16"/>
      <c r="E35" s="105" t="s">
        <v>436</v>
      </c>
    </row>
    <row r="37" customFormat="false" ht="15" hidden="false" customHeight="false" outlineLevel="0" collapsed="false">
      <c r="A37" s="19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39" t="s">
        <v>438</v>
      </c>
    </row>
    <row r="2" customFormat="false" ht="15" hidden="false" customHeight="false" outlineLevel="0" collapsed="false">
      <c r="A2" s="19" t="s">
        <v>439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440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69" t="s">
        <v>12</v>
      </c>
      <c r="D5" s="69" t="s">
        <v>441</v>
      </c>
      <c r="E5" s="49" t="s">
        <v>230</v>
      </c>
    </row>
    <row r="6" customFormat="false" ht="15" hidden="false" customHeight="false" outlineLevel="0" collapsed="false">
      <c r="A6" s="72" t="s">
        <v>442</v>
      </c>
      <c r="B6" s="50" t="s">
        <v>15</v>
      </c>
      <c r="C6" s="136" t="n">
        <v>215.9</v>
      </c>
      <c r="D6" s="136" t="n">
        <v>282.7</v>
      </c>
      <c r="E6" s="61" t="s">
        <v>242</v>
      </c>
    </row>
    <row r="7" customFormat="false" ht="15" hidden="false" customHeight="false" outlineLevel="0" collapsed="false">
      <c r="A7" s="72" t="s">
        <v>442</v>
      </c>
      <c r="B7" s="50" t="s">
        <v>29</v>
      </c>
      <c r="C7" s="136" t="n">
        <v>56.9</v>
      </c>
      <c r="D7" s="136" t="n">
        <v>79.6</v>
      </c>
      <c r="E7" s="61" t="s">
        <v>242</v>
      </c>
    </row>
    <row r="8" customFormat="false" ht="15" hidden="false" customHeight="false" outlineLevel="0" collapsed="false">
      <c r="A8" s="72" t="s">
        <v>442</v>
      </c>
      <c r="B8" s="50" t="s">
        <v>443</v>
      </c>
      <c r="C8" s="136" t="n">
        <v>54.1</v>
      </c>
      <c r="D8" s="136" t="n">
        <v>75</v>
      </c>
      <c r="E8" s="61" t="s">
        <v>242</v>
      </c>
    </row>
    <row r="9" customFormat="false" ht="15" hidden="false" customHeight="false" outlineLevel="0" collapsed="false">
      <c r="A9" s="72" t="s">
        <v>442</v>
      </c>
      <c r="B9" s="91" t="s">
        <v>271</v>
      </c>
      <c r="C9" s="113" t="n">
        <v>2555</v>
      </c>
      <c r="D9" s="113" t="n">
        <v>3563</v>
      </c>
      <c r="E9" s="61" t="s">
        <v>272</v>
      </c>
    </row>
    <row r="10" customFormat="false" ht="15" hidden="false" customHeight="false" outlineLevel="0" collapsed="false">
      <c r="A10" s="72" t="s">
        <v>442</v>
      </c>
      <c r="B10" s="91" t="s">
        <v>276</v>
      </c>
      <c r="C10" s="113" t="n">
        <v>26243</v>
      </c>
      <c r="D10" s="113" t="n">
        <v>29064</v>
      </c>
      <c r="E10" s="61" t="s">
        <v>272</v>
      </c>
    </row>
    <row r="11" customFormat="false" ht="15" hidden="false" customHeight="false" outlineLevel="0" collapsed="false">
      <c r="A11" s="66" t="s">
        <v>444</v>
      </c>
      <c r="B11" s="48"/>
      <c r="C11" s="48"/>
      <c r="D11" s="48"/>
      <c r="E11" s="48"/>
    </row>
    <row r="12" customFormat="false" ht="15" hidden="false" customHeight="false" outlineLevel="0" collapsed="false">
      <c r="A12" s="49" t="s">
        <v>110</v>
      </c>
      <c r="B12" s="49" t="s">
        <v>3</v>
      </c>
      <c r="C12" s="69" t="s">
        <v>12</v>
      </c>
      <c r="D12" s="69" t="s">
        <v>441</v>
      </c>
      <c r="E12" s="49" t="s">
        <v>230</v>
      </c>
    </row>
    <row r="13" customFormat="false" ht="15" hidden="false" customHeight="false" outlineLevel="0" collapsed="false">
      <c r="B13" s="39" t="s">
        <v>445</v>
      </c>
      <c r="C13" s="76" t="n">
        <f aca="false">$C$7/$C$6</f>
        <v>0.263547938860584</v>
      </c>
      <c r="D13" s="76" t="n">
        <f aca="false">$D$7/$D$6</f>
        <v>0.281570569508313</v>
      </c>
      <c r="E13" s="58" t="s">
        <v>244</v>
      </c>
    </row>
    <row r="14" customFormat="false" ht="15" hidden="false" customHeight="false" outlineLevel="0" collapsed="false">
      <c r="B14" s="39" t="s">
        <v>446</v>
      </c>
      <c r="C14" s="76" t="n">
        <f aca="false">$C$8/$C$6</f>
        <v>0.250578971746179</v>
      </c>
      <c r="D14" s="76" t="n">
        <f aca="false">$D$8/$D$6</f>
        <v>0.265298903431199</v>
      </c>
      <c r="E14" s="58" t="s">
        <v>244</v>
      </c>
    </row>
    <row r="16" customFormat="false" ht="15" hidden="false" customHeight="false" outlineLevel="0" collapsed="false">
      <c r="A16" s="19" t="s">
        <v>437</v>
      </c>
    </row>
    <row r="17" customFormat="false" ht="15" hidden="false" customHeight="false" outlineLevel="0" collapsed="false">
      <c r="A17" s="20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T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9" min="2" style="0" width="9.51"/>
    <col collapsed="false" customWidth="true" hidden="false" outlineLevel="0" max="20" min="20" style="0" width="9"/>
  </cols>
  <sheetData>
    <row r="1" customFormat="false" ht="20.1" hidden="false" customHeight="false" outlineLevel="0" collapsed="false">
      <c r="A1" s="139" t="s">
        <v>448</v>
      </c>
    </row>
    <row r="2" customFormat="false" ht="15" hidden="false" customHeight="false" outlineLevel="0" collapsed="false">
      <c r="A2" s="19" t="s">
        <v>449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4" customFormat="false" ht="15" hidden="false" customHeight="false" outlineLevel="0" collapsed="false">
      <c r="A4" s="49" t="s">
        <v>110</v>
      </c>
      <c r="B4" s="69" t="s">
        <v>450</v>
      </c>
      <c r="C4" s="69" t="s">
        <v>451</v>
      </c>
      <c r="D4" s="69" t="s">
        <v>452</v>
      </c>
      <c r="E4" s="69" t="s">
        <v>453</v>
      </c>
      <c r="F4" s="69" t="s">
        <v>454</v>
      </c>
      <c r="G4" s="69" t="s">
        <v>455</v>
      </c>
      <c r="H4" s="69" t="s">
        <v>456</v>
      </c>
      <c r="I4" s="69" t="s">
        <v>457</v>
      </c>
      <c r="J4" s="69" t="s">
        <v>458</v>
      </c>
      <c r="K4" s="69" t="s">
        <v>459</v>
      </c>
      <c r="L4" s="69" t="s">
        <v>460</v>
      </c>
      <c r="M4" s="69" t="s">
        <v>461</v>
      </c>
      <c r="N4" s="69" t="s">
        <v>4</v>
      </c>
      <c r="O4" s="69" t="s">
        <v>5</v>
      </c>
      <c r="P4" s="69" t="s">
        <v>6</v>
      </c>
      <c r="Q4" s="69" t="s">
        <v>7</v>
      </c>
      <c r="R4" s="69" t="s">
        <v>462</v>
      </c>
      <c r="S4" s="69" t="s">
        <v>463</v>
      </c>
      <c r="T4" s="49" t="s">
        <v>230</v>
      </c>
    </row>
    <row r="5" customFormat="false" ht="15" hidden="false" customHeight="false" outlineLevel="0" collapsed="false">
      <c r="A5" s="50" t="s">
        <v>464</v>
      </c>
      <c r="B5" s="140" t="n">
        <v>29750</v>
      </c>
      <c r="C5" s="140" t="n">
        <v>31200</v>
      </c>
      <c r="D5" s="140" t="n">
        <v>32200</v>
      </c>
      <c r="E5" s="140" t="n">
        <v>31350</v>
      </c>
      <c r="F5" s="140" t="n">
        <v>40000</v>
      </c>
      <c r="G5" s="140" t="n">
        <v>55200</v>
      </c>
      <c r="H5" s="140" t="n">
        <v>78800</v>
      </c>
      <c r="I5" s="140" t="n">
        <v>80300</v>
      </c>
      <c r="J5" s="140" t="n">
        <v>98000</v>
      </c>
      <c r="K5" s="140" t="n">
        <v>65500</v>
      </c>
      <c r="L5" s="140" t="n">
        <v>57900</v>
      </c>
      <c r="M5" s="140" t="n">
        <v>72100</v>
      </c>
      <c r="N5" s="140" t="n">
        <v>51800</v>
      </c>
      <c r="O5" s="140" t="n">
        <v>59800</v>
      </c>
      <c r="P5" s="140" t="n">
        <v>77800</v>
      </c>
      <c r="Q5" s="140" t="n">
        <v>111100</v>
      </c>
      <c r="R5" s="140" t="n">
        <v>233000</v>
      </c>
      <c r="S5" s="140" t="n">
        <v>181500</v>
      </c>
      <c r="T5" s="77" t="s">
        <v>272</v>
      </c>
    </row>
    <row r="6" customFormat="false" ht="15" hidden="false" customHeight="false" outlineLevel="0" collapsed="false">
      <c r="A6" s="39" t="s">
        <v>465</v>
      </c>
      <c r="B6" s="136" t="n">
        <v>17339.471</v>
      </c>
      <c r="C6" s="136" t="n">
        <v>17339.471</v>
      </c>
      <c r="D6" s="136" t="n">
        <v>17339.471</v>
      </c>
      <c r="E6" s="136" t="n">
        <v>17339.471</v>
      </c>
      <c r="F6" s="136" t="n">
        <v>17339.471</v>
      </c>
      <c r="G6" s="136" t="n">
        <v>17339.471</v>
      </c>
      <c r="H6" s="136" t="n">
        <v>17339.471</v>
      </c>
      <c r="I6" s="136" t="n">
        <v>21137.058</v>
      </c>
      <c r="J6" s="136" t="n">
        <v>21137.058</v>
      </c>
      <c r="K6" s="136" t="n">
        <v>21137.058</v>
      </c>
      <c r="L6" s="136" t="n">
        <v>21137.058</v>
      </c>
      <c r="M6" s="136" t="n">
        <v>21137.058</v>
      </c>
      <c r="N6" s="136" t="n">
        <v>21137.058</v>
      </c>
      <c r="O6" s="136" t="n">
        <v>21137.058</v>
      </c>
      <c r="P6" s="136" t="n">
        <v>21137.058</v>
      </c>
      <c r="Q6" s="136" t="n">
        <v>21197.058</v>
      </c>
      <c r="R6" s="136" t="n">
        <v>21197.058</v>
      </c>
      <c r="S6" s="136" t="n">
        <v>21197.058</v>
      </c>
      <c r="T6" s="77" t="s">
        <v>233</v>
      </c>
    </row>
    <row r="7" customFormat="false" ht="15" hidden="false" customHeight="false" outlineLevel="0" collapsed="false">
      <c r="A7" s="50" t="s">
        <v>420</v>
      </c>
      <c r="B7" s="87" t="n">
        <f aca="false">B$5*B$6/1000000</f>
        <v>515.84926225</v>
      </c>
      <c r="C7" s="87" t="n">
        <f aca="false">C$5*C$6/1000000</f>
        <v>540.9914952</v>
      </c>
      <c r="D7" s="87" t="n">
        <f aca="false">D$5*D$6/1000000</f>
        <v>558.3309662</v>
      </c>
      <c r="E7" s="87" t="n">
        <f aca="false">E$5*E$6/1000000</f>
        <v>543.59241585</v>
      </c>
      <c r="F7" s="87" t="n">
        <f aca="false">F$5*F$6/1000000</f>
        <v>693.57884</v>
      </c>
      <c r="G7" s="87" t="n">
        <f aca="false">G$5*G$6/1000000</f>
        <v>957.1387992</v>
      </c>
      <c r="H7" s="87" t="n">
        <f aca="false">H$5*H$6/1000000</f>
        <v>1366.3503148</v>
      </c>
      <c r="I7" s="87" t="n">
        <f aca="false">I$5*I$6/1000000</f>
        <v>1697.3057574</v>
      </c>
      <c r="J7" s="87" t="n">
        <f aca="false">J$5*J$6/1000000</f>
        <v>2071.431684</v>
      </c>
      <c r="K7" s="87" t="n">
        <f aca="false">K$5*K$6/1000000</f>
        <v>1384.477299</v>
      </c>
      <c r="L7" s="87" t="n">
        <f aca="false">L$5*L$6/1000000</f>
        <v>1223.8356582</v>
      </c>
      <c r="M7" s="87" t="n">
        <f aca="false">M$5*M$6/1000000</f>
        <v>1523.9818818</v>
      </c>
      <c r="N7" s="87" t="n">
        <f aca="false">N$5*N$6/1000000</f>
        <v>1094.8996044</v>
      </c>
      <c r="O7" s="87" t="n">
        <f aca="false">O$5*O$6/1000000</f>
        <v>1263.9960684</v>
      </c>
      <c r="P7" s="87" t="n">
        <f aca="false">P$5*P$6/1000000</f>
        <v>1644.4631124</v>
      </c>
      <c r="Q7" s="87" t="n">
        <f aca="false">Q$5*Q$6/1000000</f>
        <v>2354.9931438</v>
      </c>
      <c r="R7" s="87" t="n">
        <f aca="false">R$5*R$6/1000000</f>
        <v>4938.914514</v>
      </c>
      <c r="S7" s="87" t="n">
        <f aca="false">S$5*S$6/1000000</f>
        <v>3847.266027</v>
      </c>
      <c r="T7" s="77" t="s">
        <v>242</v>
      </c>
    </row>
    <row r="8" customFormat="false" ht="15" hidden="false" customHeight="false" outlineLevel="0" collapsed="false">
      <c r="A8" s="39" t="s">
        <v>466</v>
      </c>
      <c r="B8" s="16"/>
      <c r="C8" s="76" t="n">
        <f aca="false">C$5/B$5-1</f>
        <v>0.0487394957983194</v>
      </c>
      <c r="D8" s="76" t="n">
        <f aca="false">D$5/C$5-1</f>
        <v>0.0320512820512822</v>
      </c>
      <c r="E8" s="76" t="n">
        <f aca="false">E$5/D$5-1</f>
        <v>-0.0263975155279503</v>
      </c>
      <c r="F8" s="76" t="n">
        <f aca="false">F$5/E$5-1</f>
        <v>0.27591706539075</v>
      </c>
      <c r="G8" s="76" t="n">
        <f aca="false">G$5/F$5-1</f>
        <v>0.38</v>
      </c>
      <c r="H8" s="76" t="n">
        <f aca="false">H$5/G$5-1</f>
        <v>0.427536231884058</v>
      </c>
      <c r="I8" s="76" t="n">
        <f aca="false">I$5/H$5-1</f>
        <v>0.0190355329949239</v>
      </c>
      <c r="J8" s="76" t="n">
        <f aca="false">J$5/I$5-1</f>
        <v>0.220423412204234</v>
      </c>
      <c r="K8" s="76" t="n">
        <f aca="false">K$5/J$5-1</f>
        <v>-0.331632653061224</v>
      </c>
      <c r="L8" s="76" t="n">
        <f aca="false">L$5/K$5-1</f>
        <v>-0.116030534351145</v>
      </c>
      <c r="M8" s="76" t="n">
        <f aca="false">M$5/L$5-1</f>
        <v>0.245250431778929</v>
      </c>
      <c r="N8" s="76" t="n">
        <f aca="false">N$5/M$5-1</f>
        <v>-0.281553398058252</v>
      </c>
      <c r="O8" s="76" t="n">
        <f aca="false">O$5/N$5-1</f>
        <v>0.154440154440154</v>
      </c>
      <c r="P8" s="76" t="n">
        <f aca="false">P$5/O$5-1</f>
        <v>0.301003344481605</v>
      </c>
      <c r="Q8" s="76" t="n">
        <f aca="false">Q$5/P$5-1</f>
        <v>0.428020565552699</v>
      </c>
      <c r="R8" s="76" t="n">
        <f aca="false">R$5/Q$5-1</f>
        <v>1.0972097209721</v>
      </c>
      <c r="S8" s="76" t="n">
        <f aca="false">S$5/R$5-1</f>
        <v>-0.221030042918455</v>
      </c>
      <c r="T8" s="16" t="s">
        <v>244</v>
      </c>
    </row>
    <row r="10" customFormat="false" ht="15" hidden="false" customHeight="false" outlineLevel="0" collapsed="false">
      <c r="A10" s="66" t="s">
        <v>467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customFormat="false" ht="15" hidden="false" customHeight="false" outlineLevel="0" collapsed="false">
      <c r="A11" s="39" t="s">
        <v>468</v>
      </c>
      <c r="B11" s="97" t="n">
        <f aca="false">'01_p1_투자의견_KeyData'!$C$14</f>
        <v>143100</v>
      </c>
      <c r="C11" s="141" t="s">
        <v>469</v>
      </c>
    </row>
    <row r="12" customFormat="false" ht="15" hidden="false" customHeight="false" outlineLevel="0" collapsed="false">
      <c r="A12" s="39" t="s">
        <v>470</v>
      </c>
      <c r="B12" s="70" t="n">
        <f aca="false">'01_p1_투자의견_KeyData'!$C$21</f>
        <v>3033.3</v>
      </c>
      <c r="C12" s="141" t="s">
        <v>471</v>
      </c>
    </row>
    <row r="13" customFormat="false" ht="15" hidden="false" customHeight="false" outlineLevel="0" collapsed="false">
      <c r="A13" s="35" t="s">
        <v>472</v>
      </c>
      <c r="B13" s="98" t="n">
        <v>150700</v>
      </c>
      <c r="C13" s="141" t="s">
        <v>473</v>
      </c>
    </row>
    <row r="14" customFormat="false" ht="15" hidden="false" customHeight="false" outlineLevel="0" collapsed="false">
      <c r="A14" s="35" t="s">
        <v>474</v>
      </c>
      <c r="B14" s="98" t="n">
        <v>43600</v>
      </c>
      <c r="C14" s="142" t="s">
        <v>475</v>
      </c>
    </row>
    <row r="15" customFormat="false" ht="15" hidden="false" customHeight="false" outlineLevel="0" collapsed="false">
      <c r="A15" s="35" t="s">
        <v>476</v>
      </c>
      <c r="B15" s="143" t="n">
        <f aca="false">'01_p1_투자의견_KeyData'!$C$19</f>
        <v>1149.43</v>
      </c>
      <c r="C15" s="142" t="s">
        <v>477</v>
      </c>
    </row>
    <row r="17" customFormat="false" ht="15" hidden="false" customHeight="false" outlineLevel="0" collapsed="false">
      <c r="A17" s="66" t="s">
        <v>478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customFormat="false" ht="15" hidden="false" customHeight="false" outlineLevel="0" collapsed="false">
      <c r="A18" s="144" t="s">
        <v>3</v>
      </c>
      <c r="B18" s="144" t="s">
        <v>479</v>
      </c>
      <c r="C18" s="144"/>
      <c r="D18" s="144"/>
      <c r="E18" s="144"/>
      <c r="F18" s="144"/>
      <c r="G18" s="144"/>
      <c r="H18" s="144"/>
      <c r="I18" s="145" t="s">
        <v>480</v>
      </c>
      <c r="J18" s="145"/>
      <c r="K18" s="145"/>
      <c r="L18" s="145"/>
    </row>
    <row r="19" customFormat="false" ht="30" hidden="false" customHeight="true" outlineLevel="0" collapsed="false">
      <c r="A19" s="39" t="s">
        <v>481</v>
      </c>
      <c r="B19" s="146" t="s">
        <v>482</v>
      </c>
      <c r="C19" s="146"/>
      <c r="D19" s="146"/>
      <c r="E19" s="146"/>
      <c r="F19" s="146"/>
      <c r="G19" s="146"/>
      <c r="H19" s="146"/>
      <c r="I19" s="147" t="s">
        <v>483</v>
      </c>
      <c r="J19" s="147"/>
      <c r="K19" s="147"/>
      <c r="L19" s="147"/>
    </row>
    <row r="20" customFormat="false" ht="30" hidden="false" customHeight="true" outlineLevel="0" collapsed="false">
      <c r="A20" s="39" t="s">
        <v>465</v>
      </c>
      <c r="B20" s="146" t="s">
        <v>484</v>
      </c>
      <c r="C20" s="146"/>
      <c r="D20" s="146"/>
      <c r="E20" s="146"/>
      <c r="F20" s="146"/>
      <c r="G20" s="146"/>
      <c r="H20" s="146"/>
      <c r="I20" s="147" t="s">
        <v>485</v>
      </c>
      <c r="J20" s="147"/>
      <c r="K20" s="147"/>
      <c r="L20" s="147"/>
    </row>
    <row r="44" customFormat="false" ht="15" hidden="false" customHeight="false" outlineLevel="0" collapsed="false">
      <c r="A44" s="20" t="s">
        <v>486</v>
      </c>
    </row>
  </sheetData>
  <mergeCells count="6">
    <mergeCell ref="B18:H18"/>
    <mergeCell ref="I18:L18"/>
    <mergeCell ref="B19:H19"/>
    <mergeCell ref="I19:L19"/>
    <mergeCell ref="B20:H20"/>
    <mergeCell ref="I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  <col collapsed="false" customWidth="true" hidden="false" outlineLevel="0" max="6" min="6" style="0" width="40"/>
  </cols>
  <sheetData>
    <row r="1" customFormat="false" ht="20.1" hidden="false" customHeight="false" outlineLevel="0" collapsed="false">
      <c r="A1" s="139" t="s">
        <v>487</v>
      </c>
    </row>
    <row r="2" customFormat="false" ht="15" hidden="false" customHeight="false" outlineLevel="0" collapsed="false">
      <c r="A2" s="19" t="s">
        <v>488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49" t="s">
        <v>489</v>
      </c>
      <c r="B4" s="69" t="s">
        <v>251</v>
      </c>
      <c r="C4" s="69" t="s">
        <v>252</v>
      </c>
      <c r="D4" s="69" t="s">
        <v>240</v>
      </c>
      <c r="E4" s="69" t="s">
        <v>241</v>
      </c>
      <c r="F4" s="49" t="s">
        <v>230</v>
      </c>
    </row>
    <row r="5" customFormat="false" ht="15" hidden="false" customHeight="false" outlineLevel="0" collapsed="false">
      <c r="A5" s="50" t="s">
        <v>15</v>
      </c>
      <c r="B5" s="136" t="n">
        <v>140.2</v>
      </c>
      <c r="C5" s="136" t="n">
        <v>174.5</v>
      </c>
      <c r="D5" s="148" t="n">
        <v>220.2</v>
      </c>
      <c r="E5" s="148" t="n">
        <v>302.9</v>
      </c>
      <c r="F5" s="61" t="s">
        <v>242</v>
      </c>
    </row>
    <row r="6" customFormat="false" ht="15" hidden="false" customHeight="false" outlineLevel="0" collapsed="false">
      <c r="A6" s="50" t="s">
        <v>29</v>
      </c>
      <c r="B6" s="136" t="n">
        <v>10.7</v>
      </c>
      <c r="C6" s="136" t="n">
        <v>44.8</v>
      </c>
      <c r="D6" s="148" t="n">
        <v>60.1</v>
      </c>
      <c r="E6" s="148" t="n">
        <v>93.7</v>
      </c>
      <c r="F6" s="61" t="s">
        <v>242</v>
      </c>
    </row>
    <row r="7" customFormat="false" ht="15" hidden="false" customHeight="false" outlineLevel="0" collapsed="false">
      <c r="A7" s="39" t="s">
        <v>31</v>
      </c>
      <c r="B7" s="136" t="n">
        <v>17.6</v>
      </c>
      <c r="C7" s="136" t="n">
        <v>69.6</v>
      </c>
      <c r="D7" s="148" t="n">
        <v>66.6</v>
      </c>
      <c r="E7" s="148" t="n">
        <v>100.4</v>
      </c>
      <c r="F7" s="61" t="s">
        <v>242</v>
      </c>
    </row>
    <row r="8" customFormat="false" ht="15" hidden="false" customHeight="false" outlineLevel="0" collapsed="false">
      <c r="A8" s="39" t="s">
        <v>443</v>
      </c>
      <c r="B8" s="136" t="n">
        <v>13.2</v>
      </c>
      <c r="C8" s="136" t="n">
        <v>54.7</v>
      </c>
      <c r="D8" s="148" t="n">
        <v>55.9</v>
      </c>
      <c r="E8" s="148" t="n">
        <v>81.6</v>
      </c>
      <c r="F8" s="61" t="s">
        <v>242</v>
      </c>
    </row>
    <row r="9" customFormat="false" ht="15" hidden="false" customHeight="false" outlineLevel="0" collapsed="false">
      <c r="A9" s="35" t="s">
        <v>271</v>
      </c>
      <c r="B9" s="113" t="n">
        <v>720</v>
      </c>
      <c r="C9" s="113" t="n">
        <v>2579</v>
      </c>
      <c r="D9" s="149" t="n">
        <v>2638</v>
      </c>
      <c r="E9" s="149" t="n">
        <v>3850</v>
      </c>
      <c r="F9" s="61" t="s">
        <v>272</v>
      </c>
    </row>
    <row r="10" customFormat="false" ht="15" hidden="false" customHeight="false" outlineLevel="0" collapsed="false">
      <c r="A10" s="39" t="s">
        <v>490</v>
      </c>
      <c r="B10" s="137" t="n">
        <v>-0.7156</v>
      </c>
      <c r="C10" s="137" t="n">
        <v>2.5819</v>
      </c>
      <c r="D10" s="150" t="n">
        <v>0.0229</v>
      </c>
      <c r="E10" s="150" t="n">
        <v>0.4594</v>
      </c>
      <c r="F10" s="58" t="s">
        <v>244</v>
      </c>
    </row>
    <row r="11" customFormat="false" ht="15" hidden="false" customHeight="false" outlineLevel="0" collapsed="false">
      <c r="A11" s="35" t="s">
        <v>491</v>
      </c>
      <c r="B11" s="112" t="n">
        <v>111.53</v>
      </c>
      <c r="C11" s="112" t="n">
        <v>27.96</v>
      </c>
      <c r="D11" s="151" t="n">
        <v>42.12</v>
      </c>
      <c r="E11" s="151" t="n">
        <v>37.17</v>
      </c>
      <c r="F11" s="61" t="s">
        <v>325</v>
      </c>
    </row>
    <row r="12" customFormat="false" ht="15" hidden="false" customHeight="false" outlineLevel="0" collapsed="false">
      <c r="A12" s="35" t="s">
        <v>492</v>
      </c>
      <c r="B12" s="112" t="n">
        <v>3.47</v>
      </c>
      <c r="C12" s="112" t="n">
        <v>2.83</v>
      </c>
      <c r="D12" s="151" t="n">
        <v>4.26</v>
      </c>
      <c r="E12" s="151" t="n">
        <v>4.91</v>
      </c>
      <c r="F12" s="61" t="s">
        <v>325</v>
      </c>
    </row>
    <row r="13" customFormat="false" ht="15" hidden="false" customHeight="false" outlineLevel="0" collapsed="false">
      <c r="A13" s="35" t="s">
        <v>493</v>
      </c>
      <c r="B13" s="112" t="n">
        <v>73.34</v>
      </c>
      <c r="C13" s="112" t="n">
        <v>22.01</v>
      </c>
      <c r="D13" s="151" t="n">
        <v>28.94</v>
      </c>
      <c r="E13" s="151" t="n">
        <v>24.56</v>
      </c>
      <c r="F13" s="61" t="s">
        <v>325</v>
      </c>
    </row>
    <row r="14" customFormat="false" ht="15" hidden="false" customHeight="false" outlineLevel="0" collapsed="false">
      <c r="A14" s="35" t="s">
        <v>494</v>
      </c>
      <c r="B14" s="137" t="n">
        <v>0.0356</v>
      </c>
      <c r="C14" s="137" t="n">
        <v>0.1098</v>
      </c>
      <c r="D14" s="150" t="n">
        <v>0.1057</v>
      </c>
      <c r="E14" s="150" t="n">
        <v>0.1438</v>
      </c>
      <c r="F14" s="58" t="s">
        <v>244</v>
      </c>
    </row>
    <row r="15" customFormat="false" ht="15" hidden="false" customHeight="false" outlineLevel="0" collapsed="false">
      <c r="A15" s="35" t="s">
        <v>276</v>
      </c>
      <c r="B15" s="113" t="n">
        <v>23173</v>
      </c>
      <c r="C15" s="113" t="n">
        <v>25507</v>
      </c>
      <c r="D15" s="149" t="n">
        <v>26091</v>
      </c>
      <c r="E15" s="149" t="n">
        <v>29159</v>
      </c>
      <c r="F15" s="61" t="s">
        <v>272</v>
      </c>
    </row>
    <row r="16" customFormat="false" ht="15" hidden="false" customHeight="false" outlineLevel="0" collapsed="false">
      <c r="A16" s="35" t="s">
        <v>495</v>
      </c>
      <c r="B16" s="113" t="n">
        <v>200</v>
      </c>
      <c r="C16" s="113" t="n">
        <v>810</v>
      </c>
      <c r="D16" s="149" t="n">
        <v>810</v>
      </c>
      <c r="E16" s="149" t="n">
        <v>850</v>
      </c>
      <c r="F16" s="61" t="s">
        <v>272</v>
      </c>
    </row>
    <row r="18" customFormat="false" ht="15" hidden="false" customHeight="false" outlineLevel="0" collapsed="false">
      <c r="A18" s="66" t="s">
        <v>496</v>
      </c>
      <c r="B18" s="48"/>
      <c r="C18" s="48"/>
      <c r="D18" s="48"/>
      <c r="E18" s="48"/>
      <c r="F18" s="48"/>
    </row>
    <row r="19" customFormat="false" ht="15" hidden="false" customHeight="false" outlineLevel="0" collapsed="false">
      <c r="A19" s="49" t="s">
        <v>285</v>
      </c>
      <c r="B19" s="69" t="s">
        <v>251</v>
      </c>
      <c r="C19" s="69" t="s">
        <v>252</v>
      </c>
      <c r="D19" s="69" t="s">
        <v>240</v>
      </c>
      <c r="E19" s="69" t="s">
        <v>241</v>
      </c>
      <c r="F19" s="49" t="s">
        <v>231</v>
      </c>
    </row>
    <row r="20" customFormat="false" ht="15" hidden="false" customHeight="false" outlineLevel="0" collapsed="false">
      <c r="A20" s="39" t="s">
        <v>497</v>
      </c>
      <c r="B20" s="83" t="n">
        <f aca="false">B$6/B$5</f>
        <v>0.0763195435092725</v>
      </c>
      <c r="C20" s="83" t="n">
        <f aca="false">C$6/C$5</f>
        <v>0.256733524355301</v>
      </c>
      <c r="D20" s="83" t="n">
        <f aca="false">D$6/D$5</f>
        <v>0.272933696639419</v>
      </c>
      <c r="E20" s="83" t="n">
        <f aca="false">E$6/E$5</f>
        <v>0.309343017497524</v>
      </c>
      <c r="F20" s="105" t="s">
        <v>498</v>
      </c>
    </row>
    <row r="21" customFormat="false" ht="15" hidden="false" customHeight="false" outlineLevel="0" collapsed="false">
      <c r="A21" s="35" t="s">
        <v>499</v>
      </c>
      <c r="B21" s="106" t="n">
        <f aca="false">B$11*B$9</f>
        <v>80301.6</v>
      </c>
      <c r="C21" s="106" t="n">
        <f aca="false">C$11*C$9</f>
        <v>72108.84</v>
      </c>
      <c r="D21" s="106" t="n">
        <f aca="false">D$11*D$9</f>
        <v>111112.56</v>
      </c>
      <c r="E21" s="106" t="n">
        <f aca="false">E$11*E$9</f>
        <v>143104.5</v>
      </c>
      <c r="F21" s="105" t="s">
        <v>500</v>
      </c>
    </row>
    <row r="22" customFormat="false" ht="15" hidden="false" customHeight="false" outlineLevel="0" collapsed="false">
      <c r="A22" s="35" t="s">
        <v>501</v>
      </c>
      <c r="B22" s="106" t="n">
        <f aca="false">B$12*B$15</f>
        <v>80410.31</v>
      </c>
      <c r="C22" s="106" t="n">
        <f aca="false">C$12*C$15</f>
        <v>72184.81</v>
      </c>
      <c r="D22" s="106" t="n">
        <f aca="false">D$12*D$15</f>
        <v>111147.66</v>
      </c>
      <c r="E22" s="106" t="n">
        <f aca="false">E$12*E$15</f>
        <v>143170.69</v>
      </c>
      <c r="F22" s="105" t="s">
        <v>502</v>
      </c>
    </row>
    <row r="23" customFormat="false" ht="15" hidden="false" customHeight="false" outlineLevel="0" collapsed="false">
      <c r="A23" s="35" t="s">
        <v>503</v>
      </c>
      <c r="B23" s="152" t="s">
        <v>256</v>
      </c>
      <c r="C23" s="83" t="n">
        <f aca="false">IFERROR(C$9/B$9-1,"n/a")</f>
        <v>2.58194444444444</v>
      </c>
      <c r="D23" s="83" t="n">
        <f aca="false">IFERROR(D$9/C$9-1,"n/a")</f>
        <v>0.0228770841411399</v>
      </c>
      <c r="E23" s="83" t="n">
        <f aca="false">IFERROR(E$9/D$9-1,"n/a")</f>
        <v>0.459438968915845</v>
      </c>
      <c r="F23" s="68" t="s">
        <v>504</v>
      </c>
    </row>
    <row r="24" customFormat="false" ht="15" hidden="false" customHeight="false" outlineLevel="0" collapsed="false">
      <c r="A24" s="39" t="s">
        <v>505</v>
      </c>
      <c r="B24" s="76" t="n">
        <f aca="false">B$16/B$9</f>
        <v>0.277777777777778</v>
      </c>
      <c r="C24" s="76" t="n">
        <f aca="false">C$16/C$9</f>
        <v>0.314075222954634</v>
      </c>
      <c r="D24" s="76" t="n">
        <f aca="false">D$16/D$9</f>
        <v>0.307050796057619</v>
      </c>
      <c r="E24" s="76" t="n">
        <f aca="false">E$16/E$9</f>
        <v>0.220779220779221</v>
      </c>
      <c r="F24" s="68" t="s">
        <v>506</v>
      </c>
    </row>
    <row r="26" customFormat="false" ht="15" hidden="false" customHeight="false" outlineLevel="0" collapsed="false">
      <c r="A26" s="19" t="s">
        <v>437</v>
      </c>
    </row>
    <row r="27" customFormat="false" ht="15" hidden="false" customHeight="false" outlineLevel="0" collapsed="false">
      <c r="A27" s="20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7" min="6" style="0" width="4"/>
  </cols>
  <sheetData>
    <row r="1" customFormat="false" ht="20.1" hidden="false" customHeight="false" outlineLevel="0" collapsed="false">
      <c r="A1" s="64" t="s">
        <v>508</v>
      </c>
    </row>
    <row r="2" customFormat="false" ht="15" hidden="false" customHeight="false" outlineLevel="0" collapsed="false">
      <c r="A2" s="19" t="s">
        <v>509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510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49" t="s">
        <v>229</v>
      </c>
      <c r="D5" s="49" t="s">
        <v>230</v>
      </c>
      <c r="E5" s="49" t="s">
        <v>511</v>
      </c>
    </row>
    <row r="6" customFormat="false" ht="15" hidden="false" customHeight="false" outlineLevel="0" collapsed="false">
      <c r="A6" s="72" t="s">
        <v>308</v>
      </c>
      <c r="B6" s="91" t="s">
        <v>271</v>
      </c>
      <c r="C6" s="107" t="n">
        <v>4025</v>
      </c>
      <c r="D6" s="61" t="s">
        <v>272</v>
      </c>
      <c r="E6" s="153" t="s">
        <v>512</v>
      </c>
    </row>
    <row r="7" customFormat="false" ht="15" hidden="false" customHeight="false" outlineLevel="0" collapsed="false">
      <c r="A7" s="72" t="s">
        <v>308</v>
      </c>
      <c r="B7" s="50" t="s">
        <v>513</v>
      </c>
      <c r="C7" s="100" t="n">
        <v>62.6</v>
      </c>
      <c r="D7" s="61" t="s">
        <v>325</v>
      </c>
      <c r="E7" s="154" t="s">
        <v>514</v>
      </c>
    </row>
    <row r="8" customFormat="false" ht="15" hidden="false" customHeight="false" outlineLevel="0" collapsed="false">
      <c r="A8" s="72" t="s">
        <v>308</v>
      </c>
      <c r="B8" s="50" t="s">
        <v>327</v>
      </c>
      <c r="C8" s="101" t="n">
        <v>0.3</v>
      </c>
      <c r="D8" s="58" t="s">
        <v>244</v>
      </c>
      <c r="E8" s="154" t="s">
        <v>515</v>
      </c>
    </row>
    <row r="9" customFormat="false" ht="15" hidden="false" customHeight="false" outlineLevel="0" collapsed="false">
      <c r="A9" s="72" t="s">
        <v>305</v>
      </c>
      <c r="B9" s="50" t="s">
        <v>322</v>
      </c>
      <c r="C9" s="98" t="n">
        <v>143100</v>
      </c>
      <c r="D9" s="61" t="s">
        <v>272</v>
      </c>
      <c r="E9" s="153" t="s">
        <v>76</v>
      </c>
    </row>
    <row r="10" customFormat="false" ht="15" hidden="false" customHeight="false" outlineLevel="0" collapsed="false">
      <c r="A10" s="72" t="s">
        <v>308</v>
      </c>
      <c r="B10" s="50" t="s">
        <v>516</v>
      </c>
      <c r="C10" s="107" t="n">
        <v>10000</v>
      </c>
      <c r="D10" s="61" t="s">
        <v>272</v>
      </c>
      <c r="E10" s="154" t="s">
        <v>517</v>
      </c>
    </row>
    <row r="12" customFormat="false" ht="15" hidden="false" customHeight="false" outlineLevel="0" collapsed="false">
      <c r="A12" s="66" t="s">
        <v>518</v>
      </c>
      <c r="B12" s="48"/>
      <c r="C12" s="48"/>
      <c r="D12" s="48"/>
      <c r="E12" s="48"/>
    </row>
    <row r="13" customFormat="false" ht="15" hidden="false" customHeight="false" outlineLevel="0" collapsed="false">
      <c r="A13" s="49" t="s">
        <v>110</v>
      </c>
      <c r="B13" s="49" t="s">
        <v>3</v>
      </c>
      <c r="C13" s="49" t="s">
        <v>519</v>
      </c>
      <c r="D13" s="49" t="s">
        <v>230</v>
      </c>
      <c r="E13" s="49" t="s">
        <v>520</v>
      </c>
    </row>
    <row r="14" customFormat="false" ht="15" hidden="false" customHeight="false" outlineLevel="0" collapsed="false">
      <c r="A14" s="72" t="s">
        <v>312</v>
      </c>
      <c r="B14" s="35" t="s">
        <v>101</v>
      </c>
      <c r="C14" s="111" t="n">
        <f aca="false">$C$7*(1-$C$8)</f>
        <v>43.82</v>
      </c>
      <c r="D14" s="61" t="s">
        <v>325</v>
      </c>
      <c r="E14" s="88" t="s">
        <v>521</v>
      </c>
    </row>
    <row r="15" customFormat="false" ht="15" hidden="false" customHeight="false" outlineLevel="0" collapsed="false">
      <c r="A15" s="72" t="s">
        <v>312</v>
      </c>
      <c r="B15" s="39" t="s">
        <v>522</v>
      </c>
      <c r="C15" s="106" t="n">
        <f aca="false">$C$6*$C$14</f>
        <v>176375.5</v>
      </c>
      <c r="D15" s="61" t="s">
        <v>272</v>
      </c>
      <c r="E15" s="79" t="s">
        <v>523</v>
      </c>
    </row>
    <row r="16" customFormat="false" ht="15" hidden="false" customHeight="false" outlineLevel="0" collapsed="false">
      <c r="A16" s="72" t="s">
        <v>312</v>
      </c>
      <c r="B16" s="50" t="s">
        <v>524</v>
      </c>
      <c r="C16" s="93" t="n">
        <f aca="false">ROUND($C$15/$C$10,0)*$C$10</f>
        <v>180000</v>
      </c>
      <c r="D16" s="61" t="s">
        <v>272</v>
      </c>
      <c r="E16" s="88" t="s">
        <v>525</v>
      </c>
    </row>
    <row r="17" customFormat="false" ht="15" hidden="false" customHeight="false" outlineLevel="0" collapsed="false">
      <c r="A17" s="72" t="s">
        <v>312</v>
      </c>
      <c r="B17" s="50" t="s">
        <v>77</v>
      </c>
      <c r="C17" s="155" t="n">
        <f aca="false">$C$16/$C$9-1</f>
        <v>0.257861635220126</v>
      </c>
      <c r="D17" s="58" t="s">
        <v>244</v>
      </c>
      <c r="E17" s="88" t="s">
        <v>526</v>
      </c>
    </row>
    <row r="18" customFormat="false" ht="15" hidden="false" customHeight="false" outlineLevel="0" collapsed="false">
      <c r="A18" s="72" t="s">
        <v>312</v>
      </c>
      <c r="B18" s="39" t="s">
        <v>368</v>
      </c>
      <c r="C18" s="111" t="n">
        <f aca="false">$C$9/$C$6</f>
        <v>35.5527950310559</v>
      </c>
      <c r="D18" s="61" t="s">
        <v>325</v>
      </c>
      <c r="E18" s="88" t="s">
        <v>527</v>
      </c>
    </row>
    <row r="19" customFormat="false" ht="15" hidden="false" customHeight="false" outlineLevel="0" collapsed="false">
      <c r="A19" s="72" t="s">
        <v>312</v>
      </c>
      <c r="B19" s="39" t="s">
        <v>528</v>
      </c>
      <c r="C19" s="76" t="n">
        <f aca="false">1-$C$18/$C$7</f>
        <v>0.432063977139682</v>
      </c>
      <c r="D19" s="58" t="s">
        <v>244</v>
      </c>
      <c r="E19" s="79" t="s">
        <v>529</v>
      </c>
    </row>
    <row r="21" customFormat="false" ht="15" hidden="false" customHeight="false" outlineLevel="0" collapsed="false">
      <c r="A21" s="66" t="s">
        <v>530</v>
      </c>
      <c r="B21" s="48"/>
      <c r="C21" s="48"/>
      <c r="D21" s="48"/>
      <c r="E21" s="48"/>
    </row>
    <row r="22" customFormat="false" ht="15" hidden="false" customHeight="false" outlineLevel="0" collapsed="false">
      <c r="A22" s="49" t="s">
        <v>110</v>
      </c>
      <c r="B22" s="49" t="s">
        <v>3</v>
      </c>
      <c r="C22" s="49" t="s">
        <v>301</v>
      </c>
      <c r="D22" s="49" t="s">
        <v>99</v>
      </c>
      <c r="E22" s="49" t="s">
        <v>231</v>
      </c>
    </row>
    <row r="23" customFormat="false" ht="15" hidden="false" customHeight="false" outlineLevel="0" collapsed="false">
      <c r="A23" s="72" t="s">
        <v>531</v>
      </c>
      <c r="B23" s="35" t="s">
        <v>532</v>
      </c>
      <c r="C23" s="111" t="n">
        <f aca="false">$C$14</f>
        <v>43.82</v>
      </c>
      <c r="D23" s="112" t="n">
        <v>43.82</v>
      </c>
      <c r="E23" s="68" t="s">
        <v>533</v>
      </c>
    </row>
    <row r="24" customFormat="false" ht="15" hidden="false" customHeight="false" outlineLevel="0" collapsed="false">
      <c r="A24" s="72" t="s">
        <v>531</v>
      </c>
      <c r="B24" s="39" t="s">
        <v>534</v>
      </c>
      <c r="C24" s="106" t="n">
        <f aca="false">$C$16</f>
        <v>180000</v>
      </c>
      <c r="D24" s="113" t="n">
        <v>180000</v>
      </c>
      <c r="E24" s="68" t="s">
        <v>535</v>
      </c>
    </row>
    <row r="25" customFormat="false" ht="15" hidden="false" customHeight="false" outlineLevel="0" collapsed="false">
      <c r="A25" s="72" t="s">
        <v>531</v>
      </c>
      <c r="B25" s="39" t="s">
        <v>536</v>
      </c>
      <c r="C25" s="75" t="n">
        <f aca="false">$C$17</f>
        <v>0.257861635220126</v>
      </c>
      <c r="D25" s="114" t="n">
        <v>0.26</v>
      </c>
      <c r="E25" s="68" t="s">
        <v>537</v>
      </c>
    </row>
    <row r="26" customFormat="false" ht="15" hidden="false" customHeight="false" outlineLevel="0" collapsed="false">
      <c r="A26" s="72" t="s">
        <v>538</v>
      </c>
      <c r="B26" s="39" t="s">
        <v>539</v>
      </c>
      <c r="C26" s="106" t="n">
        <f aca="false">$C$6</f>
        <v>4025</v>
      </c>
      <c r="D26" s="16"/>
      <c r="E26" s="68" t="s">
        <v>540</v>
      </c>
    </row>
    <row r="27" customFormat="false" ht="15" hidden="false" customHeight="false" outlineLevel="0" collapsed="false">
      <c r="A27" s="72" t="s">
        <v>538</v>
      </c>
      <c r="B27" s="39" t="s">
        <v>541</v>
      </c>
      <c r="C27" s="97" t="n">
        <f aca="false">'17_p5_투자지표'!$E$6</f>
        <v>3850</v>
      </c>
      <c r="D27" s="16"/>
      <c r="E27" s="105" t="s">
        <v>542</v>
      </c>
    </row>
    <row r="28" customFormat="false" ht="15" hidden="false" customHeight="false" outlineLevel="0" collapsed="false">
      <c r="A28" s="72" t="s">
        <v>538</v>
      </c>
      <c r="B28" s="39" t="s">
        <v>543</v>
      </c>
      <c r="C28" s="97" t="n">
        <f aca="false">'02_p1_Consensus'!$D$9</f>
        <v>3563</v>
      </c>
      <c r="D28" s="16"/>
      <c r="E28" s="105" t="s">
        <v>544</v>
      </c>
    </row>
    <row r="29" customFormat="false" ht="15" hidden="false" customHeight="false" outlineLevel="0" collapsed="false">
      <c r="B29" s="39" t="s">
        <v>545</v>
      </c>
      <c r="C29" s="76" t="n">
        <f aca="false">$C$26/$C$27-1</f>
        <v>0.0454545454545454</v>
      </c>
      <c r="D29" s="16"/>
      <c r="E29" s="68" t="s">
        <v>546</v>
      </c>
    </row>
    <row r="31" customFormat="false" ht="15" hidden="false" customHeight="false" outlineLevel="0" collapsed="false">
      <c r="A31" s="19" t="s">
        <v>294</v>
      </c>
    </row>
    <row r="32" customFormat="false" ht="15" hidden="false" customHeight="false" outlineLevel="0" collapsed="false">
      <c r="A32" s="20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64" t="s">
        <v>548</v>
      </c>
    </row>
    <row r="2" customFormat="false" ht="15" hidden="false" customHeight="false" outlineLevel="0" collapsed="false">
      <c r="A2" s="19" t="s">
        <v>549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49" t="s">
        <v>550</v>
      </c>
      <c r="B4" s="49" t="s">
        <v>551</v>
      </c>
      <c r="C4" s="49"/>
      <c r="D4" s="49"/>
      <c r="E4" s="49" t="s">
        <v>231</v>
      </c>
    </row>
    <row r="5" customFormat="false" ht="15" hidden="false" customHeight="false" outlineLevel="0" collapsed="false">
      <c r="A5" s="35" t="s">
        <v>552</v>
      </c>
      <c r="B5" s="156" t="n">
        <v>57</v>
      </c>
      <c r="C5" s="16"/>
      <c r="D5" s="16"/>
      <c r="E5" s="68" t="s">
        <v>553</v>
      </c>
    </row>
    <row r="6" customFormat="false" ht="15" hidden="false" customHeight="false" outlineLevel="0" collapsed="false">
      <c r="A6" s="35" t="s">
        <v>554</v>
      </c>
      <c r="B6" s="156" t="n">
        <v>45.1</v>
      </c>
      <c r="C6" s="16"/>
      <c r="D6" s="16"/>
      <c r="E6" s="68" t="s">
        <v>553</v>
      </c>
    </row>
    <row r="7" customFormat="false" ht="15" hidden="false" customHeight="false" outlineLevel="0" collapsed="false">
      <c r="A7" s="35" t="s">
        <v>555</v>
      </c>
      <c r="B7" s="156" t="n">
        <v>33.3</v>
      </c>
      <c r="C7" s="16"/>
      <c r="D7" s="16"/>
      <c r="E7" s="68" t="s">
        <v>553</v>
      </c>
    </row>
    <row r="8" customFormat="false" ht="15" hidden="false" customHeight="false" outlineLevel="0" collapsed="false">
      <c r="A8" s="35" t="s">
        <v>556</v>
      </c>
      <c r="B8" s="156" t="n">
        <v>21.4</v>
      </c>
      <c r="C8" s="16"/>
      <c r="D8" s="16"/>
      <c r="E8" s="68" t="s">
        <v>553</v>
      </c>
    </row>
    <row r="9" customFormat="false" ht="15" hidden="false" customHeight="false" outlineLevel="0" collapsed="false">
      <c r="A9" s="35" t="s">
        <v>557</v>
      </c>
      <c r="B9" s="156" t="n">
        <v>5</v>
      </c>
      <c r="C9" s="16"/>
      <c r="D9" s="16"/>
      <c r="E9" s="68" t="s">
        <v>553</v>
      </c>
    </row>
    <row r="10" customFormat="false" ht="15" hidden="false" customHeight="false" outlineLevel="0" collapsed="false">
      <c r="A10" s="19" t="s">
        <v>558</v>
      </c>
    </row>
    <row r="12" customFormat="false" ht="15" hidden="false" customHeight="false" outlineLevel="0" collapsed="false">
      <c r="A12" s="66" t="s">
        <v>559</v>
      </c>
      <c r="B12" s="48"/>
      <c r="C12" s="48"/>
      <c r="D12" s="48"/>
      <c r="E12" s="48"/>
    </row>
    <row r="13" customFormat="false" ht="15" hidden="false" customHeight="false" outlineLevel="0" collapsed="false">
      <c r="A13" s="49" t="s">
        <v>550</v>
      </c>
      <c r="B13" s="49" t="s">
        <v>551</v>
      </c>
      <c r="C13" s="49" t="s">
        <v>560</v>
      </c>
      <c r="D13" s="49" t="s">
        <v>561</v>
      </c>
      <c r="E13" s="49" t="s">
        <v>231</v>
      </c>
    </row>
    <row r="14" customFormat="false" ht="15" hidden="false" customHeight="false" outlineLevel="0" collapsed="false">
      <c r="A14" s="35" t="s">
        <v>552</v>
      </c>
      <c r="B14" s="157" t="n">
        <f aca="false">$B$5</f>
        <v>57</v>
      </c>
      <c r="C14" s="97" t="n">
        <f aca="false">$B14*'17_p5_투자지표'!$E$6</f>
        <v>219450</v>
      </c>
      <c r="D14" s="76" t="n">
        <f aca="false">$C14/'05_도표1_Valuation'!$C$9-1</f>
        <v>0.533542976939203</v>
      </c>
      <c r="E14" s="105" t="s">
        <v>562</v>
      </c>
    </row>
    <row r="15" customFormat="false" ht="15" hidden="false" customHeight="false" outlineLevel="0" collapsed="false">
      <c r="A15" s="35" t="s">
        <v>554</v>
      </c>
      <c r="B15" s="157" t="n">
        <f aca="false">$B$6</f>
        <v>45.1</v>
      </c>
      <c r="C15" s="97" t="n">
        <f aca="false">$B15*'17_p5_투자지표'!$E$6</f>
        <v>173635</v>
      </c>
      <c r="D15" s="76" t="n">
        <f aca="false">$C15/'05_도표1_Valuation'!$C$9-1</f>
        <v>0.213382250174703</v>
      </c>
      <c r="E15" s="105" t="s">
        <v>562</v>
      </c>
    </row>
    <row r="16" customFormat="false" ht="15" hidden="false" customHeight="false" outlineLevel="0" collapsed="false">
      <c r="A16" s="35" t="s">
        <v>555</v>
      </c>
      <c r="B16" s="157" t="n">
        <f aca="false">$B$7</f>
        <v>33.3</v>
      </c>
      <c r="C16" s="97" t="n">
        <f aca="false">$B16*'17_p5_투자지표'!$E$6</f>
        <v>128205</v>
      </c>
      <c r="D16" s="76" t="n">
        <f aca="false">$C16/'05_도표1_Valuation'!$C$9-1</f>
        <v>-0.104088050314466</v>
      </c>
      <c r="E16" s="105" t="s">
        <v>562</v>
      </c>
    </row>
    <row r="17" customFormat="false" ht="15" hidden="false" customHeight="false" outlineLevel="0" collapsed="false">
      <c r="A17" s="35" t="s">
        <v>556</v>
      </c>
      <c r="B17" s="157" t="n">
        <f aca="false">$B$8</f>
        <v>21.4</v>
      </c>
      <c r="C17" s="97" t="n">
        <f aca="false">$B17*'17_p5_투자지표'!$E$6</f>
        <v>82390</v>
      </c>
      <c r="D17" s="76" t="n">
        <f aca="false">$C17/'05_도표1_Valuation'!$C$9-1</f>
        <v>-0.424248777078966</v>
      </c>
      <c r="E17" s="105" t="s">
        <v>562</v>
      </c>
    </row>
    <row r="18" customFormat="false" ht="15" hidden="false" customHeight="false" outlineLevel="0" collapsed="false">
      <c r="A18" s="35" t="s">
        <v>557</v>
      </c>
      <c r="B18" s="157" t="n">
        <f aca="false">$B$9</f>
        <v>5</v>
      </c>
      <c r="C18" s="97" t="n">
        <f aca="false">$B18*'17_p5_투자지표'!$E$6</f>
        <v>19250</v>
      </c>
      <c r="D18" s="76" t="n">
        <f aca="false">$C18/'05_도표1_Valuation'!$C$9-1</f>
        <v>-0.865478686233403</v>
      </c>
      <c r="E18" s="105" t="s">
        <v>562</v>
      </c>
    </row>
    <row r="19" customFormat="false" ht="15" hidden="false" customHeight="false" outlineLevel="0" collapsed="false">
      <c r="A19" s="50" t="s">
        <v>563</v>
      </c>
      <c r="B19" s="158" t="n">
        <f aca="false">'05_도표1_Valuation'!$C$18</f>
        <v>35.5527950310559</v>
      </c>
      <c r="C19" s="97" t="n">
        <f aca="false">'05_도표1_Valuation'!$C$9</f>
        <v>143100</v>
      </c>
      <c r="D19" s="16"/>
      <c r="E19" s="68" t="s">
        <v>564</v>
      </c>
    </row>
    <row r="20" customFormat="false" ht="15" hidden="false" customHeight="false" outlineLevel="0" collapsed="false">
      <c r="A20" s="91" t="s">
        <v>101</v>
      </c>
      <c r="B20" s="158" t="n">
        <f aca="false">'05_도표1_Valuation'!$C$14</f>
        <v>43.82</v>
      </c>
      <c r="C20" s="159" t="n">
        <f aca="false">'05_도표1_Valuation'!$C$16</f>
        <v>180000</v>
      </c>
      <c r="D20" s="74" t="n">
        <f aca="false">'05_도표1_Valuation'!$C$17</f>
        <v>0.257861635220126</v>
      </c>
      <c r="E20" s="105" t="s">
        <v>565</v>
      </c>
    </row>
    <row r="22" customFormat="false" ht="15" hidden="false" customHeight="false" outlineLevel="0" collapsed="false">
      <c r="A22" s="20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64" t="s">
        <v>567</v>
      </c>
    </row>
    <row r="2" customFormat="false" ht="15" hidden="false" customHeight="false" outlineLevel="0" collapsed="false">
      <c r="A2" s="19" t="s">
        <v>549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49" t="s">
        <v>550</v>
      </c>
      <c r="B4" s="49" t="s">
        <v>551</v>
      </c>
      <c r="C4" s="49"/>
      <c r="D4" s="49"/>
      <c r="E4" s="49" t="s">
        <v>231</v>
      </c>
    </row>
    <row r="5" customFormat="false" ht="15" hidden="false" customHeight="false" outlineLevel="0" collapsed="false">
      <c r="A5" s="35" t="s">
        <v>552</v>
      </c>
      <c r="B5" s="156" t="n">
        <v>5.1</v>
      </c>
      <c r="C5" s="16"/>
      <c r="D5" s="16"/>
      <c r="E5" s="68" t="s">
        <v>553</v>
      </c>
    </row>
    <row r="6" customFormat="false" ht="15" hidden="false" customHeight="false" outlineLevel="0" collapsed="false">
      <c r="A6" s="35" t="s">
        <v>554</v>
      </c>
      <c r="B6" s="156" t="n">
        <v>4.2</v>
      </c>
      <c r="C6" s="16"/>
      <c r="D6" s="16"/>
      <c r="E6" s="68" t="s">
        <v>553</v>
      </c>
    </row>
    <row r="7" customFormat="false" ht="15" hidden="false" customHeight="false" outlineLevel="0" collapsed="false">
      <c r="A7" s="35" t="s">
        <v>555</v>
      </c>
      <c r="B7" s="156" t="n">
        <v>3.2</v>
      </c>
      <c r="C7" s="16"/>
      <c r="D7" s="16"/>
      <c r="E7" s="68" t="s">
        <v>553</v>
      </c>
    </row>
    <row r="8" customFormat="false" ht="15" hidden="false" customHeight="false" outlineLevel="0" collapsed="false">
      <c r="A8" s="35" t="s">
        <v>556</v>
      </c>
      <c r="B8" s="156" t="n">
        <v>2.3</v>
      </c>
      <c r="C8" s="16"/>
      <c r="D8" s="16"/>
      <c r="E8" s="68" t="s">
        <v>553</v>
      </c>
    </row>
    <row r="9" customFormat="false" ht="15" hidden="false" customHeight="false" outlineLevel="0" collapsed="false">
      <c r="A9" s="35" t="s">
        <v>557</v>
      </c>
      <c r="B9" s="156" t="n">
        <v>1.3</v>
      </c>
      <c r="C9" s="16"/>
      <c r="D9" s="16"/>
      <c r="E9" s="68" t="s">
        <v>553</v>
      </c>
    </row>
    <row r="10" customFormat="false" ht="15" hidden="false" customHeight="false" outlineLevel="0" collapsed="false">
      <c r="A10" s="19" t="s">
        <v>558</v>
      </c>
    </row>
    <row r="12" customFormat="false" ht="15" hidden="false" customHeight="false" outlineLevel="0" collapsed="false">
      <c r="A12" s="66" t="s">
        <v>559</v>
      </c>
      <c r="B12" s="48"/>
      <c r="C12" s="48"/>
      <c r="D12" s="48"/>
      <c r="E12" s="48"/>
    </row>
    <row r="13" customFormat="false" ht="15" hidden="false" customHeight="false" outlineLevel="0" collapsed="false">
      <c r="A13" s="49" t="s">
        <v>550</v>
      </c>
      <c r="B13" s="49" t="s">
        <v>551</v>
      </c>
      <c r="C13" s="49" t="s">
        <v>560</v>
      </c>
      <c r="D13" s="49" t="s">
        <v>561</v>
      </c>
      <c r="E13" s="49" t="s">
        <v>231</v>
      </c>
    </row>
    <row r="14" customFormat="false" ht="15" hidden="false" customHeight="false" outlineLevel="0" collapsed="false">
      <c r="A14" s="35" t="s">
        <v>552</v>
      </c>
      <c r="B14" s="157" t="n">
        <f aca="false">$B$5</f>
        <v>5.1</v>
      </c>
      <c r="C14" s="97" t="n">
        <f aca="false">$B14*'17_p5_투자지표'!$E$7</f>
        <v>148710.9</v>
      </c>
      <c r="D14" s="76" t="n">
        <f aca="false">$C14/'05_도표1_Valuation'!$C$9-1</f>
        <v>0.03920964360587</v>
      </c>
      <c r="E14" s="105" t="s">
        <v>568</v>
      </c>
    </row>
    <row r="15" customFormat="false" ht="15" hidden="false" customHeight="false" outlineLevel="0" collapsed="false">
      <c r="A15" s="35" t="s">
        <v>554</v>
      </c>
      <c r="B15" s="157" t="n">
        <f aca="false">$B$6</f>
        <v>4.2</v>
      </c>
      <c r="C15" s="97" t="n">
        <f aca="false">$B15*'17_p5_투자지표'!$E$7</f>
        <v>122467.8</v>
      </c>
      <c r="D15" s="76" t="n">
        <f aca="false">$C15/'05_도표1_Valuation'!$C$9-1</f>
        <v>-0.144180293501048</v>
      </c>
      <c r="E15" s="105" t="s">
        <v>568</v>
      </c>
    </row>
    <row r="16" customFormat="false" ht="15" hidden="false" customHeight="false" outlineLevel="0" collapsed="false">
      <c r="A16" s="35" t="s">
        <v>555</v>
      </c>
      <c r="B16" s="157" t="n">
        <f aca="false">$B$7</f>
        <v>3.2</v>
      </c>
      <c r="C16" s="97" t="n">
        <f aca="false">$B16*'17_p5_투자지표'!$E$7</f>
        <v>93308.8</v>
      </c>
      <c r="D16" s="76" t="n">
        <f aca="false">$C16/'05_도표1_Valuation'!$C$9-1</f>
        <v>-0.347946890286513</v>
      </c>
      <c r="E16" s="105" t="s">
        <v>568</v>
      </c>
    </row>
    <row r="17" customFormat="false" ht="15" hidden="false" customHeight="false" outlineLevel="0" collapsed="false">
      <c r="A17" s="35" t="s">
        <v>556</v>
      </c>
      <c r="B17" s="157" t="n">
        <f aca="false">$B$8</f>
        <v>2.3</v>
      </c>
      <c r="C17" s="97" t="n">
        <f aca="false">$B17*'17_p5_투자지표'!$E$7</f>
        <v>67065.7</v>
      </c>
      <c r="D17" s="76" t="n">
        <f aca="false">$C17/'05_도표1_Valuation'!$C$9-1</f>
        <v>-0.531336827393431</v>
      </c>
      <c r="E17" s="105" t="s">
        <v>568</v>
      </c>
    </row>
    <row r="18" customFormat="false" ht="15" hidden="false" customHeight="false" outlineLevel="0" collapsed="false">
      <c r="A18" s="35" t="s">
        <v>557</v>
      </c>
      <c r="B18" s="157" t="n">
        <f aca="false">$B$9</f>
        <v>1.3</v>
      </c>
      <c r="C18" s="97" t="n">
        <f aca="false">$B18*'17_p5_투자지표'!$E$7</f>
        <v>37906.7</v>
      </c>
      <c r="D18" s="76" t="n">
        <f aca="false">$C18/'05_도표1_Valuation'!$C$9-1</f>
        <v>-0.735103424178896</v>
      </c>
      <c r="E18" s="105" t="s">
        <v>568</v>
      </c>
    </row>
    <row r="19" customFormat="false" ht="15" hidden="false" customHeight="false" outlineLevel="0" collapsed="false">
      <c r="A19" s="50" t="s">
        <v>569</v>
      </c>
      <c r="B19" s="158" t="n">
        <f aca="false">'05_도표1_Valuation'!$C$9/'17_p5_투자지표'!$E$7</f>
        <v>4.90757570561405</v>
      </c>
      <c r="C19" s="97" t="n">
        <f aca="false">'05_도표1_Valuation'!$C$9</f>
        <v>143100</v>
      </c>
      <c r="D19" s="16"/>
      <c r="E19" s="68" t="s">
        <v>570</v>
      </c>
    </row>
    <row r="21" customFormat="false" ht="15" hidden="false" customHeight="false" outlineLevel="0" collapsed="false">
      <c r="A21" s="20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2" min="2" style="0" width="10"/>
    <col collapsed="false" customWidth="true" hidden="false" outlineLevel="0" max="13" min="13" style="0" width="12"/>
  </cols>
  <sheetData>
    <row r="1" customFormat="false" ht="20.1" hidden="false" customHeight="false" outlineLevel="0" collapsed="false">
      <c r="A1" s="64" t="s">
        <v>572</v>
      </c>
    </row>
    <row r="2" customFormat="false" ht="15" hidden="false" customHeight="false" outlineLevel="0" collapsed="false">
      <c r="A2" s="19" t="s">
        <v>573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49" t="s">
        <v>110</v>
      </c>
      <c r="B4" s="69" t="s">
        <v>4</v>
      </c>
      <c r="C4" s="69" t="s">
        <v>5</v>
      </c>
      <c r="D4" s="69" t="s">
        <v>6</v>
      </c>
      <c r="E4" s="69" t="s">
        <v>7</v>
      </c>
      <c r="F4" s="69" t="s">
        <v>236</v>
      </c>
      <c r="G4" s="69" t="s">
        <v>237</v>
      </c>
      <c r="H4" s="69" t="s">
        <v>238</v>
      </c>
      <c r="I4" s="69" t="s">
        <v>239</v>
      </c>
      <c r="J4" s="69" t="s">
        <v>252</v>
      </c>
      <c r="K4" s="69" t="s">
        <v>12</v>
      </c>
      <c r="L4" s="69" t="s">
        <v>241</v>
      </c>
      <c r="M4" s="49" t="s">
        <v>230</v>
      </c>
    </row>
    <row r="5" customFormat="false" ht="15" hidden="false" customHeight="false" outlineLevel="0" collapsed="false">
      <c r="A5" s="50" t="s">
        <v>15</v>
      </c>
      <c r="B5" s="160" t="n">
        <v>31.7</v>
      </c>
      <c r="C5" s="160" t="n">
        <v>51.7</v>
      </c>
      <c r="D5" s="160" t="n">
        <v>64.5</v>
      </c>
      <c r="E5" s="160" t="n">
        <v>72.3</v>
      </c>
      <c r="F5" s="161" t="n">
        <v>66.5</v>
      </c>
      <c r="G5" s="161" t="n">
        <v>71</v>
      </c>
      <c r="H5" s="161" t="n">
        <v>77.1</v>
      </c>
      <c r="I5" s="161" t="n">
        <v>88.4</v>
      </c>
      <c r="J5" s="160" t="n">
        <v>174.5</v>
      </c>
      <c r="K5" s="161" t="n">
        <v>220.1</v>
      </c>
      <c r="L5" s="161" t="n">
        <v>302.9</v>
      </c>
      <c r="M5" s="72" t="s">
        <v>242</v>
      </c>
    </row>
    <row r="6" customFormat="false" ht="15" hidden="false" customHeight="false" outlineLevel="0" collapsed="false">
      <c r="A6" s="35" t="s">
        <v>243</v>
      </c>
      <c r="B6" s="162" t="n">
        <v>-0.1</v>
      </c>
      <c r="C6" s="162" t="n">
        <v>0.04</v>
      </c>
      <c r="D6" s="162" t="n">
        <v>0.28</v>
      </c>
      <c r="E6" s="162" t="n">
        <v>0.84</v>
      </c>
      <c r="F6" s="163" t="n">
        <v>1.1</v>
      </c>
      <c r="G6" s="163" t="n">
        <v>0.37</v>
      </c>
      <c r="H6" s="163" t="n">
        <v>0.2</v>
      </c>
      <c r="I6" s="163" t="n">
        <v>0.22</v>
      </c>
      <c r="J6" s="162" t="n">
        <v>0.24</v>
      </c>
      <c r="K6" s="163" t="n">
        <v>0.26</v>
      </c>
      <c r="L6" s="163" t="n">
        <v>0.38</v>
      </c>
      <c r="M6" s="82" t="s">
        <v>244</v>
      </c>
    </row>
    <row r="7" customFormat="false" ht="15" hidden="false" customHeight="false" outlineLevel="0" collapsed="false">
      <c r="A7" s="35" t="s">
        <v>245</v>
      </c>
      <c r="B7" s="162" t="n">
        <v>-0.19</v>
      </c>
      <c r="C7" s="162" t="n">
        <v>0.63</v>
      </c>
      <c r="D7" s="162" t="n">
        <v>0.25</v>
      </c>
      <c r="E7" s="162" t="n">
        <v>0.12</v>
      </c>
      <c r="F7" s="163" t="n">
        <v>-0.08</v>
      </c>
      <c r="G7" s="163" t="n">
        <v>0.07</v>
      </c>
      <c r="H7" s="163" t="n">
        <v>0.09</v>
      </c>
      <c r="I7" s="163" t="n">
        <v>0.15</v>
      </c>
      <c r="J7" s="164"/>
      <c r="K7" s="164"/>
      <c r="L7" s="164"/>
      <c r="M7" s="82" t="s">
        <v>244</v>
      </c>
    </row>
    <row r="8" customFormat="false" ht="15" hidden="false" customHeight="false" outlineLevel="0" collapsed="false">
      <c r="A8" s="39" t="s">
        <v>16</v>
      </c>
      <c r="B8" s="136" t="n">
        <v>16.9</v>
      </c>
      <c r="C8" s="136" t="n">
        <v>33.1</v>
      </c>
      <c r="D8" s="136" t="n">
        <v>44</v>
      </c>
      <c r="E8" s="136" t="n">
        <v>54.4</v>
      </c>
      <c r="F8" s="148" t="n">
        <v>47.3</v>
      </c>
      <c r="G8" s="148" t="n">
        <v>50.6</v>
      </c>
      <c r="H8" s="148" t="n">
        <v>57.2</v>
      </c>
      <c r="I8" s="148" t="n">
        <v>62.9</v>
      </c>
      <c r="J8" s="136" t="n">
        <v>78.8</v>
      </c>
      <c r="K8" s="148" t="n">
        <v>148.4</v>
      </c>
      <c r="L8" s="148" t="n">
        <v>218.1</v>
      </c>
      <c r="M8" s="72" t="s">
        <v>242</v>
      </c>
    </row>
    <row r="9" customFormat="false" ht="15" hidden="false" customHeight="false" outlineLevel="0" collapsed="false">
      <c r="A9" s="39" t="s">
        <v>17</v>
      </c>
      <c r="B9" s="136" t="n">
        <v>9.5</v>
      </c>
      <c r="C9" s="136" t="n">
        <v>14</v>
      </c>
      <c r="D9" s="136" t="n">
        <v>13.5</v>
      </c>
      <c r="E9" s="136" t="n">
        <v>12</v>
      </c>
      <c r="F9" s="148" t="n">
        <v>9.6</v>
      </c>
      <c r="G9" s="148" t="n">
        <v>10.6</v>
      </c>
      <c r="H9" s="148" t="n">
        <v>10.6</v>
      </c>
      <c r="I9" s="148" t="n">
        <v>10</v>
      </c>
      <c r="J9" s="136" t="n">
        <v>46.1</v>
      </c>
      <c r="K9" s="148" t="n">
        <v>49</v>
      </c>
      <c r="L9" s="148" t="n">
        <v>40.8</v>
      </c>
      <c r="M9" s="72" t="s">
        <v>242</v>
      </c>
    </row>
    <row r="10" customFormat="false" ht="15" hidden="false" customHeight="false" outlineLevel="0" collapsed="false">
      <c r="A10" s="35" t="s">
        <v>18</v>
      </c>
      <c r="B10" s="136" t="n">
        <v>3.2</v>
      </c>
      <c r="C10" s="136" t="n">
        <v>3</v>
      </c>
      <c r="D10" s="136" t="n">
        <v>4.5</v>
      </c>
      <c r="E10" s="136" t="n">
        <v>3</v>
      </c>
      <c r="F10" s="148" t="n">
        <v>3.4</v>
      </c>
      <c r="G10" s="148" t="n">
        <v>3.5</v>
      </c>
      <c r="H10" s="148" t="n">
        <v>3.6</v>
      </c>
      <c r="I10" s="148" t="n">
        <v>3.4</v>
      </c>
      <c r="J10" s="136" t="n">
        <v>29.2</v>
      </c>
      <c r="K10" s="148" t="n">
        <v>13.7</v>
      </c>
      <c r="L10" s="148" t="n">
        <v>13.9</v>
      </c>
      <c r="M10" s="72" t="s">
        <v>242</v>
      </c>
    </row>
    <row r="11" customFormat="false" ht="15" hidden="false" customHeight="false" outlineLevel="0" collapsed="false">
      <c r="A11" s="39" t="s">
        <v>19</v>
      </c>
      <c r="B11" s="136" t="n">
        <v>1</v>
      </c>
      <c r="C11" s="136" t="n">
        <v>0.7</v>
      </c>
      <c r="D11" s="136" t="n">
        <v>1.5</v>
      </c>
      <c r="E11" s="136" t="n">
        <v>1.9</v>
      </c>
      <c r="F11" s="148" t="n">
        <v>3.3</v>
      </c>
      <c r="G11" s="148" t="n">
        <v>2.8</v>
      </c>
      <c r="H11" s="148" t="n">
        <v>3.4</v>
      </c>
      <c r="I11" s="148" t="n">
        <v>4.8</v>
      </c>
      <c r="J11" s="136" t="n">
        <v>8.2</v>
      </c>
      <c r="K11" s="148" t="n">
        <v>5.1</v>
      </c>
      <c r="L11" s="148" t="n">
        <v>14.3</v>
      </c>
      <c r="M11" s="72" t="s">
        <v>242</v>
      </c>
    </row>
    <row r="12" customFormat="false" ht="15" hidden="false" customHeight="false" outlineLevel="0" collapsed="false">
      <c r="A12" s="39" t="s">
        <v>20</v>
      </c>
      <c r="B12" s="136" t="n">
        <v>0.7</v>
      </c>
      <c r="C12" s="136" t="n">
        <v>0.7</v>
      </c>
      <c r="D12" s="136" t="n">
        <v>0.8</v>
      </c>
      <c r="E12" s="136" t="n">
        <v>1</v>
      </c>
      <c r="F12" s="148" t="n">
        <v>0.8</v>
      </c>
      <c r="G12" s="148" t="n">
        <v>0.8</v>
      </c>
      <c r="H12" s="148" t="n">
        <v>0.9</v>
      </c>
      <c r="I12" s="148" t="n">
        <v>0.9</v>
      </c>
      <c r="J12" s="136" t="n">
        <v>5.6</v>
      </c>
      <c r="K12" s="148" t="n">
        <v>3.2</v>
      </c>
      <c r="L12" s="148" t="n">
        <v>3.4</v>
      </c>
      <c r="M12" s="72" t="s">
        <v>242</v>
      </c>
    </row>
    <row r="13" customFormat="false" ht="15" hidden="false" customHeight="false" outlineLevel="0" collapsed="false">
      <c r="A13" s="35" t="s">
        <v>21</v>
      </c>
      <c r="B13" s="136" t="n">
        <v>0</v>
      </c>
      <c r="C13" s="136" t="n">
        <v>0</v>
      </c>
      <c r="D13" s="136" t="n">
        <v>0</v>
      </c>
      <c r="E13" s="136" t="n">
        <v>0</v>
      </c>
      <c r="F13" s="148" t="n">
        <v>0</v>
      </c>
      <c r="G13" s="148" t="n">
        <v>0</v>
      </c>
      <c r="H13" s="148" t="n">
        <v>0</v>
      </c>
      <c r="I13" s="148" t="n">
        <v>0</v>
      </c>
      <c r="J13" s="136" t="n">
        <v>4.7</v>
      </c>
      <c r="K13" s="148" t="n">
        <v>0</v>
      </c>
      <c r="L13" s="148" t="n">
        <v>0</v>
      </c>
      <c r="M13" s="72" t="s">
        <v>242</v>
      </c>
    </row>
    <row r="14" customFormat="false" ht="15" hidden="false" customHeight="false" outlineLevel="0" collapsed="false">
      <c r="A14" s="39" t="s">
        <v>22</v>
      </c>
      <c r="B14" s="136" t="n">
        <v>0.4</v>
      </c>
      <c r="C14" s="136" t="n">
        <v>0.2</v>
      </c>
      <c r="D14" s="136" t="n">
        <v>0.2</v>
      </c>
      <c r="E14" s="136" t="n">
        <v>0</v>
      </c>
      <c r="F14" s="148" t="n">
        <v>2</v>
      </c>
      <c r="G14" s="148" t="n">
        <v>2.7</v>
      </c>
      <c r="H14" s="148" t="n">
        <v>1.5</v>
      </c>
      <c r="I14" s="148" t="n">
        <v>6.3</v>
      </c>
      <c r="J14" s="136" t="n">
        <v>2</v>
      </c>
      <c r="K14" s="148" t="n">
        <v>0.8</v>
      </c>
      <c r="L14" s="148" t="n">
        <v>12.5</v>
      </c>
      <c r="M14" s="72" t="s">
        <v>242</v>
      </c>
    </row>
    <row r="15" customFormat="false" ht="15" hidden="false" customHeight="false" outlineLevel="0" collapsed="false">
      <c r="A15" s="50" t="s">
        <v>29</v>
      </c>
      <c r="B15" s="160" t="n">
        <v>7</v>
      </c>
      <c r="C15" s="160" t="n">
        <v>13.7</v>
      </c>
      <c r="D15" s="160" t="n">
        <v>17.4</v>
      </c>
      <c r="E15" s="160" t="n">
        <v>21.9</v>
      </c>
      <c r="F15" s="161" t="n">
        <v>20.6</v>
      </c>
      <c r="G15" s="161" t="n">
        <v>21.5</v>
      </c>
      <c r="H15" s="161" t="n">
        <v>22.7</v>
      </c>
      <c r="I15" s="161" t="n">
        <v>28.9</v>
      </c>
      <c r="J15" s="160" t="n">
        <v>44.8</v>
      </c>
      <c r="K15" s="161" t="n">
        <v>60</v>
      </c>
      <c r="L15" s="161" t="n">
        <v>93.7</v>
      </c>
      <c r="M15" s="72" t="s">
        <v>242</v>
      </c>
    </row>
    <row r="16" customFormat="false" ht="15" hidden="false" customHeight="false" outlineLevel="0" collapsed="false">
      <c r="A16" s="35" t="s">
        <v>243</v>
      </c>
      <c r="B16" s="162" t="n">
        <v>-0.18</v>
      </c>
      <c r="C16" s="162" t="n">
        <v>-0.08</v>
      </c>
      <c r="D16" s="162" t="n">
        <v>0.26</v>
      </c>
      <c r="E16" s="162" t="n">
        <v>1.92</v>
      </c>
      <c r="F16" s="163" t="n">
        <v>1.94</v>
      </c>
      <c r="G16" s="163" t="n">
        <v>0.57</v>
      </c>
      <c r="H16" s="163" t="n">
        <v>0.31</v>
      </c>
      <c r="I16" s="163" t="n">
        <v>0.32</v>
      </c>
      <c r="J16" s="162" t="n">
        <v>3.17</v>
      </c>
      <c r="K16" s="163" t="n">
        <v>0.34</v>
      </c>
      <c r="L16" s="163" t="n">
        <v>0.56</v>
      </c>
      <c r="M16" s="82" t="s">
        <v>244</v>
      </c>
    </row>
    <row r="17" customFormat="false" ht="15" hidden="false" customHeight="false" outlineLevel="0" collapsed="false">
      <c r="A17" s="35" t="s">
        <v>245</v>
      </c>
      <c r="B17" s="162" t="n">
        <v>-0.07</v>
      </c>
      <c r="C17" s="162" t="n">
        <v>0.96</v>
      </c>
      <c r="D17" s="162" t="n">
        <v>0.27</v>
      </c>
      <c r="E17" s="162" t="n">
        <v>0.26</v>
      </c>
      <c r="F17" s="163" t="n">
        <v>-0.06</v>
      </c>
      <c r="G17" s="163" t="n">
        <v>0.05</v>
      </c>
      <c r="H17" s="163" t="n">
        <v>0.06</v>
      </c>
      <c r="I17" s="163" t="n">
        <v>0.27</v>
      </c>
      <c r="J17" s="164"/>
      <c r="K17" s="164"/>
      <c r="L17" s="164"/>
      <c r="M17" s="82" t="s">
        <v>244</v>
      </c>
    </row>
    <row r="18" customFormat="false" ht="15" hidden="false" customHeight="false" outlineLevel="0" collapsed="false">
      <c r="A18" s="35" t="s">
        <v>246</v>
      </c>
      <c r="B18" s="162" t="n">
        <v>0.22</v>
      </c>
      <c r="C18" s="162" t="n">
        <v>0.27</v>
      </c>
      <c r="D18" s="162" t="n">
        <v>0.27</v>
      </c>
      <c r="E18" s="162" t="n">
        <v>0.3</v>
      </c>
      <c r="F18" s="163" t="n">
        <v>0.31</v>
      </c>
      <c r="G18" s="163" t="n">
        <v>0.3</v>
      </c>
      <c r="H18" s="163" t="n">
        <v>0.29</v>
      </c>
      <c r="I18" s="163" t="n">
        <v>0.33</v>
      </c>
      <c r="J18" s="162" t="n">
        <v>0.26</v>
      </c>
      <c r="K18" s="163" t="n">
        <v>0.27</v>
      </c>
      <c r="L18" s="163" t="n">
        <v>0.31</v>
      </c>
      <c r="M18" s="82" t="s">
        <v>244</v>
      </c>
    </row>
    <row r="19" customFormat="false" ht="15" hidden="false" customHeight="false" outlineLevel="0" collapsed="false">
      <c r="A19" s="19" t="s">
        <v>294</v>
      </c>
    </row>
    <row r="21" customFormat="false" ht="15" hidden="false" customHeight="false" outlineLevel="0" collapsed="false">
      <c r="A21" s="66" t="s">
        <v>496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customFormat="false" ht="15" hidden="false" customHeight="false" outlineLevel="0" collapsed="false">
      <c r="A22" s="49" t="s">
        <v>285</v>
      </c>
      <c r="B22" s="69" t="s">
        <v>4</v>
      </c>
      <c r="C22" s="69" t="s">
        <v>5</v>
      </c>
      <c r="D22" s="69" t="s">
        <v>6</v>
      </c>
      <c r="E22" s="69" t="s">
        <v>7</v>
      </c>
      <c r="F22" s="69" t="s">
        <v>236</v>
      </c>
      <c r="G22" s="69" t="s">
        <v>237</v>
      </c>
      <c r="H22" s="69" t="s">
        <v>238</v>
      </c>
      <c r="I22" s="69" t="s">
        <v>239</v>
      </c>
      <c r="J22" s="69" t="s">
        <v>252</v>
      </c>
      <c r="K22" s="69" t="s">
        <v>12</v>
      </c>
      <c r="L22" s="69" t="s">
        <v>241</v>
      </c>
      <c r="M22" s="49" t="s">
        <v>230</v>
      </c>
    </row>
    <row r="23" customFormat="false" ht="15" hidden="false" customHeight="false" outlineLevel="0" collapsed="false">
      <c r="A23" s="39" t="s">
        <v>574</v>
      </c>
      <c r="B23" s="71" t="n">
        <f aca="false">B$8+B$9+B$10+B$11+B$12+B$13+B$14</f>
        <v>31.7</v>
      </c>
      <c r="C23" s="71" t="n">
        <f aca="false">C$8+C$9+C$10+C$11+C$12+C$13+C$14</f>
        <v>51.7</v>
      </c>
      <c r="D23" s="71" t="n">
        <f aca="false">D$8+D$9+D$10+D$11+D$12+D$13+D$14</f>
        <v>64.5</v>
      </c>
      <c r="E23" s="71" t="n">
        <f aca="false">E$8+E$9+E$10+E$11+E$12+E$13+E$14</f>
        <v>72.3</v>
      </c>
      <c r="F23" s="71" t="n">
        <f aca="false">F$8+F$9+F$10+F$11+F$12+F$13+F$14</f>
        <v>66.4</v>
      </c>
      <c r="G23" s="71" t="n">
        <f aca="false">G$8+G$9+G$10+G$11+G$12+G$13+G$14</f>
        <v>71</v>
      </c>
      <c r="H23" s="71" t="n">
        <f aca="false">H$8+H$9+H$10+H$11+H$12+H$13+H$14</f>
        <v>77.2</v>
      </c>
      <c r="I23" s="71" t="n">
        <f aca="false">I$8+I$9+I$10+I$11+I$12+I$13+I$14</f>
        <v>88.3</v>
      </c>
      <c r="J23" s="71" t="n">
        <f aca="false">J$8+J$9+J$10+J$11+J$12+J$13+J$14</f>
        <v>174.6</v>
      </c>
      <c r="K23" s="71" t="n">
        <f aca="false">K$8+K$9+K$10+K$11+K$12+K$13+K$14</f>
        <v>220.2</v>
      </c>
      <c r="L23" s="71" t="n">
        <f aca="false">L$8+L$9+L$10+L$11+L$12+L$13+L$14</f>
        <v>303</v>
      </c>
      <c r="M23" s="77" t="s">
        <v>242</v>
      </c>
    </row>
    <row r="24" customFormat="false" ht="15" hidden="false" customHeight="false" outlineLevel="0" collapsed="false">
      <c r="A24" s="35" t="s">
        <v>575</v>
      </c>
      <c r="B24" s="71" t="n">
        <f aca="false">B$23-B$5</f>
        <v>0</v>
      </c>
      <c r="C24" s="71" t="n">
        <f aca="false">C$23-C$5</f>
        <v>0</v>
      </c>
      <c r="D24" s="71" t="n">
        <f aca="false">D$23-D$5</f>
        <v>0</v>
      </c>
      <c r="E24" s="71" t="n">
        <f aca="false">E$23-E$5</f>
        <v>0</v>
      </c>
      <c r="F24" s="71" t="n">
        <f aca="false">F$23-F$5</f>
        <v>-0.100000000000009</v>
      </c>
      <c r="G24" s="71" t="n">
        <f aca="false">G$23-G$5</f>
        <v>0</v>
      </c>
      <c r="H24" s="71" t="n">
        <f aca="false">H$23-H$5</f>
        <v>0.100000000000009</v>
      </c>
      <c r="I24" s="71" t="n">
        <f aca="false">I$23-I$5</f>
        <v>-0.0999999999999943</v>
      </c>
      <c r="J24" s="71" t="n">
        <f aca="false">J$23-J$5</f>
        <v>0.0999999999999659</v>
      </c>
      <c r="K24" s="71" t="n">
        <f aca="false">K$23-K$5</f>
        <v>0.0999999999999943</v>
      </c>
      <c r="L24" s="71" t="n">
        <f aca="false">L$23-L$5</f>
        <v>0.0999999999999659</v>
      </c>
      <c r="M24" s="77" t="s">
        <v>242</v>
      </c>
    </row>
    <row r="25" customFormat="false" ht="15" hidden="false" customHeight="false" outlineLevel="0" collapsed="false">
      <c r="A25" s="35" t="s">
        <v>576</v>
      </c>
      <c r="B25" s="76" t="n">
        <f aca="false">IFERROR(B$15/B$5,"")</f>
        <v>0.220820189274448</v>
      </c>
      <c r="C25" s="76" t="n">
        <f aca="false">IFERROR(C$15/C$5,"")</f>
        <v>0.264990328820116</v>
      </c>
      <c r="D25" s="76" t="n">
        <f aca="false">IFERROR(D$15/D$5,"")</f>
        <v>0.269767441860465</v>
      </c>
      <c r="E25" s="76" t="n">
        <f aca="false">IFERROR(E$15/E$5,"")</f>
        <v>0.302904564315353</v>
      </c>
      <c r="F25" s="76" t="n">
        <f aca="false">IFERROR(F$15/F$5,"")</f>
        <v>0.309774436090226</v>
      </c>
      <c r="G25" s="76" t="n">
        <f aca="false">IFERROR(G$15/G$5,"")</f>
        <v>0.302816901408451</v>
      </c>
      <c r="H25" s="76" t="n">
        <f aca="false">IFERROR(H$15/H$5,"")</f>
        <v>0.294422827496757</v>
      </c>
      <c r="I25" s="76" t="n">
        <f aca="false">IFERROR(I$15/I$5,"")</f>
        <v>0.326923076923077</v>
      </c>
      <c r="J25" s="76" t="n">
        <f aca="false">IFERROR(J$15/J$5,"")</f>
        <v>0.256733524355301</v>
      </c>
      <c r="K25" s="76" t="n">
        <f aca="false">IFERROR(K$15/K$5,"")</f>
        <v>0.272603362108133</v>
      </c>
      <c r="L25" s="76" t="n">
        <f aca="false">IFERROR(L$15/L$5,"")</f>
        <v>0.309343017497524</v>
      </c>
      <c r="M25" s="16" t="s">
        <v>244</v>
      </c>
    </row>
    <row r="26" customFormat="false" ht="15" hidden="false" customHeight="false" outlineLevel="0" collapsed="false">
      <c r="A26" s="39" t="s">
        <v>577</v>
      </c>
      <c r="B26" s="16"/>
      <c r="C26" s="75" t="n">
        <f aca="false">C$5/B$5-1</f>
        <v>0.630914826498423</v>
      </c>
      <c r="D26" s="75" t="n">
        <f aca="false">D$5/C$5-1</f>
        <v>0.247582205029014</v>
      </c>
      <c r="E26" s="75" t="n">
        <f aca="false">E$5/D$5-1</f>
        <v>0.120930232558139</v>
      </c>
      <c r="F26" s="75" t="n">
        <f aca="false">F$5/E$5-1</f>
        <v>-0.0802213001383125</v>
      </c>
      <c r="G26" s="75" t="n">
        <f aca="false">G$5/F$5-1</f>
        <v>0.0676691729323309</v>
      </c>
      <c r="H26" s="75" t="n">
        <f aca="false">H$5/G$5-1</f>
        <v>0.0859154929577464</v>
      </c>
      <c r="I26" s="75" t="n">
        <f aca="false">I$5/H$5-1</f>
        <v>0.146562905317769</v>
      </c>
      <c r="J26" s="16"/>
      <c r="K26" s="16"/>
      <c r="L26" s="16"/>
      <c r="M26" s="16" t="s">
        <v>244</v>
      </c>
    </row>
    <row r="27" customFormat="false" ht="15" hidden="false" customHeight="false" outlineLevel="0" collapsed="false">
      <c r="A27" s="39" t="s">
        <v>578</v>
      </c>
      <c r="L27" s="75" t="n">
        <f aca="false">L$5/K$5-1</f>
        <v>0.376192639709223</v>
      </c>
      <c r="M27" s="16" t="s">
        <v>244</v>
      </c>
    </row>
    <row r="28" customFormat="false" ht="15" hidden="false" customHeight="false" outlineLevel="0" collapsed="false">
      <c r="A28" s="39" t="s">
        <v>579</v>
      </c>
      <c r="L28" s="75" t="n">
        <f aca="false">L$15/K$15-1</f>
        <v>0.561666666666667</v>
      </c>
      <c r="M28" s="16" t="s">
        <v>244</v>
      </c>
    </row>
    <row r="29" customFormat="false" ht="15" hidden="false" customHeight="false" outlineLevel="0" collapsed="false">
      <c r="A29" s="39" t="s">
        <v>580</v>
      </c>
      <c r="K29" s="71" t="n">
        <f aca="false">SUM(B$5:E$5)</f>
        <v>220.2</v>
      </c>
      <c r="L29" s="71" t="n">
        <f aca="false">SUM(F$5:I$5)</f>
        <v>303</v>
      </c>
      <c r="M29" s="77" t="s">
        <v>242</v>
      </c>
    </row>
    <row r="31" customFormat="false" ht="15" hidden="false" customHeight="false" outlineLevel="0" collapsed="false">
      <c r="A31" s="20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2" min="2" style="0" width="10"/>
    <col collapsed="false" customWidth="true" hidden="false" outlineLevel="0" max="13" min="13" style="0" width="12"/>
  </cols>
  <sheetData>
    <row r="1" customFormat="false" ht="20.1" hidden="false" customHeight="false" outlineLevel="0" collapsed="false">
      <c r="A1" s="64" t="s">
        <v>582</v>
      </c>
    </row>
    <row r="2" customFormat="false" ht="15" hidden="false" customHeight="false" outlineLevel="0" collapsed="false">
      <c r="A2" s="19" t="s">
        <v>573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49" t="s">
        <v>110</v>
      </c>
      <c r="B4" s="69" t="s">
        <v>458</v>
      </c>
      <c r="C4" s="69" t="s">
        <v>459</v>
      </c>
      <c r="D4" s="69" t="s">
        <v>460</v>
      </c>
      <c r="E4" s="69" t="s">
        <v>461</v>
      </c>
      <c r="F4" s="69" t="s">
        <v>4</v>
      </c>
      <c r="G4" s="69" t="s">
        <v>5</v>
      </c>
      <c r="H4" s="69" t="s">
        <v>6</v>
      </c>
      <c r="I4" s="69" t="s">
        <v>583</v>
      </c>
      <c r="J4" s="69" t="s">
        <v>252</v>
      </c>
      <c r="K4" s="69" t="s">
        <v>240</v>
      </c>
      <c r="L4" s="69" t="s">
        <v>241</v>
      </c>
      <c r="M4" s="49" t="s">
        <v>230</v>
      </c>
    </row>
    <row r="5" customFormat="false" ht="15" hidden="false" customHeight="false" outlineLevel="0" collapsed="false">
      <c r="A5" s="50" t="s">
        <v>15</v>
      </c>
      <c r="B5" s="160" t="n">
        <v>35.1</v>
      </c>
      <c r="C5" s="160" t="n">
        <v>49.8</v>
      </c>
      <c r="D5" s="160" t="n">
        <v>50.4</v>
      </c>
      <c r="E5" s="160" t="n">
        <v>39.3</v>
      </c>
      <c r="F5" s="160" t="n">
        <v>31.7</v>
      </c>
      <c r="G5" s="160" t="n">
        <v>51.7</v>
      </c>
      <c r="H5" s="160" t="n">
        <v>64.5</v>
      </c>
      <c r="I5" s="161" t="n">
        <v>68.2</v>
      </c>
      <c r="J5" s="160" t="n">
        <v>174.5</v>
      </c>
      <c r="K5" s="161" t="n">
        <v>216.1</v>
      </c>
      <c r="L5" s="161" t="n">
        <v>301.6</v>
      </c>
      <c r="M5" s="72" t="s">
        <v>242</v>
      </c>
    </row>
    <row r="6" customFormat="false" ht="15" hidden="false" customHeight="false" outlineLevel="0" collapsed="false">
      <c r="A6" s="35" t="s">
        <v>243</v>
      </c>
      <c r="B6" s="162" t="n">
        <v>-0.24</v>
      </c>
      <c r="C6" s="162" t="n">
        <v>0.38</v>
      </c>
      <c r="D6" s="162" t="n">
        <v>0.53</v>
      </c>
      <c r="E6" s="162" t="n">
        <v>0.57</v>
      </c>
      <c r="F6" s="162" t="n">
        <v>-0.1</v>
      </c>
      <c r="G6" s="162" t="n">
        <v>0.04</v>
      </c>
      <c r="H6" s="162" t="n">
        <v>0.28</v>
      </c>
      <c r="I6" s="163" t="n">
        <v>0.74</v>
      </c>
      <c r="J6" s="162" t="n">
        <v>0.24</v>
      </c>
      <c r="K6" s="163" t="n">
        <v>0.24</v>
      </c>
      <c r="L6" s="163" t="n">
        <v>0.4</v>
      </c>
      <c r="M6" s="82" t="s">
        <v>244</v>
      </c>
    </row>
    <row r="7" customFormat="false" ht="15" hidden="false" customHeight="false" outlineLevel="0" collapsed="false">
      <c r="A7" s="35" t="s">
        <v>245</v>
      </c>
      <c r="B7" s="162" t="n">
        <v>0.41</v>
      </c>
      <c r="C7" s="162" t="n">
        <v>0.42</v>
      </c>
      <c r="D7" s="162" t="n">
        <v>0.01</v>
      </c>
      <c r="E7" s="162" t="n">
        <v>-0.22</v>
      </c>
      <c r="F7" s="162" t="n">
        <v>-0.19</v>
      </c>
      <c r="G7" s="162" t="n">
        <v>0.63</v>
      </c>
      <c r="H7" s="162" t="n">
        <v>0.25</v>
      </c>
      <c r="I7" s="163" t="n">
        <v>0.06</v>
      </c>
      <c r="J7" s="164"/>
      <c r="K7" s="164"/>
      <c r="L7" s="164"/>
      <c r="M7" s="82" t="s">
        <v>244</v>
      </c>
    </row>
    <row r="8" customFormat="false" ht="15" hidden="false" customHeight="false" outlineLevel="0" collapsed="false">
      <c r="A8" s="39" t="s">
        <v>16</v>
      </c>
      <c r="B8" s="136" t="n">
        <v>17.6</v>
      </c>
      <c r="C8" s="136" t="n">
        <v>19.8</v>
      </c>
      <c r="D8" s="136" t="n">
        <v>22.5</v>
      </c>
      <c r="E8" s="136" t="n">
        <v>19</v>
      </c>
      <c r="F8" s="136" t="n">
        <v>16.9</v>
      </c>
      <c r="G8" s="136" t="n">
        <v>33.1</v>
      </c>
      <c r="H8" s="136" t="n">
        <v>44</v>
      </c>
      <c r="I8" s="148" t="n">
        <v>48.4</v>
      </c>
      <c r="J8" s="136" t="n">
        <v>78.8</v>
      </c>
      <c r="K8" s="148" t="n">
        <v>142.4</v>
      </c>
      <c r="L8" s="148" t="n">
        <v>226.1</v>
      </c>
      <c r="M8" s="72" t="s">
        <v>242</v>
      </c>
    </row>
    <row r="9" customFormat="false" ht="15" hidden="false" customHeight="false" outlineLevel="0" collapsed="false">
      <c r="A9" s="39" t="s">
        <v>17</v>
      </c>
      <c r="B9" s="136" t="n">
        <v>10.5</v>
      </c>
      <c r="C9" s="136" t="n">
        <v>12</v>
      </c>
      <c r="D9" s="136" t="n">
        <v>15</v>
      </c>
      <c r="E9" s="136" t="n">
        <v>8.6</v>
      </c>
      <c r="F9" s="136" t="n">
        <v>9.5</v>
      </c>
      <c r="G9" s="136" t="n">
        <v>14</v>
      </c>
      <c r="H9" s="136" t="n">
        <v>13.5</v>
      </c>
      <c r="I9" s="148" t="n">
        <v>8.1</v>
      </c>
      <c r="J9" s="136" t="n">
        <v>46.1</v>
      </c>
      <c r="K9" s="148" t="n">
        <v>45.1</v>
      </c>
      <c r="L9" s="148" t="n">
        <v>34.5</v>
      </c>
      <c r="M9" s="72" t="s">
        <v>242</v>
      </c>
    </row>
    <row r="10" customFormat="false" ht="15" hidden="false" customHeight="false" outlineLevel="0" collapsed="false">
      <c r="A10" s="35" t="s">
        <v>18</v>
      </c>
      <c r="B10" s="136" t="n">
        <v>2.9</v>
      </c>
      <c r="C10" s="136" t="n">
        <v>8</v>
      </c>
      <c r="D10" s="136" t="n">
        <v>10</v>
      </c>
      <c r="E10" s="136" t="n">
        <v>8.3</v>
      </c>
      <c r="F10" s="136" t="n">
        <v>3.2</v>
      </c>
      <c r="G10" s="136" t="n">
        <v>3</v>
      </c>
      <c r="H10" s="136" t="n">
        <v>4.5</v>
      </c>
      <c r="I10" s="148" t="n">
        <v>4.8</v>
      </c>
      <c r="J10" s="136" t="n">
        <v>29.2</v>
      </c>
      <c r="K10" s="148" t="n">
        <v>15.5</v>
      </c>
      <c r="L10" s="148" t="n">
        <v>16.4</v>
      </c>
      <c r="M10" s="72" t="s">
        <v>242</v>
      </c>
    </row>
    <row r="11" customFormat="false" ht="15" hidden="false" customHeight="false" outlineLevel="0" collapsed="false">
      <c r="A11" s="39" t="s">
        <v>19</v>
      </c>
      <c r="B11" s="136" t="n">
        <v>1.8</v>
      </c>
      <c r="C11" s="136" t="n">
        <v>2</v>
      </c>
      <c r="D11" s="136" t="n">
        <v>1.5</v>
      </c>
      <c r="E11" s="136" t="n">
        <v>2.9</v>
      </c>
      <c r="F11" s="136" t="n">
        <v>1</v>
      </c>
      <c r="G11" s="136" t="n">
        <v>0.7</v>
      </c>
      <c r="H11" s="136" t="n">
        <v>1.5</v>
      </c>
      <c r="I11" s="148" t="n">
        <v>2.5</v>
      </c>
      <c r="J11" s="136" t="n">
        <v>8.2</v>
      </c>
      <c r="K11" s="148" t="n">
        <v>5.7</v>
      </c>
      <c r="L11" s="148" t="n">
        <v>11.3</v>
      </c>
      <c r="M11" s="72" t="s">
        <v>242</v>
      </c>
    </row>
    <row r="12" customFormat="false" ht="15" hidden="false" customHeight="false" outlineLevel="0" collapsed="false">
      <c r="A12" s="39" t="s">
        <v>20</v>
      </c>
      <c r="B12" s="136" t="n">
        <v>1.8</v>
      </c>
      <c r="C12" s="136" t="n">
        <v>2.8</v>
      </c>
      <c r="D12" s="136" t="n">
        <v>1</v>
      </c>
      <c r="E12" s="136" t="n">
        <v>0</v>
      </c>
      <c r="F12" s="136" t="n">
        <v>0.7</v>
      </c>
      <c r="G12" s="136" t="n">
        <v>0.7</v>
      </c>
      <c r="H12" s="136" t="n">
        <v>0.8</v>
      </c>
      <c r="I12" s="148" t="n">
        <v>0.6</v>
      </c>
      <c r="J12" s="136" t="n">
        <v>5.6</v>
      </c>
      <c r="K12" s="148" t="n">
        <v>2.8</v>
      </c>
      <c r="L12" s="148" t="n">
        <v>2.7</v>
      </c>
      <c r="M12" s="72" t="s">
        <v>242</v>
      </c>
    </row>
    <row r="13" customFormat="false" ht="15" hidden="false" customHeight="false" outlineLevel="0" collapsed="false">
      <c r="A13" s="35" t="s">
        <v>21</v>
      </c>
      <c r="B13" s="136" t="n">
        <v>0</v>
      </c>
      <c r="C13" s="136" t="n">
        <v>4.7</v>
      </c>
      <c r="D13" s="136" t="n">
        <v>0</v>
      </c>
      <c r="E13" s="136" t="n">
        <v>0</v>
      </c>
      <c r="F13" s="136" t="n">
        <v>0</v>
      </c>
      <c r="G13" s="136" t="n">
        <v>0</v>
      </c>
      <c r="H13" s="136" t="n">
        <v>0</v>
      </c>
      <c r="I13" s="148" t="n">
        <v>0</v>
      </c>
      <c r="J13" s="136" t="n">
        <v>4.7</v>
      </c>
      <c r="K13" s="148" t="n">
        <v>0</v>
      </c>
      <c r="L13" s="148" t="n">
        <v>0</v>
      </c>
      <c r="M13" s="72" t="s">
        <v>242</v>
      </c>
    </row>
    <row r="14" customFormat="false" ht="15" hidden="false" customHeight="false" outlineLevel="0" collapsed="false">
      <c r="A14" s="39" t="s">
        <v>22</v>
      </c>
      <c r="B14" s="136" t="n">
        <v>0.5</v>
      </c>
      <c r="C14" s="136" t="n">
        <v>0.5</v>
      </c>
      <c r="D14" s="136" t="n">
        <v>0.5</v>
      </c>
      <c r="E14" s="136" t="n">
        <v>0.5</v>
      </c>
      <c r="F14" s="136" t="n">
        <v>0.4</v>
      </c>
      <c r="G14" s="136" t="n">
        <v>0.2</v>
      </c>
      <c r="H14" s="136" t="n">
        <v>0.2</v>
      </c>
      <c r="I14" s="148" t="n">
        <v>3.9</v>
      </c>
      <c r="J14" s="136" t="n">
        <v>2</v>
      </c>
      <c r="K14" s="148" t="n">
        <v>4.7</v>
      </c>
      <c r="L14" s="148" t="n">
        <v>10.6</v>
      </c>
      <c r="M14" s="72" t="s">
        <v>242</v>
      </c>
    </row>
    <row r="15" customFormat="false" ht="15" hidden="false" customHeight="false" outlineLevel="0" collapsed="false">
      <c r="A15" s="50" t="s">
        <v>29</v>
      </c>
      <c r="B15" s="160" t="n">
        <v>8.6</v>
      </c>
      <c r="C15" s="160" t="n">
        <v>14.9</v>
      </c>
      <c r="D15" s="160" t="n">
        <v>13.8</v>
      </c>
      <c r="E15" s="160" t="n">
        <v>7.5</v>
      </c>
      <c r="F15" s="160" t="n">
        <v>7</v>
      </c>
      <c r="G15" s="160" t="n">
        <v>13.7</v>
      </c>
      <c r="H15" s="160" t="n">
        <v>17.4</v>
      </c>
      <c r="I15" s="161" t="n">
        <v>19.4</v>
      </c>
      <c r="J15" s="160" t="n">
        <v>44.8</v>
      </c>
      <c r="K15" s="161" t="n">
        <v>57.5</v>
      </c>
      <c r="L15" s="161" t="n">
        <v>86.5</v>
      </c>
      <c r="M15" s="72" t="s">
        <v>242</v>
      </c>
    </row>
    <row r="16" customFormat="false" ht="15" hidden="false" customHeight="false" outlineLevel="0" collapsed="false">
      <c r="A16" s="35" t="s">
        <v>243</v>
      </c>
      <c r="B16" s="162" t="n">
        <v>-0.12</v>
      </c>
      <c r="C16" s="162" t="n">
        <v>1.3</v>
      </c>
      <c r="D16" s="162" t="n">
        <v>-2.73</v>
      </c>
      <c r="E16" s="162" t="n">
        <v>2.04</v>
      </c>
      <c r="F16" s="162" t="n">
        <v>-0.18</v>
      </c>
      <c r="G16" s="162" t="n">
        <v>-0.08</v>
      </c>
      <c r="H16" s="162" t="n">
        <v>0.26</v>
      </c>
      <c r="I16" s="163" t="n">
        <v>1.59</v>
      </c>
      <c r="J16" s="162" t="n">
        <v>3.17</v>
      </c>
      <c r="K16" s="163" t="n">
        <v>0.28</v>
      </c>
      <c r="L16" s="163" t="n">
        <v>0.5</v>
      </c>
      <c r="M16" s="82" t="s">
        <v>244</v>
      </c>
    </row>
    <row r="17" customFormat="false" ht="15" hidden="false" customHeight="false" outlineLevel="0" collapsed="false">
      <c r="A17" s="35" t="s">
        <v>245</v>
      </c>
      <c r="B17" s="162" t="n">
        <v>2.47</v>
      </c>
      <c r="C17" s="162" t="n">
        <v>0.74</v>
      </c>
      <c r="D17" s="162" t="n">
        <v>-0.07</v>
      </c>
      <c r="E17" s="162" t="n">
        <v>-0.46</v>
      </c>
      <c r="F17" s="162" t="n">
        <v>-0.07</v>
      </c>
      <c r="G17" s="162" t="n">
        <v>0.96</v>
      </c>
      <c r="H17" s="162" t="n">
        <v>0.27</v>
      </c>
      <c r="I17" s="163" t="n">
        <v>0.12</v>
      </c>
      <c r="J17" s="164"/>
      <c r="K17" s="164"/>
      <c r="L17" s="164"/>
      <c r="M17" s="82" t="s">
        <v>244</v>
      </c>
    </row>
    <row r="18" customFormat="false" ht="15" hidden="false" customHeight="false" outlineLevel="0" collapsed="false">
      <c r="A18" s="35" t="s">
        <v>246</v>
      </c>
      <c r="B18" s="162" t="n">
        <v>0.24</v>
      </c>
      <c r="C18" s="162" t="n">
        <v>0.3</v>
      </c>
      <c r="D18" s="162" t="n">
        <v>0.27</v>
      </c>
      <c r="E18" s="162" t="n">
        <v>0.19</v>
      </c>
      <c r="F18" s="162" t="n">
        <v>0.22</v>
      </c>
      <c r="G18" s="162" t="n">
        <v>0.27</v>
      </c>
      <c r="H18" s="162" t="n">
        <v>0.27</v>
      </c>
      <c r="I18" s="163" t="n">
        <v>0.28</v>
      </c>
      <c r="J18" s="162" t="n">
        <v>0.26</v>
      </c>
      <c r="K18" s="163" t="n">
        <v>0.27</v>
      </c>
      <c r="L18" s="163" t="n">
        <v>0.29</v>
      </c>
      <c r="M18" s="82" t="s">
        <v>244</v>
      </c>
    </row>
    <row r="19" customFormat="false" ht="15" hidden="false" customHeight="false" outlineLevel="0" collapsed="false">
      <c r="A19" s="19" t="s">
        <v>294</v>
      </c>
    </row>
    <row r="21" customFormat="false" ht="15" hidden="false" customHeight="false" outlineLevel="0" collapsed="false">
      <c r="A21" s="66" t="s">
        <v>496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customFormat="false" ht="15" hidden="false" customHeight="false" outlineLevel="0" collapsed="false">
      <c r="A22" s="49" t="s">
        <v>285</v>
      </c>
      <c r="B22" s="69" t="s">
        <v>458</v>
      </c>
      <c r="C22" s="69" t="s">
        <v>459</v>
      </c>
      <c r="D22" s="69" t="s">
        <v>460</v>
      </c>
      <c r="E22" s="69" t="s">
        <v>461</v>
      </c>
      <c r="F22" s="69" t="s">
        <v>4</v>
      </c>
      <c r="G22" s="69" t="s">
        <v>5</v>
      </c>
      <c r="H22" s="69" t="s">
        <v>6</v>
      </c>
      <c r="I22" s="69" t="s">
        <v>583</v>
      </c>
      <c r="J22" s="69" t="s">
        <v>252</v>
      </c>
      <c r="K22" s="69" t="s">
        <v>240</v>
      </c>
      <c r="L22" s="69" t="s">
        <v>241</v>
      </c>
      <c r="M22" s="49" t="s">
        <v>230</v>
      </c>
    </row>
    <row r="23" customFormat="false" ht="15" hidden="false" customHeight="false" outlineLevel="0" collapsed="false">
      <c r="A23" s="39" t="s">
        <v>574</v>
      </c>
      <c r="B23" s="71" t="n">
        <f aca="false">B$8+B$9+B$10+B$11+B$12+B$13+B$14</f>
        <v>35.1</v>
      </c>
      <c r="C23" s="71" t="n">
        <f aca="false">C$8+C$9+C$10+C$11+C$12+C$13+C$14</f>
        <v>49.8</v>
      </c>
      <c r="D23" s="71" t="n">
        <f aca="false">D$8+D$9+D$10+D$11+D$12+D$13+D$14</f>
        <v>50.5</v>
      </c>
      <c r="E23" s="71" t="n">
        <f aca="false">E$8+E$9+E$10+E$11+E$12+E$13+E$14</f>
        <v>39.3</v>
      </c>
      <c r="F23" s="71" t="n">
        <f aca="false">F$8+F$9+F$10+F$11+F$12+F$13+F$14</f>
        <v>31.7</v>
      </c>
      <c r="G23" s="71" t="n">
        <f aca="false">G$8+G$9+G$10+G$11+G$12+G$13+G$14</f>
        <v>51.7</v>
      </c>
      <c r="H23" s="71" t="n">
        <f aca="false">H$8+H$9+H$10+H$11+H$12+H$13+H$14</f>
        <v>64.5</v>
      </c>
      <c r="I23" s="71" t="n">
        <f aca="false">I$8+I$9+I$10+I$11+I$12+I$13+I$14</f>
        <v>68.3</v>
      </c>
      <c r="J23" s="71" t="n">
        <f aca="false">J$8+J$9+J$10+J$11+J$12+J$13+J$14</f>
        <v>174.6</v>
      </c>
      <c r="K23" s="71" t="n">
        <f aca="false">K$8+K$9+K$10+K$11+K$12+K$13+K$14</f>
        <v>216.2</v>
      </c>
      <c r="L23" s="71" t="n">
        <f aca="false">L$8+L$9+L$10+L$11+L$12+L$13+L$14</f>
        <v>301.6</v>
      </c>
      <c r="M23" s="77" t="s">
        <v>242</v>
      </c>
    </row>
    <row r="24" customFormat="false" ht="15" hidden="false" customHeight="false" outlineLevel="0" collapsed="false">
      <c r="A24" s="35" t="s">
        <v>575</v>
      </c>
      <c r="B24" s="71" t="n">
        <f aca="false">B$23-B$5</f>
        <v>0</v>
      </c>
      <c r="C24" s="71" t="n">
        <f aca="false">C$23-C$5</f>
        <v>0</v>
      </c>
      <c r="D24" s="71" t="n">
        <f aca="false">D$23-D$5</f>
        <v>0.100000000000001</v>
      </c>
      <c r="E24" s="71" t="n">
        <f aca="false">E$23-E$5</f>
        <v>0</v>
      </c>
      <c r="F24" s="71" t="n">
        <f aca="false">F$23-F$5</f>
        <v>0</v>
      </c>
      <c r="G24" s="71" t="n">
        <f aca="false">G$23-G$5</f>
        <v>0</v>
      </c>
      <c r="H24" s="71" t="n">
        <f aca="false">H$23-H$5</f>
        <v>0</v>
      </c>
      <c r="I24" s="71" t="n">
        <f aca="false">I$23-I$5</f>
        <v>0.0999999999999943</v>
      </c>
      <c r="J24" s="71" t="n">
        <f aca="false">J$23-J$5</f>
        <v>0.0999999999999659</v>
      </c>
      <c r="K24" s="71" t="n">
        <f aca="false">K$23-K$5</f>
        <v>0.0999999999999943</v>
      </c>
      <c r="L24" s="71" t="n">
        <f aca="false">L$23-L$5</f>
        <v>0</v>
      </c>
      <c r="M24" s="77" t="s">
        <v>242</v>
      </c>
    </row>
    <row r="25" customFormat="false" ht="15" hidden="false" customHeight="false" outlineLevel="0" collapsed="false">
      <c r="A25" s="35" t="s">
        <v>576</v>
      </c>
      <c r="B25" s="76" t="n">
        <f aca="false">IFERROR(B$15/B$5,"")</f>
        <v>0.245014245014245</v>
      </c>
      <c r="C25" s="76" t="n">
        <f aca="false">IFERROR(C$15/C$5,"")</f>
        <v>0.299196787148594</v>
      </c>
      <c r="D25" s="76" t="n">
        <f aca="false">IFERROR(D$15/D$5,"")</f>
        <v>0.273809523809524</v>
      </c>
      <c r="E25" s="76" t="n">
        <f aca="false">IFERROR(E$15/E$5,"")</f>
        <v>0.190839694656489</v>
      </c>
      <c r="F25" s="76" t="n">
        <f aca="false">IFERROR(F$15/F$5,"")</f>
        <v>0.220820189274448</v>
      </c>
      <c r="G25" s="76" t="n">
        <f aca="false">IFERROR(G$15/G$5,"")</f>
        <v>0.264990328820116</v>
      </c>
      <c r="H25" s="76" t="n">
        <f aca="false">IFERROR(H$15/H$5,"")</f>
        <v>0.269767441860465</v>
      </c>
      <c r="I25" s="76" t="n">
        <f aca="false">IFERROR(I$15/I$5,"")</f>
        <v>0.284457478005865</v>
      </c>
      <c r="J25" s="76" t="n">
        <f aca="false">IFERROR(J$15/J$5,"")</f>
        <v>0.256733524355301</v>
      </c>
      <c r="K25" s="76" t="n">
        <f aca="false">IFERROR(K$15/K$5,"")</f>
        <v>0.266080518278575</v>
      </c>
      <c r="L25" s="76" t="n">
        <f aca="false">IFERROR(L$15/L$5,"")</f>
        <v>0.286803713527851</v>
      </c>
      <c r="M25" s="16" t="s">
        <v>244</v>
      </c>
    </row>
    <row r="26" customFormat="false" ht="15" hidden="false" customHeight="false" outlineLevel="0" collapsed="false">
      <c r="A26" s="39" t="s">
        <v>577</v>
      </c>
      <c r="B26" s="16"/>
      <c r="C26" s="75" t="n">
        <f aca="false">C$5/B$5-1</f>
        <v>0.418803418803419</v>
      </c>
      <c r="D26" s="75" t="n">
        <f aca="false">D$5/C$5-1</f>
        <v>0.0120481927710843</v>
      </c>
      <c r="E26" s="75" t="n">
        <f aca="false">E$5/D$5-1</f>
        <v>-0.220238095238095</v>
      </c>
      <c r="F26" s="75" t="n">
        <f aca="false">F$5/E$5-1</f>
        <v>-0.193384223918575</v>
      </c>
      <c r="G26" s="75" t="n">
        <f aca="false">G$5/F$5-1</f>
        <v>0.630914826498423</v>
      </c>
      <c r="H26" s="75" t="n">
        <f aca="false">H$5/G$5-1</f>
        <v>0.247582205029014</v>
      </c>
      <c r="I26" s="75" t="n">
        <f aca="false">I$5/H$5-1</f>
        <v>0.0573643410852713</v>
      </c>
      <c r="J26" s="16"/>
      <c r="K26" s="16"/>
      <c r="L26" s="16"/>
      <c r="M26" s="16" t="s">
        <v>244</v>
      </c>
    </row>
    <row r="27" customFormat="false" ht="15" hidden="false" customHeight="false" outlineLevel="0" collapsed="false">
      <c r="A27" s="39" t="s">
        <v>578</v>
      </c>
      <c r="L27" s="75" t="n">
        <f aca="false">L$5/K$5-1</f>
        <v>0.395650161962055</v>
      </c>
      <c r="M27" s="16" t="s">
        <v>244</v>
      </c>
    </row>
    <row r="28" customFormat="false" ht="15" hidden="false" customHeight="false" outlineLevel="0" collapsed="false">
      <c r="A28" s="39" t="s">
        <v>579</v>
      </c>
      <c r="L28" s="75" t="n">
        <f aca="false">L$15/K$15-1</f>
        <v>0.504347826086957</v>
      </c>
      <c r="M28" s="16" t="s">
        <v>244</v>
      </c>
    </row>
    <row r="29" customFormat="false" ht="15" hidden="false" customHeight="false" outlineLevel="0" collapsed="false">
      <c r="A29" s="39" t="s">
        <v>580</v>
      </c>
      <c r="K29" s="71" t="n">
        <f aca="false">SUM(B$5:E$5)</f>
        <v>174.6</v>
      </c>
      <c r="L29" s="71" t="n">
        <f aca="false">SUM(F$5:I$5)</f>
        <v>216.1</v>
      </c>
      <c r="M29" s="77" t="s">
        <v>242</v>
      </c>
    </row>
    <row r="31" customFormat="false" ht="15" hidden="false" customHeight="false" outlineLevel="0" collapsed="false">
      <c r="A31" s="20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6"/>
  </cols>
  <sheetData>
    <row r="1" customFormat="false" ht="20.1" hidden="false" customHeight="false" outlineLevel="0" collapsed="false">
      <c r="A1" s="64" t="s">
        <v>584</v>
      </c>
    </row>
    <row r="2" customFormat="false" ht="15" hidden="false" customHeight="false" outlineLevel="0" collapsed="false">
      <c r="A2" s="19" t="s">
        <v>585</v>
      </c>
    </row>
    <row r="3" customFormat="false" ht="15" hidden="false" customHeight="false" outlineLevel="0" collapsed="false">
      <c r="A3" s="65"/>
      <c r="B3" s="65"/>
      <c r="C3" s="65"/>
      <c r="D3" s="65"/>
    </row>
    <row r="4" customFormat="false" ht="15" hidden="false" customHeight="false" outlineLevel="0" collapsed="false">
      <c r="A4" s="49" t="s">
        <v>586</v>
      </c>
      <c r="B4" s="49" t="s">
        <v>587</v>
      </c>
      <c r="C4" s="49" t="s">
        <v>588</v>
      </c>
      <c r="D4" s="69" t="s">
        <v>589</v>
      </c>
    </row>
    <row r="5" customFormat="false" ht="48" hidden="false" customHeight="true" outlineLevel="0" collapsed="false">
      <c r="A5" s="165" t="s">
        <v>590</v>
      </c>
      <c r="B5" s="166" t="s">
        <v>591</v>
      </c>
      <c r="C5" s="167" t="s">
        <v>592</v>
      </c>
      <c r="D5" s="167" t="s">
        <v>593</v>
      </c>
    </row>
    <row r="6" customFormat="false" ht="48" hidden="false" customHeight="true" outlineLevel="0" collapsed="false">
      <c r="A6" s="165" t="s">
        <v>590</v>
      </c>
      <c r="B6" s="166" t="s">
        <v>594</v>
      </c>
      <c r="C6" s="168" t="s">
        <v>595</v>
      </c>
      <c r="D6" s="168" t="s">
        <v>596</v>
      </c>
    </row>
    <row r="7" customFormat="false" ht="48" hidden="false" customHeight="true" outlineLevel="0" collapsed="false">
      <c r="A7" s="165" t="s">
        <v>590</v>
      </c>
      <c r="B7" s="166" t="s">
        <v>597</v>
      </c>
      <c r="C7" s="168" t="s">
        <v>598</v>
      </c>
      <c r="D7" s="167" t="s">
        <v>599</v>
      </c>
    </row>
    <row r="8" customFormat="false" ht="48" hidden="false" customHeight="true" outlineLevel="0" collapsed="false">
      <c r="A8" s="165" t="s">
        <v>590</v>
      </c>
      <c r="B8" s="169" t="s">
        <v>600</v>
      </c>
      <c r="C8" s="168" t="s">
        <v>601</v>
      </c>
      <c r="D8" s="168" t="s">
        <v>602</v>
      </c>
    </row>
    <row r="9" customFormat="false" ht="48" hidden="false" customHeight="true" outlineLevel="0" collapsed="false">
      <c r="A9" s="165" t="s">
        <v>603</v>
      </c>
      <c r="B9" s="169" t="s">
        <v>604</v>
      </c>
      <c r="C9" s="168" t="s">
        <v>605</v>
      </c>
      <c r="D9" s="168" t="s">
        <v>606</v>
      </c>
    </row>
    <row r="11" customFormat="false" ht="15" hidden="false" customHeight="false" outlineLevel="0" collapsed="false">
      <c r="A11" s="19" t="s">
        <v>294</v>
      </c>
    </row>
    <row r="12" customFormat="false" ht="15" hidden="false" customHeight="false" outlineLevel="0" collapsed="false">
      <c r="A12" s="20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V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1" min="2" style="0" width="9.51"/>
    <col collapsed="false" customWidth="true" hidden="false" outlineLevel="0" max="22" min="22" style="0" width="9"/>
  </cols>
  <sheetData>
    <row r="1" customFormat="false" ht="20.1" hidden="false" customHeight="false" outlineLevel="0" collapsed="false">
      <c r="A1" s="64" t="s">
        <v>608</v>
      </c>
    </row>
    <row r="2" customFormat="false" ht="15" hidden="false" customHeight="false" outlineLevel="0" collapsed="false">
      <c r="A2" s="19" t="s">
        <v>609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customFormat="false" ht="15" hidden="false" customHeight="false" outlineLevel="0" collapsed="false">
      <c r="A4" s="49" t="s">
        <v>110</v>
      </c>
      <c r="B4" s="69" t="s">
        <v>450</v>
      </c>
      <c r="C4" s="69" t="s">
        <v>451</v>
      </c>
      <c r="D4" s="69" t="s">
        <v>452</v>
      </c>
      <c r="E4" s="69" t="s">
        <v>453</v>
      </c>
      <c r="F4" s="69" t="s">
        <v>454</v>
      </c>
      <c r="G4" s="69" t="s">
        <v>455</v>
      </c>
      <c r="H4" s="69" t="s">
        <v>456</v>
      </c>
      <c r="I4" s="69" t="s">
        <v>457</v>
      </c>
      <c r="J4" s="69" t="s">
        <v>458</v>
      </c>
      <c r="K4" s="69" t="s">
        <v>459</v>
      </c>
      <c r="L4" s="69" t="s">
        <v>460</v>
      </c>
      <c r="M4" s="69" t="s">
        <v>461</v>
      </c>
      <c r="N4" s="69" t="s">
        <v>4</v>
      </c>
      <c r="O4" s="69" t="s">
        <v>5</v>
      </c>
      <c r="P4" s="69" t="s">
        <v>6</v>
      </c>
      <c r="Q4" s="69" t="s">
        <v>7</v>
      </c>
      <c r="R4" s="69" t="s">
        <v>462</v>
      </c>
      <c r="S4" s="69" t="s">
        <v>463</v>
      </c>
      <c r="T4" s="69" t="s">
        <v>238</v>
      </c>
      <c r="U4" s="69" t="s">
        <v>239</v>
      </c>
      <c r="V4" s="49" t="s">
        <v>230</v>
      </c>
    </row>
    <row r="5" customFormat="false" ht="15" hidden="false" customHeight="false" outlineLevel="0" collapsed="false">
      <c r="A5" s="50" t="s">
        <v>610</v>
      </c>
      <c r="B5" s="170"/>
      <c r="C5" s="170"/>
      <c r="D5" s="170"/>
      <c r="E5" s="170"/>
      <c r="F5" s="160" t="n">
        <v>9.8</v>
      </c>
      <c r="G5" s="160" t="n">
        <v>6.5</v>
      </c>
      <c r="H5" s="160" t="n">
        <v>-8</v>
      </c>
      <c r="I5" s="160" t="n">
        <v>2.5</v>
      </c>
      <c r="J5" s="78" t="n">
        <f aca="false">'09_도표5_분기실적_수정전'!$B$15</f>
        <v>8.6</v>
      </c>
      <c r="K5" s="78" t="n">
        <f aca="false">'09_도표5_분기실적_수정전'!$C$15</f>
        <v>14.9</v>
      </c>
      <c r="L5" s="78" t="n">
        <f aca="false">'09_도표5_분기실적_수정전'!$D$15</f>
        <v>13.8</v>
      </c>
      <c r="M5" s="78" t="n">
        <f aca="false">'09_도표5_분기실적_수정전'!$E$15</f>
        <v>7.5</v>
      </c>
      <c r="N5" s="78" t="n">
        <f aca="false">'08_도표4_분기실적_수정후'!$B$15</f>
        <v>7</v>
      </c>
      <c r="O5" s="78" t="n">
        <f aca="false">'08_도표4_분기실적_수정후'!$C$15</f>
        <v>13.7</v>
      </c>
      <c r="P5" s="78" t="n">
        <f aca="false">'08_도표4_분기실적_수정후'!$D$15</f>
        <v>17.4</v>
      </c>
      <c r="Q5" s="78" t="n">
        <f aca="false">'08_도표4_분기실적_수정후'!$E$15</f>
        <v>21.9</v>
      </c>
      <c r="R5" s="160" t="n">
        <v>23.6</v>
      </c>
      <c r="S5" s="170"/>
      <c r="T5" s="170"/>
      <c r="U5" s="170"/>
      <c r="V5" s="72" t="s">
        <v>242</v>
      </c>
    </row>
    <row r="6" customFormat="false" ht="15" hidden="false" customHeight="false" outlineLevel="0" collapsed="false">
      <c r="A6" s="39" t="s">
        <v>611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70" t="n">
        <f aca="false">'08_도표4_분기실적_수정후'!$F$15</f>
        <v>20.6</v>
      </c>
      <c r="S6" s="70" t="n">
        <f aca="false">'08_도표4_분기실적_수정후'!$G$15</f>
        <v>21.5</v>
      </c>
      <c r="T6" s="70" t="n">
        <f aca="false">'08_도표4_분기실적_수정후'!$H$15</f>
        <v>22.7</v>
      </c>
      <c r="U6" s="70" t="n">
        <f aca="false">'08_도표4_분기실적_수정후'!$I$15</f>
        <v>28.9</v>
      </c>
      <c r="V6" s="72" t="s">
        <v>242</v>
      </c>
    </row>
    <row r="7" customFormat="false" ht="15" hidden="false" customHeight="false" outlineLevel="0" collapsed="false">
      <c r="A7" s="39" t="s">
        <v>612</v>
      </c>
      <c r="B7" s="170"/>
      <c r="C7" s="170"/>
      <c r="D7" s="170"/>
      <c r="E7" s="170"/>
      <c r="F7" s="136" t="n">
        <v>46.4</v>
      </c>
      <c r="G7" s="136" t="n">
        <v>36</v>
      </c>
      <c r="H7" s="136" t="n">
        <v>32.9</v>
      </c>
      <c r="I7" s="136" t="n">
        <v>24.9</v>
      </c>
      <c r="J7" s="70" t="n">
        <f aca="false">'09_도표5_분기실적_수정전'!$B$5</f>
        <v>35.1</v>
      </c>
      <c r="K7" s="70" t="n">
        <f aca="false">'09_도표5_분기실적_수정전'!$C$5</f>
        <v>49.8</v>
      </c>
      <c r="L7" s="70" t="n">
        <f aca="false">'09_도표5_분기실적_수정전'!$D$5</f>
        <v>50.4</v>
      </c>
      <c r="M7" s="70" t="n">
        <f aca="false">'09_도표5_분기실적_수정전'!$E$5</f>
        <v>39.3</v>
      </c>
      <c r="N7" s="70" t="n">
        <f aca="false">'08_도표4_분기실적_수정후'!$B$5</f>
        <v>31.7</v>
      </c>
      <c r="O7" s="70" t="n">
        <f aca="false">'08_도표4_분기실적_수정후'!$C$5</f>
        <v>51.7</v>
      </c>
      <c r="P7" s="70" t="n">
        <f aca="false">'08_도표4_분기실적_수정후'!$D$5</f>
        <v>64.5</v>
      </c>
      <c r="Q7" s="70" t="n">
        <f aca="false">'08_도표4_분기실적_수정후'!$E$5</f>
        <v>72.3</v>
      </c>
      <c r="R7" s="136" t="n">
        <v>68.3</v>
      </c>
      <c r="S7" s="170"/>
      <c r="T7" s="170"/>
      <c r="U7" s="170"/>
      <c r="V7" s="72" t="s">
        <v>242</v>
      </c>
    </row>
    <row r="8" customFormat="false" ht="15" hidden="false" customHeight="false" outlineLevel="0" collapsed="false">
      <c r="A8" s="35" t="s">
        <v>613</v>
      </c>
      <c r="B8" s="76" t="str">
        <f aca="false">IFERROR(B$5/B$7,"")</f>
        <v/>
      </c>
      <c r="C8" s="76" t="str">
        <f aca="false">IFERROR(C$5/C$7,"")</f>
        <v/>
      </c>
      <c r="D8" s="76" t="str">
        <f aca="false">IFERROR(D$5/D$7,"")</f>
        <v/>
      </c>
      <c r="E8" s="76" t="str">
        <f aca="false">IFERROR(E$5/E$7,"")</f>
        <v/>
      </c>
      <c r="F8" s="76" t="n">
        <f aca="false">IFERROR(F$5/F$7,"")</f>
        <v>0.211206896551724</v>
      </c>
      <c r="G8" s="76" t="n">
        <f aca="false">IFERROR(G$5/G$7,"")</f>
        <v>0.180555555555556</v>
      </c>
      <c r="H8" s="76" t="n">
        <f aca="false">IFERROR(H$5/H$7,"")</f>
        <v>-0.243161094224924</v>
      </c>
      <c r="I8" s="76" t="n">
        <f aca="false">IFERROR(I$5/I$7,"")</f>
        <v>0.100401606425703</v>
      </c>
      <c r="J8" s="76" t="n">
        <f aca="false">IFERROR(J$5/J$7,"")</f>
        <v>0.245014245014245</v>
      </c>
      <c r="K8" s="76" t="n">
        <f aca="false">IFERROR(K$5/K$7,"")</f>
        <v>0.299196787148594</v>
      </c>
      <c r="L8" s="76" t="n">
        <f aca="false">IFERROR(L$5/L$7,"")</f>
        <v>0.273809523809524</v>
      </c>
      <c r="M8" s="76" t="n">
        <f aca="false">IFERROR(M$5/M$7,"")</f>
        <v>0.190839694656489</v>
      </c>
      <c r="N8" s="76" t="n">
        <f aca="false">IFERROR(N$5/N$7,"")</f>
        <v>0.220820189274448</v>
      </c>
      <c r="O8" s="76" t="n">
        <f aca="false">IFERROR(O$5/O$7,"")</f>
        <v>0.264990328820116</v>
      </c>
      <c r="P8" s="76" t="n">
        <f aca="false">IFERROR(P$5/P$7,"")</f>
        <v>0.269767441860465</v>
      </c>
      <c r="Q8" s="76" t="n">
        <f aca="false">IFERROR(Q$5/Q$7,"")</f>
        <v>0.302904564315353</v>
      </c>
      <c r="R8" s="76" t="n">
        <f aca="false">IFERROR(R$5/R$7,"")</f>
        <v>0.345534407027818</v>
      </c>
      <c r="S8" s="76" t="str">
        <f aca="false">IFERROR(S$5/S$7,"")</f>
        <v/>
      </c>
      <c r="T8" s="76" t="str">
        <f aca="false">IFERROR(T$5/T$7,"")</f>
        <v/>
      </c>
      <c r="U8" s="76" t="str">
        <f aca="false">IFERROR(U$5/U$7,"")</f>
        <v/>
      </c>
      <c r="V8" s="16" t="s">
        <v>244</v>
      </c>
    </row>
    <row r="9" customFormat="false" ht="15" hidden="false" customHeight="false" outlineLevel="0" collapsed="false">
      <c r="A9" s="39" t="s">
        <v>464</v>
      </c>
      <c r="B9" s="113" t="n">
        <v>29750</v>
      </c>
      <c r="C9" s="113" t="n">
        <v>31200</v>
      </c>
      <c r="D9" s="113" t="n">
        <v>32200</v>
      </c>
      <c r="E9" s="113" t="n">
        <v>31350</v>
      </c>
      <c r="F9" s="113" t="n">
        <v>40000</v>
      </c>
      <c r="G9" s="113" t="n">
        <v>55200</v>
      </c>
      <c r="H9" s="113" t="n">
        <v>78800</v>
      </c>
      <c r="I9" s="113" t="n">
        <v>80300</v>
      </c>
      <c r="J9" s="113" t="n">
        <v>98000</v>
      </c>
      <c r="K9" s="113" t="n">
        <v>65500</v>
      </c>
      <c r="L9" s="113" t="n">
        <v>57900</v>
      </c>
      <c r="M9" s="113" t="n">
        <v>72100</v>
      </c>
      <c r="N9" s="113" t="n">
        <v>51800</v>
      </c>
      <c r="O9" s="113" t="n">
        <v>59800</v>
      </c>
      <c r="P9" s="113" t="n">
        <v>77800</v>
      </c>
      <c r="Q9" s="113" t="n">
        <v>111100</v>
      </c>
      <c r="R9" s="113" t="n">
        <v>233000</v>
      </c>
      <c r="S9" s="113" t="n">
        <v>181500</v>
      </c>
      <c r="T9" s="170"/>
      <c r="U9" s="170"/>
      <c r="V9" s="72" t="s">
        <v>272</v>
      </c>
    </row>
    <row r="10" customFormat="false" ht="15" hidden="false" customHeight="false" outlineLevel="0" collapsed="false">
      <c r="A10" s="39" t="s">
        <v>465</v>
      </c>
      <c r="B10" s="136" t="n">
        <v>17339.471</v>
      </c>
      <c r="C10" s="136" t="n">
        <v>17339.471</v>
      </c>
      <c r="D10" s="136" t="n">
        <v>17339.471</v>
      </c>
      <c r="E10" s="136" t="n">
        <v>17339.471</v>
      </c>
      <c r="F10" s="136" t="n">
        <v>17339.471</v>
      </c>
      <c r="G10" s="136" t="n">
        <v>17339.471</v>
      </c>
      <c r="H10" s="136" t="n">
        <v>17339.471</v>
      </c>
      <c r="I10" s="136" t="n">
        <v>21137.058</v>
      </c>
      <c r="J10" s="136" t="n">
        <v>21137.058</v>
      </c>
      <c r="K10" s="136" t="n">
        <v>21137.058</v>
      </c>
      <c r="L10" s="136" t="n">
        <v>21137.058</v>
      </c>
      <c r="M10" s="136" t="n">
        <v>21137.058</v>
      </c>
      <c r="N10" s="136" t="n">
        <v>21137.058</v>
      </c>
      <c r="O10" s="136" t="n">
        <v>21137.058</v>
      </c>
      <c r="P10" s="136" t="n">
        <v>21137.058</v>
      </c>
      <c r="Q10" s="136" t="n">
        <v>21197.058</v>
      </c>
      <c r="R10" s="136" t="n">
        <v>21197.058</v>
      </c>
      <c r="S10" s="136" t="n">
        <v>21197.058</v>
      </c>
      <c r="T10" s="170"/>
      <c r="U10" s="170"/>
      <c r="V10" s="72" t="s">
        <v>233</v>
      </c>
    </row>
    <row r="11" customFormat="false" ht="15" hidden="false" customHeight="false" outlineLevel="0" collapsed="false">
      <c r="A11" s="50" t="s">
        <v>420</v>
      </c>
      <c r="B11" s="87" t="n">
        <f aca="false">B$9*B$10/1000000</f>
        <v>515.84926225</v>
      </c>
      <c r="C11" s="87" t="n">
        <f aca="false">C$9*C$10/1000000</f>
        <v>540.9914952</v>
      </c>
      <c r="D11" s="87" t="n">
        <f aca="false">D$9*D$10/1000000</f>
        <v>558.3309662</v>
      </c>
      <c r="E11" s="87" t="n">
        <f aca="false">E$9*E$10/1000000</f>
        <v>543.59241585</v>
      </c>
      <c r="F11" s="87" t="n">
        <f aca="false">F$9*F$10/1000000</f>
        <v>693.57884</v>
      </c>
      <c r="G11" s="87" t="n">
        <f aca="false">G$9*G$10/1000000</f>
        <v>957.1387992</v>
      </c>
      <c r="H11" s="87" t="n">
        <f aca="false">H$9*H$10/1000000</f>
        <v>1366.3503148</v>
      </c>
      <c r="I11" s="87" t="n">
        <f aca="false">I$9*I$10/1000000</f>
        <v>1697.3057574</v>
      </c>
      <c r="J11" s="87" t="n">
        <f aca="false">J$9*J$10/1000000</f>
        <v>2071.431684</v>
      </c>
      <c r="K11" s="87" t="n">
        <f aca="false">K$9*K$10/1000000</f>
        <v>1384.477299</v>
      </c>
      <c r="L11" s="87" t="n">
        <f aca="false">L$9*L$10/1000000</f>
        <v>1223.8356582</v>
      </c>
      <c r="M11" s="87" t="n">
        <f aca="false">M$9*M$10/1000000</f>
        <v>1523.9818818</v>
      </c>
      <c r="N11" s="87" t="n">
        <f aca="false">N$9*N$10/1000000</f>
        <v>1094.8996044</v>
      </c>
      <c r="O11" s="87" t="n">
        <f aca="false">O$9*O$10/1000000</f>
        <v>1263.9960684</v>
      </c>
      <c r="P11" s="87" t="n">
        <f aca="false">P$9*P$10/1000000</f>
        <v>1644.4631124</v>
      </c>
      <c r="Q11" s="87" t="n">
        <f aca="false">Q$9*Q$10/1000000</f>
        <v>2354.9931438</v>
      </c>
      <c r="R11" s="87" t="n">
        <f aca="false">R$9*R$10/1000000</f>
        <v>4938.914514</v>
      </c>
      <c r="S11" s="87" t="n">
        <f aca="false">S$9*S$10/1000000</f>
        <v>3847.266027</v>
      </c>
      <c r="T11" s="170"/>
      <c r="U11" s="170"/>
      <c r="V11" s="77" t="s">
        <v>242</v>
      </c>
    </row>
    <row r="12" customFormat="false" ht="15" hidden="false" customHeight="false" outlineLevel="0" collapsed="false">
      <c r="A12" s="39" t="s">
        <v>614</v>
      </c>
      <c r="B12" s="71" t="str">
        <f aca="false">IF(B$5="","",B$5*4)</f>
        <v/>
      </c>
      <c r="C12" s="71" t="str">
        <f aca="false">IF(C$5="","",C$5*4)</f>
        <v/>
      </c>
      <c r="D12" s="71" t="str">
        <f aca="false">IF(D$5="","",D$5*4)</f>
        <v/>
      </c>
      <c r="E12" s="71" t="str">
        <f aca="false">IF(E$5="","",E$5*4)</f>
        <v/>
      </c>
      <c r="F12" s="71" t="n">
        <f aca="false">IF(F$5="","",F$5*4)</f>
        <v>39.2</v>
      </c>
      <c r="G12" s="71" t="n">
        <f aca="false">IF(G$5="","",G$5*4)</f>
        <v>26</v>
      </c>
      <c r="H12" s="71" t="n">
        <f aca="false">IF(H$5="","",H$5*4)</f>
        <v>-32</v>
      </c>
      <c r="I12" s="71" t="n">
        <f aca="false">IF(I$5="","",I$5*4)</f>
        <v>10</v>
      </c>
      <c r="J12" s="71" t="n">
        <f aca="false">IF(J$5="","",J$5*4)</f>
        <v>34.4</v>
      </c>
      <c r="K12" s="71" t="n">
        <f aca="false">IF(K$5="","",K$5*4)</f>
        <v>59.6</v>
      </c>
      <c r="L12" s="71" t="n">
        <f aca="false">IF(L$5="","",L$5*4)</f>
        <v>55.2</v>
      </c>
      <c r="M12" s="71" t="n">
        <f aca="false">IF(M$5="","",M$5*4)</f>
        <v>30</v>
      </c>
      <c r="N12" s="71" t="n">
        <f aca="false">IF(N$5="","",N$5*4)</f>
        <v>28</v>
      </c>
      <c r="O12" s="71" t="n">
        <f aca="false">IF(O$5="","",O$5*4)</f>
        <v>54.8</v>
      </c>
      <c r="P12" s="71" t="n">
        <f aca="false">IF(P$5="","",P$5*4)</f>
        <v>69.6</v>
      </c>
      <c r="Q12" s="71" t="n">
        <f aca="false">IF(Q$5="","",Q$5*4)</f>
        <v>87.6</v>
      </c>
      <c r="R12" s="71" t="n">
        <f aca="false">IF(R$5="","",R$5*4)</f>
        <v>94.4</v>
      </c>
      <c r="S12" s="71" t="str">
        <f aca="false">IF(S$5="","",S$5*4)</f>
        <v/>
      </c>
      <c r="T12" s="71" t="str">
        <f aca="false">IF(T$5="","",T$5*4)</f>
        <v/>
      </c>
      <c r="U12" s="71" t="str">
        <f aca="false">IF(U$5="","",U$5*4)</f>
        <v/>
      </c>
      <c r="V12" s="77" t="s">
        <v>242</v>
      </c>
    </row>
    <row r="13" customFormat="false" ht="15" hidden="false" customHeight="false" outlineLevel="0" collapsed="false">
      <c r="A13" s="39" t="s">
        <v>615</v>
      </c>
      <c r="B13" s="170"/>
      <c r="C13" s="170"/>
      <c r="D13" s="170"/>
      <c r="E13" s="71" t="str">
        <f aca="false">IF(COUNT(B$5:E$5)&lt;4,"",SUM(B$5:E$5))</f>
        <v/>
      </c>
      <c r="F13" s="71" t="str">
        <f aca="false">IF(COUNT(C$5:F$5)&lt;4,"",SUM(C$5:F$5))</f>
        <v/>
      </c>
      <c r="G13" s="71" t="str">
        <f aca="false">IF(COUNT(D$5:G$5)&lt;4,"",SUM(D$5:G$5))</f>
        <v/>
      </c>
      <c r="H13" s="71" t="str">
        <f aca="false">IF(COUNT(E$5:H$5)&lt;4,"",SUM(E$5:H$5))</f>
        <v/>
      </c>
      <c r="I13" s="71" t="n">
        <f aca="false">IF(COUNT(F$5:I$5)&lt;4,"",SUM(F$5:I$5))</f>
        <v>10.8</v>
      </c>
      <c r="J13" s="71" t="n">
        <f aca="false">IF(COUNT(G$5:J$5)&lt;4,"",SUM(G$5:J$5))</f>
        <v>9.6</v>
      </c>
      <c r="K13" s="71" t="n">
        <f aca="false">IF(COUNT(H$5:K$5)&lt;4,"",SUM(H$5:K$5))</f>
        <v>18</v>
      </c>
      <c r="L13" s="71" t="n">
        <f aca="false">IF(COUNT(I$5:L$5)&lt;4,"",SUM(I$5:L$5))</f>
        <v>39.8</v>
      </c>
      <c r="M13" s="71" t="n">
        <f aca="false">IF(COUNT(J$5:M$5)&lt;4,"",SUM(J$5:M$5))</f>
        <v>44.8</v>
      </c>
      <c r="N13" s="71" t="n">
        <f aca="false">IF(COUNT(K$5:N$5)&lt;4,"",SUM(K$5:N$5))</f>
        <v>43.2</v>
      </c>
      <c r="O13" s="71" t="n">
        <f aca="false">IF(COUNT(L$5:O$5)&lt;4,"",SUM(L$5:O$5))</f>
        <v>42</v>
      </c>
      <c r="P13" s="71" t="n">
        <f aca="false">IF(COUNT(M$5:P$5)&lt;4,"",SUM(M$5:P$5))</f>
        <v>45.6</v>
      </c>
      <c r="Q13" s="71" t="n">
        <f aca="false">IF(COUNT(N$5:Q$5)&lt;4,"",SUM(N$5:Q$5))</f>
        <v>60</v>
      </c>
      <c r="R13" s="71" t="n">
        <f aca="false">IF(COUNT(O$5:R$5)&lt;4,"",SUM(O$5:R$5))</f>
        <v>76.6</v>
      </c>
      <c r="S13" s="71" t="str">
        <f aca="false">IF(COUNT(P$5:S$5)&lt;4,"",SUM(P$5:S$5))</f>
        <v/>
      </c>
      <c r="T13" s="71" t="str">
        <f aca="false">IF(COUNT(Q$5:T$5)&lt;4,"",SUM(Q$5:T$5))</f>
        <v/>
      </c>
      <c r="U13" s="71" t="str">
        <f aca="false">IF(COUNT(R$5:U$5)&lt;4,"",SUM(R$5:U$5))</f>
        <v/>
      </c>
      <c r="V13" s="77" t="s">
        <v>242</v>
      </c>
    </row>
    <row r="14" customFormat="false" ht="15" hidden="false" customHeight="false" outlineLevel="0" collapsed="false">
      <c r="A14" s="50" t="s">
        <v>616</v>
      </c>
      <c r="B14" s="171" t="str">
        <f aca="false">IFERROR(B$11/B$12,"")</f>
        <v/>
      </c>
      <c r="C14" s="171" t="str">
        <f aca="false">IFERROR(C$11/C$12,"")</f>
        <v/>
      </c>
      <c r="D14" s="171" t="str">
        <f aca="false">IFERROR(D$11/D$12,"")</f>
        <v/>
      </c>
      <c r="E14" s="171" t="str">
        <f aca="false">IFERROR(E$11/E$12,"")</f>
        <v/>
      </c>
      <c r="F14" s="171" t="n">
        <f aca="false">IFERROR(F$11/F$12,"")</f>
        <v>17.693337755102</v>
      </c>
      <c r="G14" s="171" t="n">
        <f aca="false">IFERROR(G$11/G$12,"")</f>
        <v>36.8130307384615</v>
      </c>
      <c r="H14" s="171" t="n">
        <f aca="false">IFERROR(H$11/H$12,"")</f>
        <v>-42.6984473375</v>
      </c>
      <c r="I14" s="171" t="n">
        <f aca="false">IFERROR(I$11/I$12,"")</f>
        <v>169.73057574</v>
      </c>
      <c r="J14" s="171" t="n">
        <f aca="false">IFERROR(J$11/J$12,"")</f>
        <v>60.2160373255814</v>
      </c>
      <c r="K14" s="171" t="n">
        <f aca="false">IFERROR(K$11/K$12,"")</f>
        <v>23.2294848825503</v>
      </c>
      <c r="L14" s="171" t="n">
        <f aca="false">IFERROR(L$11/L$12,"")</f>
        <v>22.1709358369565</v>
      </c>
      <c r="M14" s="171" t="n">
        <f aca="false">IFERROR(M$11/M$12,"")</f>
        <v>50.79939606</v>
      </c>
      <c r="N14" s="171" t="n">
        <f aca="false">IFERROR(N$11/N$12,"")</f>
        <v>39.1035573</v>
      </c>
      <c r="O14" s="171" t="n">
        <f aca="false">IFERROR(O$11/O$12,"")</f>
        <v>23.0656216861314</v>
      </c>
      <c r="P14" s="171" t="n">
        <f aca="false">IFERROR(P$11/P$12,"")</f>
        <v>23.6273435689655</v>
      </c>
      <c r="Q14" s="171" t="n">
        <f aca="false">IFERROR(Q$11/Q$12,"")</f>
        <v>26.8834833767123</v>
      </c>
      <c r="R14" s="171" t="n">
        <f aca="false">IFERROR(R$11/R$12,"")</f>
        <v>52.3190096822034</v>
      </c>
      <c r="S14" s="171" t="str">
        <f aca="false">IFERROR(S$11/S$12,"")</f>
        <v/>
      </c>
      <c r="T14" s="171" t="str">
        <f aca="false">IFERROR(T$11/T$12,"")</f>
        <v/>
      </c>
      <c r="U14" s="171" t="str">
        <f aca="false">IFERROR(U$11/U$12,"")</f>
        <v/>
      </c>
      <c r="V14" s="77" t="s">
        <v>325</v>
      </c>
    </row>
    <row r="15" customFormat="false" ht="15" hidden="false" customHeight="false" outlineLevel="0" collapsed="false">
      <c r="A15" s="50" t="s">
        <v>617</v>
      </c>
      <c r="B15" s="171" t="str">
        <f aca="false">IFERROR(B$11/B$13,"")</f>
        <v/>
      </c>
      <c r="C15" s="171" t="str">
        <f aca="false">IFERROR(C$11/C$13,"")</f>
        <v/>
      </c>
      <c r="D15" s="171" t="str">
        <f aca="false">IFERROR(D$11/D$13,"")</f>
        <v/>
      </c>
      <c r="E15" s="171" t="str">
        <f aca="false">IFERROR(E$11/E$13,"")</f>
        <v/>
      </c>
      <c r="F15" s="171" t="str">
        <f aca="false">IFERROR(F$11/F$13,"")</f>
        <v/>
      </c>
      <c r="G15" s="171" t="str">
        <f aca="false">IFERROR(G$11/G$13,"")</f>
        <v/>
      </c>
      <c r="H15" s="171" t="str">
        <f aca="false">IFERROR(H$11/H$13,"")</f>
        <v/>
      </c>
      <c r="I15" s="171" t="n">
        <f aca="false">IFERROR(I$11/I$13,"")</f>
        <v>157.1579405</v>
      </c>
      <c r="J15" s="171" t="n">
        <f aca="false">IFERROR(J$11/J$13,"")</f>
        <v>215.77413375</v>
      </c>
      <c r="K15" s="171" t="n">
        <f aca="false">IFERROR(K$11/K$13,"")</f>
        <v>76.9154055</v>
      </c>
      <c r="L15" s="171" t="n">
        <f aca="false">IFERROR(L$11/L$13,"")</f>
        <v>30.7496396532663</v>
      </c>
      <c r="M15" s="171" t="n">
        <f aca="false">IFERROR(M$11/M$13,"")</f>
        <v>34.01745271875</v>
      </c>
      <c r="N15" s="171" t="n">
        <f aca="false">IFERROR(N$11/N$13,"")</f>
        <v>25.34489825</v>
      </c>
      <c r="O15" s="171" t="n">
        <f aca="false">IFERROR(O$11/O$13,"")</f>
        <v>30.0951444857143</v>
      </c>
      <c r="P15" s="171" t="n">
        <f aca="false">IFERROR(P$11/P$13,"")</f>
        <v>36.0627875526316</v>
      </c>
      <c r="Q15" s="171" t="n">
        <f aca="false">IFERROR(Q$11/Q$13,"")</f>
        <v>39.24988573</v>
      </c>
      <c r="R15" s="171" t="n">
        <f aca="false">IFERROR(R$11/R$13,"")</f>
        <v>64.4766907832898</v>
      </c>
      <c r="S15" s="171" t="str">
        <f aca="false">IFERROR(S$11/S$13,"")</f>
        <v/>
      </c>
      <c r="T15" s="171" t="str">
        <f aca="false">IFERROR(T$11/T$13,"")</f>
        <v/>
      </c>
      <c r="U15" s="171" t="str">
        <f aca="false">IFERROR(U$11/U$13,"")</f>
        <v/>
      </c>
      <c r="V15" s="77" t="s">
        <v>325</v>
      </c>
    </row>
    <row r="17" customFormat="false" ht="15" hidden="false" customHeight="false" outlineLevel="0" collapsed="false">
      <c r="A17" s="20" t="s">
        <v>618</v>
      </c>
    </row>
    <row r="18" customFormat="false" ht="15" hidden="false" customHeight="false" outlineLevel="0" collapsed="false">
      <c r="A18" s="20" t="s">
        <v>619</v>
      </c>
    </row>
    <row r="19" customFormat="false" ht="15" hidden="false" customHeight="false" outlineLevel="0" collapsed="false">
      <c r="A19" s="20" t="s">
        <v>620</v>
      </c>
    </row>
    <row r="20" customFormat="false" ht="15" hidden="false" customHeight="false" outlineLevel="0" collapsed="false">
      <c r="A20" s="20" t="s">
        <v>621</v>
      </c>
    </row>
    <row r="22" customFormat="false" ht="15" hidden="false" customHeight="false" outlineLevel="0" collapsed="false">
      <c r="A22" s="66" t="s">
        <v>478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customFormat="false" ht="15" hidden="false" customHeight="false" outlineLevel="0" collapsed="false">
      <c r="A23" s="144" t="s">
        <v>3</v>
      </c>
      <c r="B23" s="144" t="s">
        <v>479</v>
      </c>
      <c r="C23" s="144"/>
      <c r="D23" s="144"/>
      <c r="E23" s="144"/>
      <c r="F23" s="144"/>
      <c r="G23" s="144"/>
      <c r="H23" s="144"/>
      <c r="I23" s="145" t="s">
        <v>480</v>
      </c>
      <c r="J23" s="145"/>
      <c r="K23" s="145"/>
      <c r="L23" s="145"/>
    </row>
    <row r="24" customFormat="false" ht="30" hidden="false" customHeight="true" outlineLevel="0" collapsed="false">
      <c r="A24" s="39" t="s">
        <v>622</v>
      </c>
      <c r="B24" s="172" t="s">
        <v>623</v>
      </c>
      <c r="C24" s="172"/>
      <c r="D24" s="172"/>
      <c r="E24" s="172"/>
      <c r="F24" s="172"/>
      <c r="G24" s="172"/>
      <c r="H24" s="172"/>
      <c r="I24" s="147" t="s">
        <v>624</v>
      </c>
      <c r="J24" s="147"/>
      <c r="K24" s="147"/>
      <c r="L24" s="147"/>
    </row>
    <row r="25" customFormat="false" ht="30" hidden="false" customHeight="true" outlineLevel="0" collapsed="false">
      <c r="A25" s="39" t="s">
        <v>625</v>
      </c>
      <c r="B25" s="172" t="s">
        <v>626</v>
      </c>
      <c r="C25" s="172"/>
      <c r="D25" s="172"/>
      <c r="E25" s="172"/>
      <c r="F25" s="172"/>
      <c r="G25" s="172"/>
      <c r="H25" s="172"/>
      <c r="I25" s="173" t="s">
        <v>627</v>
      </c>
      <c r="J25" s="173"/>
      <c r="K25" s="173"/>
      <c r="L25" s="173"/>
    </row>
    <row r="26" customFormat="false" ht="30" hidden="false" customHeight="true" outlineLevel="0" collapsed="false">
      <c r="A26" s="39" t="s">
        <v>628</v>
      </c>
      <c r="B26" s="172" t="s">
        <v>629</v>
      </c>
      <c r="C26" s="172"/>
      <c r="D26" s="172"/>
      <c r="E26" s="172"/>
      <c r="F26" s="172"/>
      <c r="G26" s="172"/>
      <c r="H26" s="172"/>
      <c r="I26" s="173" t="s">
        <v>627</v>
      </c>
      <c r="J26" s="173"/>
      <c r="K26" s="173"/>
      <c r="L26" s="173"/>
    </row>
    <row r="27" customFormat="false" ht="30" hidden="false" customHeight="true" outlineLevel="0" collapsed="false">
      <c r="A27" s="39" t="s">
        <v>630</v>
      </c>
      <c r="B27" s="172" t="s">
        <v>631</v>
      </c>
      <c r="C27" s="172"/>
      <c r="D27" s="172"/>
      <c r="E27" s="172"/>
      <c r="F27" s="172"/>
      <c r="G27" s="172"/>
      <c r="H27" s="172"/>
      <c r="I27" s="147" t="s">
        <v>632</v>
      </c>
      <c r="J27" s="147"/>
      <c r="K27" s="147"/>
      <c r="L27" s="147"/>
    </row>
    <row r="28" customFormat="false" ht="30" hidden="false" customHeight="true" outlineLevel="0" collapsed="false">
      <c r="A28" s="39" t="s">
        <v>633</v>
      </c>
      <c r="B28" s="172" t="s">
        <v>634</v>
      </c>
      <c r="C28" s="172"/>
      <c r="D28" s="172"/>
      <c r="E28" s="172"/>
      <c r="F28" s="172"/>
      <c r="G28" s="172"/>
      <c r="H28" s="172"/>
      <c r="I28" s="173" t="s">
        <v>627</v>
      </c>
      <c r="J28" s="173"/>
      <c r="K28" s="173"/>
      <c r="L28" s="173"/>
    </row>
    <row r="29" customFormat="false" ht="30" hidden="false" customHeight="true" outlineLevel="0" collapsed="false">
      <c r="A29" s="39" t="s">
        <v>635</v>
      </c>
      <c r="B29" s="146" t="s">
        <v>636</v>
      </c>
      <c r="C29" s="146"/>
      <c r="D29" s="146"/>
      <c r="E29" s="146"/>
      <c r="F29" s="146"/>
      <c r="G29" s="146"/>
      <c r="H29" s="146"/>
      <c r="I29" s="147" t="s">
        <v>637</v>
      </c>
      <c r="J29" s="147"/>
      <c r="K29" s="147"/>
      <c r="L29" s="147"/>
    </row>
    <row r="72" customFormat="false" ht="15" hidden="false" customHeight="false" outlineLevel="0" collapsed="false">
      <c r="A72" s="20" t="s">
        <v>638</v>
      </c>
    </row>
    <row r="73" customFormat="false" ht="15" hidden="false" customHeight="false" outlineLevel="0" collapsed="false">
      <c r="A73" s="20" t="s">
        <v>639</v>
      </c>
    </row>
  </sheetData>
  <mergeCells count="14">
    <mergeCell ref="B23:H23"/>
    <mergeCell ref="I23:L23"/>
    <mergeCell ref="B24:H24"/>
    <mergeCell ref="I24:L24"/>
    <mergeCell ref="B25:H25"/>
    <mergeCell ref="I25:L25"/>
    <mergeCell ref="B26:H26"/>
    <mergeCell ref="I26:L26"/>
    <mergeCell ref="B27:H27"/>
    <mergeCell ref="I27:L27"/>
    <mergeCell ref="B28:H28"/>
    <mergeCell ref="I28:L28"/>
    <mergeCell ref="B29:H29"/>
    <mergeCell ref="I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9.51"/>
    <col collapsed="false" customWidth="true" hidden="false" outlineLevel="0" max="14" min="14" style="0" width="9"/>
  </cols>
  <sheetData>
    <row r="1" customFormat="false" ht="20.1" hidden="false" customHeight="false" outlineLevel="0" collapsed="false">
      <c r="A1" s="64" t="s">
        <v>640</v>
      </c>
    </row>
    <row r="2" customFormat="false" ht="15" hidden="false" customHeight="false" outlineLevel="0" collapsed="false">
      <c r="A2" s="19" t="s">
        <v>641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642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110</v>
      </c>
      <c r="B5" s="69" t="s">
        <v>458</v>
      </c>
      <c r="C5" s="69" t="s">
        <v>459</v>
      </c>
      <c r="D5" s="69" t="s">
        <v>460</v>
      </c>
      <c r="E5" s="69" t="s">
        <v>461</v>
      </c>
      <c r="F5" s="69" t="s">
        <v>4</v>
      </c>
      <c r="G5" s="69" t="s">
        <v>5</v>
      </c>
      <c r="H5" s="69" t="s">
        <v>6</v>
      </c>
      <c r="I5" s="69" t="s">
        <v>7</v>
      </c>
      <c r="J5" s="69" t="s">
        <v>236</v>
      </c>
      <c r="K5" s="69" t="s">
        <v>237</v>
      </c>
      <c r="L5" s="69" t="s">
        <v>238</v>
      </c>
      <c r="M5" s="69" t="s">
        <v>239</v>
      </c>
    </row>
    <row r="6" customFormat="false" ht="15" hidden="false" customHeight="false" outlineLevel="0" collapsed="false">
      <c r="A6" s="50" t="s">
        <v>15</v>
      </c>
      <c r="B6" s="78" t="n">
        <f aca="false">'09_도표5_분기실적_수정전'!$B$5</f>
        <v>35.1</v>
      </c>
      <c r="C6" s="78" t="n">
        <f aca="false">'09_도표5_분기실적_수정전'!$C$5</f>
        <v>49.8</v>
      </c>
      <c r="D6" s="78" t="n">
        <f aca="false">'09_도표5_분기실적_수정전'!$D$5</f>
        <v>50.4</v>
      </c>
      <c r="E6" s="78" t="n">
        <f aca="false">'09_도표5_분기실적_수정전'!$E$5</f>
        <v>39.3</v>
      </c>
      <c r="F6" s="78" t="n">
        <f aca="false">'08_도표4_분기실적_수정후'!$B$5</f>
        <v>31.7</v>
      </c>
      <c r="G6" s="78" t="n">
        <f aca="false">'08_도표4_분기실적_수정후'!$C$5</f>
        <v>51.7</v>
      </c>
      <c r="H6" s="78" t="n">
        <f aca="false">'08_도표4_분기실적_수정후'!$D$5</f>
        <v>64.5</v>
      </c>
      <c r="I6" s="78" t="n">
        <f aca="false">'08_도표4_분기실적_수정후'!$E$5</f>
        <v>72.3</v>
      </c>
      <c r="J6" s="78" t="n">
        <f aca="false">'08_도표4_분기실적_수정후'!$F$5</f>
        <v>66.5</v>
      </c>
      <c r="K6" s="78" t="n">
        <f aca="false">'08_도표4_분기실적_수정후'!$G$5</f>
        <v>71</v>
      </c>
      <c r="L6" s="78" t="n">
        <f aca="false">'08_도표4_분기실적_수정후'!$H$5</f>
        <v>77.1</v>
      </c>
      <c r="M6" s="78" t="n">
        <f aca="false">'08_도표4_분기실적_수정후'!$I$5</f>
        <v>88.4</v>
      </c>
    </row>
    <row r="7" customFormat="false" ht="15" hidden="false" customHeight="false" outlineLevel="0" collapsed="false">
      <c r="A7" s="12" t="s">
        <v>16</v>
      </c>
      <c r="B7" s="70" t="n">
        <f aca="false">'09_도표5_분기실적_수정전'!$B$8</f>
        <v>17.6</v>
      </c>
      <c r="C7" s="70" t="n">
        <f aca="false">'09_도표5_분기실적_수정전'!$C$8</f>
        <v>19.8</v>
      </c>
      <c r="D7" s="70" t="n">
        <f aca="false">'09_도표5_분기실적_수정전'!$D$8</f>
        <v>22.5</v>
      </c>
      <c r="E7" s="70" t="n">
        <f aca="false">'09_도표5_분기실적_수정전'!$E$8</f>
        <v>19</v>
      </c>
      <c r="F7" s="70" t="n">
        <f aca="false">'08_도표4_분기실적_수정후'!$B$8</f>
        <v>16.9</v>
      </c>
      <c r="G7" s="70" t="n">
        <f aca="false">'08_도표4_분기실적_수정후'!$C$8</f>
        <v>33.1</v>
      </c>
      <c r="H7" s="70" t="n">
        <f aca="false">'08_도표4_분기실적_수정후'!$D$8</f>
        <v>44</v>
      </c>
      <c r="I7" s="70" t="n">
        <f aca="false">'08_도표4_분기실적_수정후'!$E$8</f>
        <v>54.4</v>
      </c>
      <c r="J7" s="70" t="n">
        <f aca="false">'08_도표4_분기실적_수정후'!$F$8</f>
        <v>47.3</v>
      </c>
      <c r="K7" s="70" t="n">
        <f aca="false">'08_도표4_분기실적_수정후'!$G$8</f>
        <v>50.6</v>
      </c>
      <c r="L7" s="70" t="n">
        <f aca="false">'08_도표4_분기실적_수정후'!$H$8</f>
        <v>57.2</v>
      </c>
      <c r="M7" s="70" t="n">
        <f aca="false">'08_도표4_분기실적_수정후'!$I$8</f>
        <v>62.9</v>
      </c>
    </row>
    <row r="8" customFormat="false" ht="15" hidden="false" customHeight="false" outlineLevel="0" collapsed="false">
      <c r="A8" s="12" t="s">
        <v>17</v>
      </c>
      <c r="B8" s="70" t="n">
        <f aca="false">'09_도표5_분기실적_수정전'!$B$9</f>
        <v>10.5</v>
      </c>
      <c r="C8" s="70" t="n">
        <f aca="false">'09_도표5_분기실적_수정전'!$C$9</f>
        <v>12</v>
      </c>
      <c r="D8" s="70" t="n">
        <f aca="false">'09_도표5_분기실적_수정전'!$D$9</f>
        <v>15</v>
      </c>
      <c r="E8" s="70" t="n">
        <f aca="false">'09_도표5_분기실적_수정전'!$E$9</f>
        <v>8.6</v>
      </c>
      <c r="F8" s="70" t="n">
        <f aca="false">'08_도표4_분기실적_수정후'!$B$9</f>
        <v>9.5</v>
      </c>
      <c r="G8" s="70" t="n">
        <f aca="false">'08_도표4_분기실적_수정후'!$C$9</f>
        <v>14</v>
      </c>
      <c r="H8" s="70" t="n">
        <f aca="false">'08_도표4_분기실적_수정후'!$D$9</f>
        <v>13.5</v>
      </c>
      <c r="I8" s="70" t="n">
        <f aca="false">'08_도표4_분기실적_수정후'!$E$9</f>
        <v>12</v>
      </c>
      <c r="J8" s="70" t="n">
        <f aca="false">'08_도표4_분기실적_수정후'!$F$9</f>
        <v>9.6</v>
      </c>
      <c r="K8" s="70" t="n">
        <f aca="false">'08_도표4_분기실적_수정후'!$G$9</f>
        <v>10.6</v>
      </c>
      <c r="L8" s="70" t="n">
        <f aca="false">'08_도표4_분기실적_수정후'!$H$9</f>
        <v>10.6</v>
      </c>
      <c r="M8" s="70" t="n">
        <f aca="false">'08_도표4_분기실적_수정후'!$I$9</f>
        <v>10</v>
      </c>
    </row>
    <row r="9" customFormat="false" ht="15" hidden="false" customHeight="false" outlineLevel="0" collapsed="false">
      <c r="A9" s="15" t="s">
        <v>18</v>
      </c>
      <c r="B9" s="70" t="n">
        <f aca="false">'09_도표5_분기실적_수정전'!$B$10</f>
        <v>2.9</v>
      </c>
      <c r="C9" s="70" t="n">
        <f aca="false">'09_도표5_분기실적_수정전'!$C$10</f>
        <v>8</v>
      </c>
      <c r="D9" s="70" t="n">
        <f aca="false">'09_도표5_분기실적_수정전'!$D$10</f>
        <v>10</v>
      </c>
      <c r="E9" s="70" t="n">
        <f aca="false">'09_도표5_분기실적_수정전'!$E$10</f>
        <v>8.3</v>
      </c>
      <c r="F9" s="70" t="n">
        <f aca="false">'08_도표4_분기실적_수정후'!$B$10</f>
        <v>3.2</v>
      </c>
      <c r="G9" s="70" t="n">
        <f aca="false">'08_도표4_분기실적_수정후'!$C$10</f>
        <v>3</v>
      </c>
      <c r="H9" s="70" t="n">
        <f aca="false">'08_도표4_분기실적_수정후'!$D$10</f>
        <v>4.5</v>
      </c>
      <c r="I9" s="70" t="n">
        <f aca="false">'08_도표4_분기실적_수정후'!$E$10</f>
        <v>3</v>
      </c>
      <c r="J9" s="70" t="n">
        <f aca="false">'08_도표4_분기실적_수정후'!$F$10</f>
        <v>3.4</v>
      </c>
      <c r="K9" s="70" t="n">
        <f aca="false">'08_도표4_분기실적_수정후'!$G$10</f>
        <v>3.5</v>
      </c>
      <c r="L9" s="70" t="n">
        <f aca="false">'08_도표4_분기실적_수정후'!$H$10</f>
        <v>3.6</v>
      </c>
      <c r="M9" s="70" t="n">
        <f aca="false">'08_도표4_분기실적_수정후'!$I$10</f>
        <v>3.4</v>
      </c>
    </row>
    <row r="10" customFormat="false" ht="15" hidden="false" customHeight="false" outlineLevel="0" collapsed="false">
      <c r="A10" s="12" t="s">
        <v>19</v>
      </c>
      <c r="B10" s="70" t="n">
        <f aca="false">'09_도표5_분기실적_수정전'!$B$11</f>
        <v>1.8</v>
      </c>
      <c r="C10" s="70" t="n">
        <f aca="false">'09_도표5_분기실적_수정전'!$C$11</f>
        <v>2</v>
      </c>
      <c r="D10" s="70" t="n">
        <f aca="false">'09_도표5_분기실적_수정전'!$D$11</f>
        <v>1.5</v>
      </c>
      <c r="E10" s="70" t="n">
        <f aca="false">'09_도표5_분기실적_수정전'!$E$11</f>
        <v>2.9</v>
      </c>
      <c r="F10" s="70" t="n">
        <f aca="false">'08_도표4_분기실적_수정후'!$B$11</f>
        <v>1</v>
      </c>
      <c r="G10" s="70" t="n">
        <f aca="false">'08_도표4_분기실적_수정후'!$C$11</f>
        <v>0.7</v>
      </c>
      <c r="H10" s="70" t="n">
        <f aca="false">'08_도표4_분기실적_수정후'!$D$11</f>
        <v>1.5</v>
      </c>
      <c r="I10" s="70" t="n">
        <f aca="false">'08_도표4_분기실적_수정후'!$E$11</f>
        <v>1.9</v>
      </c>
      <c r="J10" s="70" t="n">
        <f aca="false">'08_도표4_분기실적_수정후'!$F$11</f>
        <v>3.3</v>
      </c>
      <c r="K10" s="70" t="n">
        <f aca="false">'08_도표4_분기실적_수정후'!$G$11</f>
        <v>2.8</v>
      </c>
      <c r="L10" s="70" t="n">
        <f aca="false">'08_도표4_분기실적_수정후'!$H$11</f>
        <v>3.4</v>
      </c>
      <c r="M10" s="70" t="n">
        <f aca="false">'08_도표4_분기실적_수정후'!$I$11</f>
        <v>4.8</v>
      </c>
    </row>
    <row r="11" customFormat="false" ht="15" hidden="false" customHeight="false" outlineLevel="0" collapsed="false">
      <c r="A11" s="12" t="s">
        <v>20</v>
      </c>
      <c r="B11" s="70" t="n">
        <f aca="false">'09_도표5_분기실적_수정전'!$B$12</f>
        <v>1.8</v>
      </c>
      <c r="C11" s="70" t="n">
        <f aca="false">'09_도표5_분기실적_수정전'!$C$12</f>
        <v>2.8</v>
      </c>
      <c r="D11" s="70" t="n">
        <f aca="false">'09_도표5_분기실적_수정전'!$D$12</f>
        <v>1</v>
      </c>
      <c r="E11" s="70" t="n">
        <f aca="false">'09_도표5_분기실적_수정전'!$E$12</f>
        <v>0</v>
      </c>
      <c r="F11" s="70" t="n">
        <f aca="false">'08_도표4_분기실적_수정후'!$B$12</f>
        <v>0.7</v>
      </c>
      <c r="G11" s="70" t="n">
        <f aca="false">'08_도표4_분기실적_수정후'!$C$12</f>
        <v>0.7</v>
      </c>
      <c r="H11" s="70" t="n">
        <f aca="false">'08_도표4_분기실적_수정후'!$D$12</f>
        <v>0.8</v>
      </c>
      <c r="I11" s="70" t="n">
        <f aca="false">'08_도표4_분기실적_수정후'!$E$12</f>
        <v>1</v>
      </c>
      <c r="J11" s="70" t="n">
        <f aca="false">'08_도표4_분기실적_수정후'!$F$12</f>
        <v>0.8</v>
      </c>
      <c r="K11" s="70" t="n">
        <f aca="false">'08_도표4_분기실적_수정후'!$G$12</f>
        <v>0.8</v>
      </c>
      <c r="L11" s="70" t="n">
        <f aca="false">'08_도표4_분기실적_수정후'!$H$12</f>
        <v>0.9</v>
      </c>
      <c r="M11" s="70" t="n">
        <f aca="false">'08_도표4_분기실적_수정후'!$I$12</f>
        <v>0.9</v>
      </c>
    </row>
    <row r="12" customFormat="false" ht="15" hidden="false" customHeight="false" outlineLevel="0" collapsed="false">
      <c r="A12" s="15" t="s">
        <v>21</v>
      </c>
      <c r="B12" s="70" t="n">
        <f aca="false">'09_도표5_분기실적_수정전'!$B$13</f>
        <v>0</v>
      </c>
      <c r="C12" s="70" t="n">
        <f aca="false">'09_도표5_분기실적_수정전'!$C$13</f>
        <v>4.7</v>
      </c>
      <c r="D12" s="70" t="n">
        <f aca="false">'09_도표5_분기실적_수정전'!$D$13</f>
        <v>0</v>
      </c>
      <c r="E12" s="70" t="n">
        <f aca="false">'09_도표5_분기실적_수정전'!$E$13</f>
        <v>0</v>
      </c>
      <c r="F12" s="70" t="n">
        <f aca="false">'08_도표4_분기실적_수정후'!$B$13</f>
        <v>0</v>
      </c>
      <c r="G12" s="70" t="n">
        <f aca="false">'08_도표4_분기실적_수정후'!$C$13</f>
        <v>0</v>
      </c>
      <c r="H12" s="70" t="n">
        <f aca="false">'08_도표4_분기실적_수정후'!$D$13</f>
        <v>0</v>
      </c>
      <c r="I12" s="70" t="n">
        <f aca="false">'08_도표4_분기실적_수정후'!$E$13</f>
        <v>0</v>
      </c>
      <c r="J12" s="70" t="n">
        <f aca="false">'08_도표4_분기실적_수정후'!$F$13</f>
        <v>0</v>
      </c>
      <c r="K12" s="70" t="n">
        <f aca="false">'08_도표4_분기실적_수정후'!$G$13</f>
        <v>0</v>
      </c>
      <c r="L12" s="70" t="n">
        <f aca="false">'08_도표4_분기실적_수정후'!$H$13</f>
        <v>0</v>
      </c>
      <c r="M12" s="70" t="n">
        <f aca="false">'08_도표4_분기실적_수정후'!$I$13</f>
        <v>0</v>
      </c>
    </row>
    <row r="13" customFormat="false" ht="15" hidden="false" customHeight="false" outlineLevel="0" collapsed="false">
      <c r="A13" s="12" t="s">
        <v>22</v>
      </c>
      <c r="B13" s="70" t="n">
        <f aca="false">'09_도표5_분기실적_수정전'!$B$14</f>
        <v>0.5</v>
      </c>
      <c r="C13" s="70" t="n">
        <f aca="false">'09_도표5_분기실적_수정전'!$C$14</f>
        <v>0.5</v>
      </c>
      <c r="D13" s="70" t="n">
        <f aca="false">'09_도표5_분기실적_수정전'!$D$14</f>
        <v>0.5</v>
      </c>
      <c r="E13" s="70" t="n">
        <f aca="false">'09_도표5_분기실적_수정전'!$E$14</f>
        <v>0.5</v>
      </c>
      <c r="F13" s="70" t="n">
        <f aca="false">'08_도표4_분기실적_수정후'!$B$14</f>
        <v>0.4</v>
      </c>
      <c r="G13" s="70" t="n">
        <f aca="false">'08_도표4_분기실적_수정후'!$C$14</f>
        <v>0.2</v>
      </c>
      <c r="H13" s="70" t="n">
        <f aca="false">'08_도표4_분기실적_수정후'!$D$14</f>
        <v>0.2</v>
      </c>
      <c r="I13" s="70" t="n">
        <f aca="false">'08_도표4_분기실적_수정후'!$E$14</f>
        <v>0</v>
      </c>
      <c r="J13" s="70" t="n">
        <f aca="false">'08_도표4_분기실적_수정후'!$F$14</f>
        <v>2</v>
      </c>
      <c r="K13" s="70" t="n">
        <f aca="false">'08_도표4_분기실적_수정후'!$G$14</f>
        <v>2.7</v>
      </c>
      <c r="L13" s="70" t="n">
        <f aca="false">'08_도표4_분기실적_수정후'!$H$14</f>
        <v>1.5</v>
      </c>
      <c r="M13" s="70" t="n">
        <f aca="false">'08_도표4_분기실적_수정후'!$I$14</f>
        <v>6.3</v>
      </c>
    </row>
    <row r="15" customFormat="false" ht="15" hidden="false" customHeight="false" outlineLevel="0" collapsed="false">
      <c r="A15" s="66" t="s">
        <v>643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customFormat="false" ht="15" hidden="false" customHeight="false" outlineLevel="0" collapsed="false">
      <c r="A16" s="49" t="s">
        <v>110</v>
      </c>
      <c r="B16" s="69" t="s">
        <v>458</v>
      </c>
      <c r="C16" s="69" t="s">
        <v>459</v>
      </c>
      <c r="D16" s="69" t="s">
        <v>460</v>
      </c>
      <c r="E16" s="69" t="s">
        <v>461</v>
      </c>
      <c r="F16" s="69" t="s">
        <v>4</v>
      </c>
      <c r="G16" s="69" t="s">
        <v>5</v>
      </c>
      <c r="H16" s="69" t="s">
        <v>6</v>
      </c>
      <c r="I16" s="69" t="s">
        <v>7</v>
      </c>
      <c r="J16" s="69" t="s">
        <v>236</v>
      </c>
      <c r="K16" s="69" t="s">
        <v>237</v>
      </c>
      <c r="L16" s="69" t="s">
        <v>238</v>
      </c>
      <c r="M16" s="69" t="s">
        <v>239</v>
      </c>
    </row>
    <row r="17" customFormat="false" ht="15" hidden="false" customHeight="false" outlineLevel="0" collapsed="false">
      <c r="A17" s="12" t="s">
        <v>644</v>
      </c>
      <c r="B17" s="76" t="n">
        <f aca="false">IFERROR(B$7/B$6,0)</f>
        <v>0.501424501424502</v>
      </c>
      <c r="C17" s="76" t="n">
        <f aca="false">IFERROR(C$7/C$6,0)</f>
        <v>0.397590361445783</v>
      </c>
      <c r="D17" s="76" t="n">
        <f aca="false">IFERROR(D$7/D$6,0)</f>
        <v>0.446428571428571</v>
      </c>
      <c r="E17" s="76" t="n">
        <f aca="false">IFERROR(E$7/E$6,0)</f>
        <v>0.483460559796438</v>
      </c>
      <c r="F17" s="76" t="n">
        <f aca="false">IFERROR(F$7/F$6,0)</f>
        <v>0.533123028391167</v>
      </c>
      <c r="G17" s="76" t="n">
        <f aca="false">IFERROR(G$7/G$6,0)</f>
        <v>0.640232108317215</v>
      </c>
      <c r="H17" s="76" t="n">
        <f aca="false">IFERROR(H$7/H$6,0)</f>
        <v>0.682170542635659</v>
      </c>
      <c r="I17" s="76" t="n">
        <f aca="false">IFERROR(I$7/I$6,0)</f>
        <v>0.752420470262794</v>
      </c>
      <c r="J17" s="76" t="n">
        <f aca="false">IFERROR(J$7/J$6,0)</f>
        <v>0.711278195488722</v>
      </c>
      <c r="K17" s="76" t="n">
        <f aca="false">IFERROR(K$7/K$6,0)</f>
        <v>0.712676056338028</v>
      </c>
      <c r="L17" s="76" t="n">
        <f aca="false">IFERROR(L$7/L$6,0)</f>
        <v>0.74189364461738</v>
      </c>
      <c r="M17" s="76" t="n">
        <f aca="false">IFERROR(M$7/M$6,0)</f>
        <v>0.711538461538462</v>
      </c>
    </row>
    <row r="18" customFormat="false" ht="15" hidden="false" customHeight="false" outlineLevel="0" collapsed="false">
      <c r="A18" s="12" t="s">
        <v>645</v>
      </c>
      <c r="B18" s="76" t="n">
        <f aca="false">IFERROR(B$8/B$6,0)</f>
        <v>0.299145299145299</v>
      </c>
      <c r="C18" s="76" t="n">
        <f aca="false">IFERROR(C$8/C$6,0)</f>
        <v>0.240963855421687</v>
      </c>
      <c r="D18" s="76" t="n">
        <f aca="false">IFERROR(D$8/D$6,0)</f>
        <v>0.297619047619048</v>
      </c>
      <c r="E18" s="76" t="n">
        <f aca="false">IFERROR(E$8/E$6,0)</f>
        <v>0.21882951653944</v>
      </c>
      <c r="F18" s="76" t="n">
        <f aca="false">IFERROR(F$8/F$6,0)</f>
        <v>0.299684542586751</v>
      </c>
      <c r="G18" s="76" t="n">
        <f aca="false">IFERROR(G$8/G$6,0)</f>
        <v>0.270793036750484</v>
      </c>
      <c r="H18" s="76" t="n">
        <f aca="false">IFERROR(H$8/H$6,0)</f>
        <v>0.209302325581395</v>
      </c>
      <c r="I18" s="76" t="n">
        <f aca="false">IFERROR(I$8/I$6,0)</f>
        <v>0.16597510373444</v>
      </c>
      <c r="J18" s="76" t="n">
        <f aca="false">IFERROR(J$8/J$6,0)</f>
        <v>0.144360902255639</v>
      </c>
      <c r="K18" s="76" t="n">
        <f aca="false">IFERROR(K$8/K$6,0)</f>
        <v>0.149295774647887</v>
      </c>
      <c r="L18" s="76" t="n">
        <f aca="false">IFERROR(L$8/L$6,0)</f>
        <v>0.137483787289235</v>
      </c>
      <c r="M18" s="76" t="n">
        <f aca="false">IFERROR(M$8/M$6,0)</f>
        <v>0.113122171945701</v>
      </c>
    </row>
    <row r="19" customFormat="false" ht="15" hidden="false" customHeight="false" outlineLevel="0" collapsed="false">
      <c r="A19" s="15" t="s">
        <v>646</v>
      </c>
      <c r="B19" s="76" t="n">
        <f aca="false">IFERROR(B$9/B$6,0)</f>
        <v>0.0826210826210826</v>
      </c>
      <c r="C19" s="76" t="n">
        <f aca="false">IFERROR(C$9/C$6,0)</f>
        <v>0.160642570281125</v>
      </c>
      <c r="D19" s="76" t="n">
        <f aca="false">IFERROR(D$9/D$6,0)</f>
        <v>0.198412698412698</v>
      </c>
      <c r="E19" s="76" t="n">
        <f aca="false">IFERROR(E$9/E$6,0)</f>
        <v>0.211195928753181</v>
      </c>
      <c r="F19" s="76" t="n">
        <f aca="false">IFERROR(F$9/F$6,0)</f>
        <v>0.100946372239748</v>
      </c>
      <c r="G19" s="76" t="n">
        <f aca="false">IFERROR(G$9/G$6,0)</f>
        <v>0.058027079303675</v>
      </c>
      <c r="H19" s="76" t="n">
        <f aca="false">IFERROR(H$9/H$6,0)</f>
        <v>0.0697674418604651</v>
      </c>
      <c r="I19" s="76" t="n">
        <f aca="false">IFERROR(I$9/I$6,0)</f>
        <v>0.04149377593361</v>
      </c>
      <c r="J19" s="76" t="n">
        <f aca="false">IFERROR(J$9/J$6,0)</f>
        <v>0.0511278195488722</v>
      </c>
      <c r="K19" s="76" t="n">
        <f aca="false">IFERROR(K$9/K$6,0)</f>
        <v>0.0492957746478873</v>
      </c>
      <c r="L19" s="76" t="n">
        <f aca="false">IFERROR(L$9/L$6,0)</f>
        <v>0.0466926070038911</v>
      </c>
      <c r="M19" s="76" t="n">
        <f aca="false">IFERROR(M$9/M$6,0)</f>
        <v>0.0384615384615385</v>
      </c>
    </row>
    <row r="20" customFormat="false" ht="15" hidden="false" customHeight="false" outlineLevel="0" collapsed="false">
      <c r="A20" s="12" t="s">
        <v>647</v>
      </c>
      <c r="B20" s="76" t="n">
        <f aca="false">IFERROR(B$10/B$6,0)</f>
        <v>0.0512820512820513</v>
      </c>
      <c r="C20" s="76" t="n">
        <f aca="false">IFERROR(C$10/C$6,0)</f>
        <v>0.0401606425702811</v>
      </c>
      <c r="D20" s="76" t="n">
        <f aca="false">IFERROR(D$10/D$6,0)</f>
        <v>0.0297619047619048</v>
      </c>
      <c r="E20" s="76" t="n">
        <f aca="false">IFERROR(E$10/E$6,0)</f>
        <v>0.0737913486005089</v>
      </c>
      <c r="F20" s="76" t="n">
        <f aca="false">IFERROR(F$10/F$6,0)</f>
        <v>0.0315457413249211</v>
      </c>
      <c r="G20" s="76" t="n">
        <f aca="false">IFERROR(G$10/G$6,0)</f>
        <v>0.0135396518375242</v>
      </c>
      <c r="H20" s="76" t="n">
        <f aca="false">IFERROR(H$10/H$6,0)</f>
        <v>0.0232558139534884</v>
      </c>
      <c r="I20" s="76" t="n">
        <f aca="false">IFERROR(I$10/I$6,0)</f>
        <v>0.0262793914246196</v>
      </c>
      <c r="J20" s="76" t="n">
        <f aca="false">IFERROR(J$10/J$6,0)</f>
        <v>0.0496240601503759</v>
      </c>
      <c r="K20" s="76" t="n">
        <f aca="false">IFERROR(K$10/K$6,0)</f>
        <v>0.0394366197183099</v>
      </c>
      <c r="L20" s="76" t="n">
        <f aca="false">IFERROR(L$10/L$6,0)</f>
        <v>0.0440985732814527</v>
      </c>
      <c r="M20" s="76" t="n">
        <f aca="false">IFERROR(M$10/M$6,0)</f>
        <v>0.0542986425339366</v>
      </c>
    </row>
    <row r="21" customFormat="false" ht="15" hidden="false" customHeight="false" outlineLevel="0" collapsed="false">
      <c r="A21" s="12" t="s">
        <v>648</v>
      </c>
      <c r="B21" s="76" t="n">
        <f aca="false">IFERROR(B$11/B$6,0)</f>
        <v>0.0512820512820513</v>
      </c>
      <c r="C21" s="76" t="n">
        <f aca="false">IFERROR(C$11/C$6,0)</f>
        <v>0.0562248995983936</v>
      </c>
      <c r="D21" s="76" t="n">
        <f aca="false">IFERROR(D$11/D$6,0)</f>
        <v>0.0198412698412698</v>
      </c>
      <c r="E21" s="76" t="n">
        <f aca="false">IFERROR(E$11/E$6,0)</f>
        <v>0</v>
      </c>
      <c r="F21" s="76" t="n">
        <f aca="false">IFERROR(F$11/F$6,0)</f>
        <v>0.0220820189274448</v>
      </c>
      <c r="G21" s="76" t="n">
        <f aca="false">IFERROR(G$11/G$6,0)</f>
        <v>0.0135396518375242</v>
      </c>
      <c r="H21" s="76" t="n">
        <f aca="false">IFERROR(H$11/H$6,0)</f>
        <v>0.0124031007751938</v>
      </c>
      <c r="I21" s="76" t="n">
        <f aca="false">IFERROR(I$11/I$6,0)</f>
        <v>0.0138312586445367</v>
      </c>
      <c r="J21" s="76" t="n">
        <f aca="false">IFERROR(J$11/J$6,0)</f>
        <v>0.0120300751879699</v>
      </c>
      <c r="K21" s="76" t="n">
        <f aca="false">IFERROR(K$11/K$6,0)</f>
        <v>0.0112676056338028</v>
      </c>
      <c r="L21" s="76" t="n">
        <f aca="false">IFERROR(L$11/L$6,0)</f>
        <v>0.0116731517509728</v>
      </c>
      <c r="M21" s="76" t="n">
        <f aca="false">IFERROR(M$11/M$6,0)</f>
        <v>0.0101809954751131</v>
      </c>
    </row>
    <row r="22" customFormat="false" ht="15" hidden="false" customHeight="false" outlineLevel="0" collapsed="false">
      <c r="A22" s="15" t="s">
        <v>649</v>
      </c>
      <c r="B22" s="76" t="n">
        <f aca="false">IFERROR(B$12/B$6,0)</f>
        <v>0</v>
      </c>
      <c r="C22" s="76" t="n">
        <f aca="false">IFERROR(C$12/C$6,0)</f>
        <v>0.0943775100401607</v>
      </c>
      <c r="D22" s="76" t="n">
        <f aca="false">IFERROR(D$12/D$6,0)</f>
        <v>0</v>
      </c>
      <c r="E22" s="76" t="n">
        <f aca="false">IFERROR(E$12/E$6,0)</f>
        <v>0</v>
      </c>
      <c r="F22" s="76" t="n">
        <f aca="false">IFERROR(F$12/F$6,0)</f>
        <v>0</v>
      </c>
      <c r="G22" s="76" t="n">
        <f aca="false">IFERROR(G$12/G$6,0)</f>
        <v>0</v>
      </c>
      <c r="H22" s="76" t="n">
        <f aca="false">IFERROR(H$12/H$6,0)</f>
        <v>0</v>
      </c>
      <c r="I22" s="76" t="n">
        <f aca="false">IFERROR(I$12/I$6,0)</f>
        <v>0</v>
      </c>
      <c r="J22" s="76" t="n">
        <f aca="false">IFERROR(J$12/J$6,0)</f>
        <v>0</v>
      </c>
      <c r="K22" s="76" t="n">
        <f aca="false">IFERROR(K$12/K$6,0)</f>
        <v>0</v>
      </c>
      <c r="L22" s="76" t="n">
        <f aca="false">IFERROR(L$12/L$6,0)</f>
        <v>0</v>
      </c>
      <c r="M22" s="76" t="n">
        <f aca="false">IFERROR(M$12/M$6,0)</f>
        <v>0</v>
      </c>
    </row>
    <row r="23" customFormat="false" ht="15" hidden="false" customHeight="false" outlineLevel="0" collapsed="false">
      <c r="A23" s="12" t="s">
        <v>650</v>
      </c>
      <c r="B23" s="76" t="n">
        <f aca="false">IFERROR(B$13/B$6,0)</f>
        <v>0.0142450142450142</v>
      </c>
      <c r="C23" s="76" t="n">
        <f aca="false">IFERROR(C$13/C$6,0)</f>
        <v>0.0100401606425703</v>
      </c>
      <c r="D23" s="76" t="n">
        <f aca="false">IFERROR(D$13/D$6,0)</f>
        <v>0.00992063492063492</v>
      </c>
      <c r="E23" s="76" t="n">
        <f aca="false">IFERROR(E$13/E$6,0)</f>
        <v>0.0127226463104326</v>
      </c>
      <c r="F23" s="76" t="n">
        <f aca="false">IFERROR(F$13/F$6,0)</f>
        <v>0.0126182965299685</v>
      </c>
      <c r="G23" s="76" t="n">
        <f aca="false">IFERROR(G$13/G$6,0)</f>
        <v>0.00386847195357834</v>
      </c>
      <c r="H23" s="76" t="n">
        <f aca="false">IFERROR(H$13/H$6,0)</f>
        <v>0.00310077519379845</v>
      </c>
      <c r="I23" s="76" t="n">
        <f aca="false">IFERROR(I$13/I$6,0)</f>
        <v>0</v>
      </c>
      <c r="J23" s="76" t="n">
        <f aca="false">IFERROR(J$13/J$6,0)</f>
        <v>0.0300751879699248</v>
      </c>
      <c r="K23" s="76" t="n">
        <f aca="false">IFERROR(K$13/K$6,0)</f>
        <v>0.0380281690140845</v>
      </c>
      <c r="L23" s="76" t="n">
        <f aca="false">IFERROR(L$13/L$6,0)</f>
        <v>0.0194552529182879</v>
      </c>
      <c r="M23" s="76" t="n">
        <f aca="false">IFERROR(M$13/M$6,0)</f>
        <v>0.0712669683257919</v>
      </c>
    </row>
    <row r="24" customFormat="false" ht="15" hidden="false" customHeight="false" outlineLevel="0" collapsed="false">
      <c r="A24" s="50" t="s">
        <v>651</v>
      </c>
      <c r="B24" s="174" t="n">
        <f aca="false">B$17+B$18+B$19+B$20+B$21+B$22+B$23</f>
        <v>1</v>
      </c>
      <c r="C24" s="174" t="n">
        <f aca="false">C$17+C$18+C$19+C$20+C$21+C$22+C$23</f>
        <v>1</v>
      </c>
      <c r="D24" s="174" t="n">
        <f aca="false">D$17+D$18+D$19+D$20+D$21+D$22+D$23</f>
        <v>1.00198412698413</v>
      </c>
      <c r="E24" s="174" t="n">
        <f aca="false">E$17+E$18+E$19+E$20+E$21+E$22+E$23</f>
        <v>1</v>
      </c>
      <c r="F24" s="174" t="n">
        <f aca="false">F$17+F$18+F$19+F$20+F$21+F$22+F$23</f>
        <v>1</v>
      </c>
      <c r="G24" s="174" t="n">
        <f aca="false">G$17+G$18+G$19+G$20+G$21+G$22+G$23</f>
        <v>1</v>
      </c>
      <c r="H24" s="174" t="n">
        <f aca="false">H$17+H$18+H$19+H$20+H$21+H$22+H$23</f>
        <v>1</v>
      </c>
      <c r="I24" s="174" t="n">
        <f aca="false">I$17+I$18+I$19+I$20+I$21+I$22+I$23</f>
        <v>1</v>
      </c>
      <c r="J24" s="174" t="n">
        <f aca="false">J$17+J$18+J$19+J$20+J$21+J$22+J$23</f>
        <v>0.998496240601504</v>
      </c>
      <c r="K24" s="174" t="n">
        <f aca="false">K$17+K$18+K$19+K$20+K$21+K$22+K$23</f>
        <v>1</v>
      </c>
      <c r="L24" s="174" t="n">
        <f aca="false">L$17+L$18+L$19+L$20+L$21+L$22+L$23</f>
        <v>1.00129701686122</v>
      </c>
      <c r="M24" s="174" t="n">
        <f aca="false">M$17+M$18+M$19+M$20+M$21+M$22+M$23</f>
        <v>0.998868778280543</v>
      </c>
    </row>
    <row r="26" customFormat="false" ht="15" hidden="false" customHeight="false" outlineLevel="0" collapsed="false">
      <c r="A26" s="66" t="s">
        <v>478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customFormat="false" ht="15" hidden="false" customHeight="false" outlineLevel="0" collapsed="false">
      <c r="A27" s="144" t="s">
        <v>3</v>
      </c>
      <c r="B27" s="144" t="s">
        <v>479</v>
      </c>
      <c r="C27" s="144"/>
      <c r="D27" s="144"/>
      <c r="E27" s="144"/>
      <c r="F27" s="144"/>
      <c r="G27" s="144"/>
      <c r="H27" s="144"/>
      <c r="I27" s="145" t="s">
        <v>480</v>
      </c>
      <c r="J27" s="145"/>
      <c r="K27" s="145"/>
      <c r="L27" s="145"/>
    </row>
    <row r="28" customFormat="false" ht="30" hidden="false" customHeight="true" outlineLevel="0" collapsed="false">
      <c r="A28" s="39" t="s">
        <v>652</v>
      </c>
      <c r="B28" s="172" t="s">
        <v>653</v>
      </c>
      <c r="C28" s="172"/>
      <c r="D28" s="172"/>
      <c r="E28" s="172"/>
      <c r="F28" s="172"/>
      <c r="G28" s="172"/>
      <c r="H28" s="172"/>
      <c r="I28" s="173" t="s">
        <v>654</v>
      </c>
      <c r="J28" s="173"/>
      <c r="K28" s="173"/>
      <c r="L28" s="173"/>
    </row>
    <row r="29" customFormat="false" ht="30" hidden="false" customHeight="true" outlineLevel="0" collapsed="false">
      <c r="A29" s="39" t="s">
        <v>655</v>
      </c>
      <c r="B29" s="172" t="s">
        <v>656</v>
      </c>
      <c r="C29" s="172"/>
      <c r="D29" s="172"/>
      <c r="E29" s="172"/>
      <c r="F29" s="172"/>
      <c r="G29" s="172"/>
      <c r="H29" s="172"/>
      <c r="I29" s="147" t="s">
        <v>657</v>
      </c>
      <c r="J29" s="147"/>
      <c r="K29" s="147"/>
      <c r="L29" s="147"/>
    </row>
    <row r="30" customFormat="false" ht="30" hidden="false" customHeight="true" outlineLevel="0" collapsed="false">
      <c r="A30" s="39" t="s">
        <v>658</v>
      </c>
      <c r="B30" s="172" t="s">
        <v>659</v>
      </c>
      <c r="C30" s="172"/>
      <c r="D30" s="172"/>
      <c r="E30" s="172"/>
      <c r="F30" s="172"/>
      <c r="G30" s="172"/>
      <c r="H30" s="172"/>
      <c r="I30" s="173" t="s">
        <v>660</v>
      </c>
      <c r="J30" s="173"/>
      <c r="K30" s="173"/>
      <c r="L30" s="173"/>
    </row>
  </sheetData>
  <mergeCells count="8">
    <mergeCell ref="B27:H27"/>
    <mergeCell ref="I27:L27"/>
    <mergeCell ref="B28:H28"/>
    <mergeCell ref="I28:L28"/>
    <mergeCell ref="B29:H29"/>
    <mergeCell ref="I29:L29"/>
    <mergeCell ref="B30:H30"/>
    <mergeCell ref="I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1"/>
    <col collapsed="false" customWidth="true" hidden="false" outlineLevel="0" max="12" min="12" style="0" width="9"/>
  </cols>
  <sheetData>
    <row r="1" customFormat="false" ht="20.1" hidden="false" customHeight="false" outlineLevel="0" collapsed="false">
      <c r="A1" s="64" t="s">
        <v>661</v>
      </c>
    </row>
    <row r="2" customFormat="false" ht="15" hidden="false" customHeight="false" outlineLevel="0" collapsed="false">
      <c r="A2" s="19" t="s">
        <v>662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customFormat="false" ht="15" hidden="false" customHeight="false" outlineLevel="0" collapsed="false">
      <c r="A4" s="49" t="s">
        <v>110</v>
      </c>
      <c r="B4" s="69" t="s">
        <v>663</v>
      </c>
      <c r="C4" s="69" t="s">
        <v>664</v>
      </c>
      <c r="D4" s="69" t="s">
        <v>665</v>
      </c>
      <c r="E4" s="69" t="s">
        <v>666</v>
      </c>
      <c r="F4" s="69" t="s">
        <v>667</v>
      </c>
      <c r="G4" s="69" t="s">
        <v>251</v>
      </c>
      <c r="H4" s="69" t="s">
        <v>252</v>
      </c>
      <c r="I4" s="69" t="s">
        <v>240</v>
      </c>
      <c r="J4" s="69" t="s">
        <v>241</v>
      </c>
      <c r="K4" s="69" t="s">
        <v>253</v>
      </c>
      <c r="L4" s="49" t="s">
        <v>230</v>
      </c>
    </row>
    <row r="5" customFormat="false" ht="15" hidden="false" customHeight="false" outlineLevel="0" collapsed="false">
      <c r="A5" s="50" t="s">
        <v>15</v>
      </c>
      <c r="B5" s="160" t="n">
        <v>116.1</v>
      </c>
      <c r="C5" s="160" t="n">
        <v>87.7</v>
      </c>
      <c r="D5" s="160" t="n">
        <v>121.8</v>
      </c>
      <c r="E5" s="160" t="n">
        <v>144.7</v>
      </c>
      <c r="F5" s="160" t="n">
        <v>178.9</v>
      </c>
      <c r="G5" s="78" t="n">
        <f aca="false">'15_p5_손익계산서'!$B$5</f>
        <v>140.2</v>
      </c>
      <c r="H5" s="78" t="n">
        <f aca="false">'15_p5_손익계산서'!$C$5</f>
        <v>174.5</v>
      </c>
      <c r="I5" s="78" t="n">
        <f aca="false">'15_p5_손익계산서'!$D$5</f>
        <v>220.19</v>
      </c>
      <c r="J5" s="78" t="n">
        <f aca="false">'15_p5_손익계산서'!$E$5</f>
        <v>302.9</v>
      </c>
      <c r="K5" s="78" t="n">
        <f aca="false">'15_p5_손익계산서'!$F$5</f>
        <v>373.1</v>
      </c>
      <c r="L5" s="77" t="s">
        <v>242</v>
      </c>
    </row>
    <row r="6" customFormat="false" ht="15" hidden="false" customHeight="false" outlineLevel="0" collapsed="false">
      <c r="A6" s="50" t="s">
        <v>29</v>
      </c>
      <c r="B6" s="160" t="n">
        <v>12.7</v>
      </c>
      <c r="C6" s="160" t="n">
        <v>2</v>
      </c>
      <c r="D6" s="160" t="n">
        <v>18.1</v>
      </c>
      <c r="E6" s="160" t="n">
        <v>37.5</v>
      </c>
      <c r="F6" s="160" t="n">
        <v>55.9</v>
      </c>
      <c r="G6" s="78" t="n">
        <f aca="false">'15_p5_손익계산서'!$B$9</f>
        <v>10.7</v>
      </c>
      <c r="H6" s="78" t="n">
        <f aca="false">'15_p5_손익계산서'!$C$9</f>
        <v>44.8</v>
      </c>
      <c r="I6" s="78" t="n">
        <f aca="false">'15_p5_손익계산서'!$D$9</f>
        <v>60.05</v>
      </c>
      <c r="J6" s="78" t="n">
        <f aca="false">'15_p5_손익계산서'!$E$9</f>
        <v>93.7</v>
      </c>
      <c r="K6" s="78" t="n">
        <f aca="false">'15_p5_손익계산서'!$F$9</f>
        <v>125.1</v>
      </c>
      <c r="L6" s="77" t="s">
        <v>242</v>
      </c>
    </row>
    <row r="7" customFormat="false" ht="15" hidden="false" customHeight="false" outlineLevel="0" collapsed="false">
      <c r="A7" s="50" t="s">
        <v>668</v>
      </c>
      <c r="B7" s="174" t="n">
        <f aca="false">B$6/B$5</f>
        <v>0.109388458225668</v>
      </c>
      <c r="C7" s="174" t="n">
        <f aca="false">C$6/C$5</f>
        <v>0.0228050171037628</v>
      </c>
      <c r="D7" s="174" t="n">
        <f aca="false">D$6/D$5</f>
        <v>0.148604269293924</v>
      </c>
      <c r="E7" s="174" t="n">
        <f aca="false">E$6/E$5</f>
        <v>0.259156876295784</v>
      </c>
      <c r="F7" s="174" t="n">
        <f aca="false">F$6/F$5</f>
        <v>0.312465064281722</v>
      </c>
      <c r="G7" s="174" t="n">
        <f aca="false">G$6/G$5</f>
        <v>0.0763195435092725</v>
      </c>
      <c r="H7" s="174" t="n">
        <f aca="false">H$6/H$5</f>
        <v>0.256733524355301</v>
      </c>
      <c r="I7" s="174" t="n">
        <f aca="false">I$6/I$5</f>
        <v>0.272719015395795</v>
      </c>
      <c r="J7" s="174" t="n">
        <f aca="false">J$6/J$5</f>
        <v>0.309343017497524</v>
      </c>
      <c r="K7" s="174" t="n">
        <f aca="false">K$6/K$5</f>
        <v>0.33529884749397</v>
      </c>
      <c r="L7" s="16" t="s">
        <v>244</v>
      </c>
    </row>
    <row r="8" customFormat="false" ht="15" hidden="false" customHeight="false" outlineLevel="0" collapsed="false">
      <c r="A8" s="39" t="s">
        <v>669</v>
      </c>
      <c r="B8" s="16"/>
      <c r="C8" s="76" t="n">
        <f aca="false">C$5/B$5-1</f>
        <v>-0.244616709732989</v>
      </c>
      <c r="D8" s="76" t="n">
        <f aca="false">D$5/C$5-1</f>
        <v>0.388825541619156</v>
      </c>
      <c r="E8" s="76" t="n">
        <f aca="false">E$5/D$5-1</f>
        <v>0.188013136288998</v>
      </c>
      <c r="F8" s="76" t="n">
        <f aca="false">F$5/E$5-1</f>
        <v>0.236351071181756</v>
      </c>
      <c r="G8" s="76" t="n">
        <f aca="false">G$5/F$5-1</f>
        <v>-0.216321967579654</v>
      </c>
      <c r="H8" s="76" t="n">
        <f aca="false">H$5/G$5-1</f>
        <v>0.244650499286733</v>
      </c>
      <c r="I8" s="76" t="n">
        <f aca="false">I$5/H$5-1</f>
        <v>0.261833810888252</v>
      </c>
      <c r="J8" s="76" t="n">
        <f aca="false">J$5/I$5-1</f>
        <v>0.375630137608429</v>
      </c>
      <c r="K8" s="76" t="n">
        <f aca="false">K$5/J$5-1</f>
        <v>0.231759656652361</v>
      </c>
      <c r="L8" s="16" t="s">
        <v>244</v>
      </c>
    </row>
    <row r="9" customFormat="false" ht="15" hidden="false" customHeight="false" outlineLevel="0" collapsed="false">
      <c r="A9" s="39" t="s">
        <v>670</v>
      </c>
      <c r="B9" s="16"/>
      <c r="C9" s="76" t="n">
        <f aca="false">C$6/B$6-1</f>
        <v>-0.84251968503937</v>
      </c>
      <c r="D9" s="76" t="n">
        <f aca="false">D$6/C$6-1</f>
        <v>8.05</v>
      </c>
      <c r="E9" s="76" t="n">
        <f aca="false">E$6/D$6-1</f>
        <v>1.07182320441989</v>
      </c>
      <c r="F9" s="76" t="n">
        <f aca="false">F$6/E$6-1</f>
        <v>0.490666666666667</v>
      </c>
      <c r="G9" s="76" t="n">
        <f aca="false">G$6/F$6-1</f>
        <v>-0.808586762075134</v>
      </c>
      <c r="H9" s="76" t="n">
        <f aca="false">H$6/G$6-1</f>
        <v>3.18691588785047</v>
      </c>
      <c r="I9" s="76" t="n">
        <f aca="false">I$6/H$6-1</f>
        <v>0.340401785714286</v>
      </c>
      <c r="J9" s="76" t="n">
        <f aca="false">J$6/I$6-1</f>
        <v>0.560366361365529</v>
      </c>
      <c r="K9" s="76" t="n">
        <f aca="false">K$6/J$6-1</f>
        <v>0.335112059765208</v>
      </c>
      <c r="L9" s="16" t="s">
        <v>244</v>
      </c>
    </row>
    <row r="10" customFormat="false" ht="15" hidden="false" customHeight="false" outlineLevel="0" collapsed="false">
      <c r="A10" s="39" t="s">
        <v>671</v>
      </c>
      <c r="B10" s="175" t="s">
        <v>672</v>
      </c>
      <c r="C10" s="175" t="s">
        <v>672</v>
      </c>
      <c r="D10" s="175" t="s">
        <v>672</v>
      </c>
      <c r="E10" s="175" t="s">
        <v>672</v>
      </c>
      <c r="F10" s="175" t="s">
        <v>672</v>
      </c>
      <c r="G10" s="175" t="s">
        <v>673</v>
      </c>
      <c r="H10" s="175" t="s">
        <v>673</v>
      </c>
      <c r="I10" s="175" t="s">
        <v>674</v>
      </c>
      <c r="J10" s="175" t="s">
        <v>674</v>
      </c>
      <c r="K10" s="175" t="s">
        <v>674</v>
      </c>
    </row>
    <row r="12" customFormat="false" ht="15" hidden="false" customHeight="false" outlineLevel="0" collapsed="false">
      <c r="A12" s="66" t="s">
        <v>675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</row>
    <row r="13" customFormat="false" ht="15" hidden="false" customHeight="false" outlineLevel="0" collapsed="false">
      <c r="A13" s="35" t="s">
        <v>676</v>
      </c>
      <c r="B13" s="70" t="n">
        <f aca="false">'15_p5_손익계산서'!$B$5/(1+'15_p5_손익계산서'!$B$24)</f>
        <v>178.894985326018</v>
      </c>
      <c r="C13" s="71" t="n">
        <f aca="false">$F$5</f>
        <v>178.9</v>
      </c>
      <c r="D13" s="142" t="s">
        <v>677</v>
      </c>
    </row>
    <row r="14" customFormat="false" ht="15" hidden="false" customHeight="false" outlineLevel="0" collapsed="false">
      <c r="A14" s="35" t="s">
        <v>678</v>
      </c>
      <c r="B14" s="70" t="n">
        <f aca="false">'15_p5_손익계산서'!$B$9/(1+'15_p5_손익계산서'!$B$27)</f>
        <v>55.9038662486938</v>
      </c>
      <c r="C14" s="71" t="n">
        <f aca="false">$F$6</f>
        <v>55.9</v>
      </c>
      <c r="D14" s="142" t="s">
        <v>679</v>
      </c>
    </row>
    <row r="16" customFormat="false" ht="15" hidden="false" customHeight="false" outlineLevel="0" collapsed="false">
      <c r="A16" s="66" t="s">
        <v>478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customFormat="false" ht="15" hidden="false" customHeight="false" outlineLevel="0" collapsed="false">
      <c r="A17" s="144" t="s">
        <v>3</v>
      </c>
      <c r="B17" s="144" t="s">
        <v>479</v>
      </c>
      <c r="C17" s="144"/>
      <c r="D17" s="144"/>
      <c r="E17" s="144"/>
      <c r="F17" s="144"/>
      <c r="G17" s="144"/>
      <c r="H17" s="144"/>
      <c r="I17" s="145" t="s">
        <v>480</v>
      </c>
      <c r="J17" s="145"/>
      <c r="K17" s="145"/>
      <c r="L17" s="145"/>
    </row>
    <row r="18" customFormat="false" ht="30" hidden="false" customHeight="true" outlineLevel="0" collapsed="false">
      <c r="A18" s="35" t="s">
        <v>680</v>
      </c>
      <c r="B18" s="172" t="s">
        <v>681</v>
      </c>
      <c r="C18" s="172"/>
      <c r="D18" s="172"/>
      <c r="E18" s="172"/>
      <c r="F18" s="172"/>
      <c r="G18" s="172"/>
      <c r="H18" s="172"/>
      <c r="I18" s="147" t="s">
        <v>682</v>
      </c>
      <c r="J18" s="147"/>
      <c r="K18" s="147"/>
      <c r="L18" s="147"/>
    </row>
    <row r="19" customFormat="false" ht="30" hidden="false" customHeight="true" outlineLevel="0" collapsed="false">
      <c r="A19" s="35" t="s">
        <v>683</v>
      </c>
      <c r="B19" s="172" t="s">
        <v>684</v>
      </c>
      <c r="C19" s="172"/>
      <c r="D19" s="172"/>
      <c r="E19" s="172"/>
      <c r="F19" s="172"/>
      <c r="G19" s="172"/>
      <c r="H19" s="172"/>
      <c r="I19" s="147" t="s">
        <v>682</v>
      </c>
      <c r="J19" s="147"/>
      <c r="K19" s="147"/>
      <c r="L19" s="147"/>
    </row>
    <row r="20" customFormat="false" ht="30" hidden="false" customHeight="true" outlineLevel="0" collapsed="false">
      <c r="A20" s="35" t="s">
        <v>685</v>
      </c>
      <c r="B20" s="146" t="s">
        <v>686</v>
      </c>
      <c r="C20" s="146"/>
      <c r="D20" s="146"/>
      <c r="E20" s="146"/>
      <c r="F20" s="146"/>
      <c r="G20" s="146"/>
      <c r="H20" s="146"/>
      <c r="I20" s="147" t="s">
        <v>687</v>
      </c>
      <c r="J20" s="147"/>
      <c r="K20" s="147"/>
      <c r="L20" s="147"/>
    </row>
    <row r="21" customFormat="false" ht="30" hidden="false" customHeight="true" outlineLevel="0" collapsed="false">
      <c r="A21" s="35" t="s">
        <v>688</v>
      </c>
      <c r="B21" s="172" t="s">
        <v>689</v>
      </c>
      <c r="C21" s="172"/>
      <c r="D21" s="172"/>
      <c r="E21" s="172"/>
      <c r="F21" s="172"/>
      <c r="G21" s="172"/>
      <c r="H21" s="172"/>
      <c r="I21" s="173" t="s">
        <v>690</v>
      </c>
      <c r="J21" s="173"/>
      <c r="K21" s="173"/>
      <c r="L21" s="173"/>
    </row>
    <row r="22" customFormat="false" ht="30" hidden="false" customHeight="true" outlineLevel="0" collapsed="false">
      <c r="A22" s="35" t="s">
        <v>691</v>
      </c>
      <c r="B22" s="172" t="s">
        <v>692</v>
      </c>
      <c r="C22" s="172"/>
      <c r="D22" s="172"/>
      <c r="E22" s="172"/>
      <c r="F22" s="172"/>
      <c r="G22" s="172"/>
      <c r="H22" s="172"/>
      <c r="I22" s="173" t="s">
        <v>690</v>
      </c>
      <c r="J22" s="173"/>
      <c r="K22" s="173"/>
      <c r="L22" s="173"/>
    </row>
  </sheetData>
  <mergeCells count="12">
    <mergeCell ref="B17:H17"/>
    <mergeCell ref="I17:L17"/>
    <mergeCell ref="B18:H18"/>
    <mergeCell ref="I18:L18"/>
    <mergeCell ref="B19:H19"/>
    <mergeCell ref="I19:L19"/>
    <mergeCell ref="B20:H20"/>
    <mergeCell ref="I20:L20"/>
    <mergeCell ref="B21:H21"/>
    <mergeCell ref="I21:L21"/>
    <mergeCell ref="B22:H22"/>
    <mergeCell ref="I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0"/>
    <col collapsed="false" customWidth="true" hidden="false" outlineLevel="0" max="14" min="14" style="0" width="9"/>
  </cols>
  <sheetData>
    <row r="1" customFormat="false" ht="20.1" hidden="false" customHeight="false" outlineLevel="0" collapsed="false">
      <c r="A1" s="64" t="s">
        <v>693</v>
      </c>
    </row>
    <row r="2" customFormat="false" ht="15" hidden="false" customHeight="false" outlineLevel="0" collapsed="false">
      <c r="A2" s="19" t="s">
        <v>694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695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110</v>
      </c>
      <c r="B5" s="69" t="s">
        <v>454</v>
      </c>
      <c r="C5" s="69" t="s">
        <v>455</v>
      </c>
      <c r="D5" s="69" t="s">
        <v>456</v>
      </c>
      <c r="E5" s="69" t="s">
        <v>457</v>
      </c>
      <c r="F5" s="69" t="s">
        <v>458</v>
      </c>
      <c r="G5" s="69" t="s">
        <v>459</v>
      </c>
      <c r="H5" s="69" t="s">
        <v>460</v>
      </c>
      <c r="I5" s="69" t="s">
        <v>461</v>
      </c>
      <c r="J5" s="69" t="s">
        <v>4</v>
      </c>
      <c r="K5" s="69" t="s">
        <v>5</v>
      </c>
      <c r="L5" s="69" t="s">
        <v>696</v>
      </c>
      <c r="M5" s="69" t="s">
        <v>697</v>
      </c>
      <c r="N5" s="49" t="s">
        <v>230</v>
      </c>
    </row>
    <row r="6" customFormat="false" ht="15" hidden="false" customHeight="false" outlineLevel="0" collapsed="false">
      <c r="A6" s="50" t="s">
        <v>698</v>
      </c>
      <c r="B6" s="160" t="n">
        <v>46.4</v>
      </c>
      <c r="C6" s="160" t="n">
        <v>36</v>
      </c>
      <c r="D6" s="160" t="n">
        <v>32.9</v>
      </c>
      <c r="E6" s="160" t="n">
        <v>24.9</v>
      </c>
      <c r="F6" s="160" t="n">
        <v>35.1</v>
      </c>
      <c r="G6" s="160" t="n">
        <v>49.8</v>
      </c>
      <c r="H6" s="160" t="n">
        <v>50.4</v>
      </c>
      <c r="I6" s="160" t="n">
        <v>39.3</v>
      </c>
      <c r="J6" s="160" t="n">
        <v>31.7</v>
      </c>
      <c r="K6" s="160" t="n">
        <v>51.7</v>
      </c>
      <c r="L6" s="160" t="n">
        <v>69.5</v>
      </c>
      <c r="M6" s="160" t="n">
        <v>64</v>
      </c>
      <c r="N6" s="77" t="s">
        <v>242</v>
      </c>
    </row>
    <row r="7" customFormat="false" ht="15" hidden="false" customHeight="false" outlineLevel="0" collapsed="false">
      <c r="A7" s="15" t="s">
        <v>699</v>
      </c>
      <c r="B7" s="136" t="n">
        <v>2.3</v>
      </c>
      <c r="C7" s="136" t="n">
        <v>3.1</v>
      </c>
      <c r="D7" s="136" t="n">
        <v>3.7</v>
      </c>
      <c r="E7" s="136" t="n">
        <v>0.9</v>
      </c>
      <c r="F7" s="136" t="n">
        <v>0.4</v>
      </c>
      <c r="G7" s="136" t="n">
        <v>0.6</v>
      </c>
      <c r="H7" s="136" t="n">
        <v>0.5</v>
      </c>
      <c r="I7" s="136" t="n">
        <v>0.5</v>
      </c>
      <c r="J7" s="136" t="n">
        <v>0.4</v>
      </c>
      <c r="K7" s="136" t="n">
        <v>0.2</v>
      </c>
      <c r="L7" s="136" t="n">
        <v>10</v>
      </c>
      <c r="M7" s="136" t="n">
        <v>10</v>
      </c>
      <c r="N7" s="77" t="s">
        <v>242</v>
      </c>
    </row>
    <row r="8" customFormat="false" ht="15" hidden="false" customHeight="false" outlineLevel="0" collapsed="false">
      <c r="A8" s="176" t="s">
        <v>700</v>
      </c>
      <c r="B8" s="87" t="n">
        <f aca="false">B$6-B$7</f>
        <v>44.1</v>
      </c>
      <c r="C8" s="87" t="n">
        <f aca="false">C$6-C$7</f>
        <v>32.9</v>
      </c>
      <c r="D8" s="87" t="n">
        <f aca="false">D$6-D$7</f>
        <v>29.2</v>
      </c>
      <c r="E8" s="87" t="n">
        <f aca="false">E$6-E$7</f>
        <v>24</v>
      </c>
      <c r="F8" s="87" t="n">
        <f aca="false">F$6-F$7</f>
        <v>34.7</v>
      </c>
      <c r="G8" s="87" t="n">
        <f aca="false">G$6-G$7</f>
        <v>49.2</v>
      </c>
      <c r="H8" s="87" t="n">
        <f aca="false">H$6-H$7</f>
        <v>49.9</v>
      </c>
      <c r="I8" s="87" t="n">
        <f aca="false">I$6-I$7</f>
        <v>38.8</v>
      </c>
      <c r="J8" s="87" t="n">
        <f aca="false">J$6-J$7</f>
        <v>31.3</v>
      </c>
      <c r="K8" s="87" t="n">
        <f aca="false">K$6-K$7</f>
        <v>51.5</v>
      </c>
      <c r="L8" s="87" t="n">
        <f aca="false">L$6-L$7</f>
        <v>59.5</v>
      </c>
      <c r="M8" s="87" t="n">
        <f aca="false">M$6-M$7</f>
        <v>54</v>
      </c>
      <c r="N8" s="77" t="s">
        <v>242</v>
      </c>
    </row>
    <row r="9" customFormat="false" ht="15" hidden="false" customHeight="false" outlineLevel="0" collapsed="false">
      <c r="A9" s="35" t="s">
        <v>701</v>
      </c>
      <c r="B9" s="76" t="n">
        <f aca="false">B$8/B$6</f>
        <v>0.950431034482759</v>
      </c>
      <c r="C9" s="76" t="n">
        <f aca="false">C$8/C$6</f>
        <v>0.913888888888889</v>
      </c>
      <c r="D9" s="76" t="n">
        <f aca="false">D$8/D$6</f>
        <v>0.887537993920973</v>
      </c>
      <c r="E9" s="76" t="n">
        <f aca="false">E$8/E$6</f>
        <v>0.963855421686747</v>
      </c>
      <c r="F9" s="76" t="n">
        <f aca="false">F$8/F$6</f>
        <v>0.988603988603989</v>
      </c>
      <c r="G9" s="76" t="n">
        <f aca="false">G$8/G$6</f>
        <v>0.987951807228916</v>
      </c>
      <c r="H9" s="76" t="n">
        <f aca="false">H$8/H$6</f>
        <v>0.990079365079365</v>
      </c>
      <c r="I9" s="76" t="n">
        <f aca="false">I$8/I$6</f>
        <v>0.987277353689568</v>
      </c>
      <c r="J9" s="76" t="n">
        <f aca="false">J$8/J$6</f>
        <v>0.987381703470032</v>
      </c>
      <c r="K9" s="76" t="n">
        <f aca="false">K$8/K$6</f>
        <v>0.996131528046422</v>
      </c>
      <c r="L9" s="76" t="n">
        <f aca="false">L$8/L$6</f>
        <v>0.856115107913669</v>
      </c>
      <c r="M9" s="76" t="n">
        <f aca="false">M$8/M$6</f>
        <v>0.84375</v>
      </c>
      <c r="N9" s="16" t="s">
        <v>244</v>
      </c>
    </row>
    <row r="10" customFormat="false" ht="15" hidden="false" customHeight="false" outlineLevel="0" collapsed="false">
      <c r="A10" s="35" t="s">
        <v>702</v>
      </c>
      <c r="B10" s="76" t="n">
        <f aca="false">B$7/B$6</f>
        <v>0.0495689655172414</v>
      </c>
      <c r="C10" s="76" t="n">
        <f aca="false">C$7/C$6</f>
        <v>0.0861111111111111</v>
      </c>
      <c r="D10" s="76" t="n">
        <f aca="false">D$7/D$6</f>
        <v>0.112462006079027</v>
      </c>
      <c r="E10" s="76" t="n">
        <f aca="false">E$7/E$6</f>
        <v>0.036144578313253</v>
      </c>
      <c r="F10" s="76" t="n">
        <f aca="false">F$7/F$6</f>
        <v>0.0113960113960114</v>
      </c>
      <c r="G10" s="76" t="n">
        <f aca="false">G$7/G$6</f>
        <v>0.0120481927710843</v>
      </c>
      <c r="H10" s="76" t="n">
        <f aca="false">H$7/H$6</f>
        <v>0.00992063492063492</v>
      </c>
      <c r="I10" s="76" t="n">
        <f aca="false">I$7/I$6</f>
        <v>0.0127226463104326</v>
      </c>
      <c r="J10" s="76" t="n">
        <f aca="false">J$7/J$6</f>
        <v>0.0126182965299685</v>
      </c>
      <c r="K10" s="76" t="n">
        <f aca="false">K$7/K$6</f>
        <v>0.00386847195357834</v>
      </c>
      <c r="L10" s="76" t="n">
        <f aca="false">L$7/L$6</f>
        <v>0.143884892086331</v>
      </c>
      <c r="M10" s="76" t="n">
        <f aca="false">M$7/M$6</f>
        <v>0.15625</v>
      </c>
      <c r="N10" s="16" t="s">
        <v>244</v>
      </c>
    </row>
    <row r="11" customFormat="false" ht="15" hidden="false" customHeight="false" outlineLevel="0" collapsed="false">
      <c r="A11" s="39" t="s">
        <v>703</v>
      </c>
      <c r="B11" s="71" t="n">
        <f aca="false">10.1+34+2.3</f>
        <v>46.4</v>
      </c>
      <c r="C11" s="71" t="n">
        <f aca="false">6+26.9+3.1</f>
        <v>36</v>
      </c>
      <c r="D11" s="71" t="n">
        <f aca="false">6.6+22.6+3.7</f>
        <v>32.9</v>
      </c>
      <c r="E11" s="71" t="n">
        <f aca="false">5+19+0.9</f>
        <v>24.9</v>
      </c>
      <c r="F11" s="71" t="n">
        <f aca="false">5+29.7+0.4</f>
        <v>35.1</v>
      </c>
      <c r="G11" s="71" t="n">
        <f aca="false">7.5+41.7+0.6</f>
        <v>49.8</v>
      </c>
      <c r="H11" s="71" t="n">
        <f aca="false">8+41.9+0.5</f>
        <v>50.4</v>
      </c>
      <c r="I11" s="71" t="n">
        <f aca="false">5.1+33.7+0.5</f>
        <v>39.3</v>
      </c>
      <c r="J11" s="71" t="n">
        <f aca="false">5.9+25.4+0.4</f>
        <v>31.7</v>
      </c>
      <c r="K11" s="71" t="n">
        <f aca="false">5.8+45.7+0.2</f>
        <v>51.7</v>
      </c>
      <c r="L11" s="71" t="n">
        <f aca="false">4.5+55+10</f>
        <v>69.5</v>
      </c>
      <c r="M11" s="71" t="n">
        <f aca="false">5+49+10</f>
        <v>64</v>
      </c>
      <c r="N11" s="77" t="s">
        <v>242</v>
      </c>
    </row>
    <row r="12" customFormat="false" ht="15" hidden="false" customHeight="false" outlineLevel="0" collapsed="false">
      <c r="A12" s="20" t="s">
        <v>704</v>
      </c>
    </row>
    <row r="14" customFormat="false" ht="15" hidden="false" customHeight="false" outlineLevel="0" collapsed="false">
      <c r="A14" s="66" t="s">
        <v>705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customFormat="false" ht="15" hidden="false" customHeight="false" outlineLevel="0" collapsed="false">
      <c r="A15" s="49" t="s">
        <v>110</v>
      </c>
      <c r="B15" s="69" t="s">
        <v>706</v>
      </c>
      <c r="C15" s="69" t="s">
        <v>707</v>
      </c>
      <c r="D15" s="69" t="s">
        <v>708</v>
      </c>
      <c r="E15" s="69" t="s">
        <v>709</v>
      </c>
      <c r="F15" s="69" t="s">
        <v>710</v>
      </c>
      <c r="G15" s="49"/>
      <c r="H15" s="49"/>
      <c r="I15" s="49"/>
      <c r="J15" s="49"/>
      <c r="K15" s="49"/>
      <c r="L15" s="49"/>
      <c r="M15" s="49"/>
    </row>
    <row r="16" customFormat="false" ht="15" hidden="false" customHeight="false" outlineLevel="0" collapsed="false">
      <c r="A16" s="50" t="s">
        <v>698</v>
      </c>
      <c r="B16" s="160" t="n">
        <v>178.9</v>
      </c>
      <c r="C16" s="160" t="n">
        <v>140.2</v>
      </c>
      <c r="D16" s="160" t="n">
        <v>174.5</v>
      </c>
      <c r="E16" s="160" t="n">
        <v>216.8</v>
      </c>
      <c r="F16" s="160" t="n">
        <v>251.6</v>
      </c>
    </row>
    <row r="17" customFormat="false" ht="15" hidden="false" customHeight="false" outlineLevel="0" collapsed="false">
      <c r="A17" s="35" t="s">
        <v>711</v>
      </c>
      <c r="B17" s="136" t="n">
        <v>0</v>
      </c>
      <c r="C17" s="136" t="n">
        <v>10</v>
      </c>
      <c r="D17" s="136" t="n">
        <v>1.9</v>
      </c>
      <c r="E17" s="136" t="n">
        <v>20.6</v>
      </c>
      <c r="F17" s="136" t="n">
        <v>24.7</v>
      </c>
    </row>
    <row r="18" customFormat="false" ht="15" hidden="false" customHeight="false" outlineLevel="0" collapsed="false">
      <c r="A18" s="91" t="s">
        <v>700</v>
      </c>
      <c r="B18" s="87" t="n">
        <f aca="false">B$16-B$17</f>
        <v>178.9</v>
      </c>
      <c r="C18" s="87" t="n">
        <f aca="false">C$16-C$17</f>
        <v>130.2</v>
      </c>
      <c r="D18" s="87" t="n">
        <f aca="false">D$16-D$17</f>
        <v>172.6</v>
      </c>
      <c r="E18" s="87" t="n">
        <f aca="false">E$16-E$17</f>
        <v>196.2</v>
      </c>
      <c r="F18" s="87" t="n">
        <f aca="false">F$16-F$17</f>
        <v>226.9</v>
      </c>
    </row>
    <row r="19" customFormat="false" ht="15" hidden="false" customHeight="false" outlineLevel="0" collapsed="false">
      <c r="A19" s="35" t="s">
        <v>702</v>
      </c>
      <c r="B19" s="76" t="n">
        <f aca="false">B$17/B$16</f>
        <v>0</v>
      </c>
      <c r="C19" s="76" t="n">
        <f aca="false">C$17/C$16</f>
        <v>0.0713266761768902</v>
      </c>
      <c r="D19" s="76" t="n">
        <f aca="false">D$17/D$16</f>
        <v>0.0108882521489971</v>
      </c>
      <c r="E19" s="76" t="n">
        <f aca="false">E$17/E$16</f>
        <v>0.0950184501845019</v>
      </c>
      <c r="F19" s="76" t="n">
        <f aca="false">F$17/F$16</f>
        <v>0.0981717011128776</v>
      </c>
    </row>
    <row r="21" customFormat="false" ht="15" hidden="false" customHeight="false" outlineLevel="0" collapsed="false">
      <c r="A21" s="66" t="s">
        <v>712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customFormat="false" ht="15" hidden="false" customHeight="false" outlineLevel="0" collapsed="false">
      <c r="A22" s="49" t="s">
        <v>3</v>
      </c>
      <c r="B22" s="49" t="s">
        <v>134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customFormat="false" ht="33.75" hidden="false" customHeight="true" outlineLevel="0" collapsed="false">
      <c r="A23" s="50" t="s">
        <v>713</v>
      </c>
      <c r="B23" s="177" t="s">
        <v>714</v>
      </c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customFormat="false" ht="33.75" hidden="false" customHeight="true" outlineLevel="0" collapsed="false">
      <c r="A24" s="91" t="s">
        <v>715</v>
      </c>
      <c r="B24" s="177" t="s">
        <v>716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customFormat="false" ht="33.75" hidden="false" customHeight="true" outlineLevel="0" collapsed="false">
      <c r="A25" s="50" t="s">
        <v>717</v>
      </c>
      <c r="B25" s="52" t="s">
        <v>718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</row>
    <row r="26" customFormat="false" ht="33.75" hidden="false" customHeight="true" outlineLevel="0" collapsed="false">
      <c r="A26" s="50" t="s">
        <v>719</v>
      </c>
      <c r="B26" s="177" t="s">
        <v>720</v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</row>
    <row r="27" customFormat="false" ht="33.75" hidden="false" customHeight="true" outlineLevel="0" collapsed="false">
      <c r="A27" s="50" t="s">
        <v>721</v>
      </c>
      <c r="B27" s="52" t="s">
        <v>722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9" customFormat="false" ht="15" hidden="false" customHeight="false" outlineLevel="0" collapsed="false">
      <c r="A29" s="66" t="s">
        <v>478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customFormat="false" ht="15" hidden="false" customHeight="false" outlineLevel="0" collapsed="false">
      <c r="A30" s="144" t="s">
        <v>3</v>
      </c>
      <c r="B30" s="144" t="s">
        <v>479</v>
      </c>
      <c r="C30" s="144"/>
      <c r="D30" s="144"/>
      <c r="E30" s="144"/>
      <c r="F30" s="144"/>
      <c r="G30" s="144"/>
      <c r="H30" s="144"/>
      <c r="I30" s="145" t="s">
        <v>480</v>
      </c>
      <c r="J30" s="145"/>
      <c r="K30" s="145"/>
      <c r="L30" s="145"/>
    </row>
    <row r="31" customFormat="false" ht="30" hidden="false" customHeight="true" outlineLevel="0" collapsed="false">
      <c r="A31" s="39" t="s">
        <v>723</v>
      </c>
      <c r="B31" s="146" t="s">
        <v>724</v>
      </c>
      <c r="C31" s="146"/>
      <c r="D31" s="146"/>
      <c r="E31" s="146"/>
      <c r="F31" s="146"/>
      <c r="G31" s="146"/>
      <c r="H31" s="146"/>
      <c r="I31" s="147" t="s">
        <v>687</v>
      </c>
      <c r="J31" s="147"/>
      <c r="K31" s="147"/>
      <c r="L31" s="147"/>
    </row>
    <row r="32" customFormat="false" ht="30" hidden="false" customHeight="true" outlineLevel="0" collapsed="false">
      <c r="A32" s="35" t="s">
        <v>725</v>
      </c>
      <c r="B32" s="172" t="s">
        <v>726</v>
      </c>
      <c r="C32" s="172"/>
      <c r="D32" s="172"/>
      <c r="E32" s="172"/>
      <c r="F32" s="172"/>
      <c r="G32" s="172"/>
      <c r="H32" s="172"/>
      <c r="I32" s="173" t="s">
        <v>727</v>
      </c>
      <c r="J32" s="173"/>
      <c r="K32" s="173"/>
      <c r="L32" s="173"/>
    </row>
  </sheetData>
  <mergeCells count="11">
    <mergeCell ref="B23:M23"/>
    <mergeCell ref="B24:M24"/>
    <mergeCell ref="B25:M25"/>
    <mergeCell ref="B26:M26"/>
    <mergeCell ref="B27:M27"/>
    <mergeCell ref="B30:H30"/>
    <mergeCell ref="I30:L30"/>
    <mergeCell ref="B31:H31"/>
    <mergeCell ref="I31:L31"/>
    <mergeCell ref="B32:H32"/>
    <mergeCell ref="I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728</v>
      </c>
    </row>
    <row r="2" customFormat="false" ht="15" hidden="false" customHeight="false" outlineLevel="0" collapsed="false">
      <c r="A2" s="19" t="s">
        <v>729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50" t="s">
        <v>15</v>
      </c>
      <c r="B5" s="160" t="n">
        <v>140.2</v>
      </c>
      <c r="C5" s="160" t="n">
        <v>174.5</v>
      </c>
      <c r="D5" s="178" t="n">
        <f aca="false">'Forward EPS'!$J$6</f>
        <v>220.19</v>
      </c>
      <c r="E5" s="178" t="n">
        <f aca="false">'Forward EPS'!$K$6</f>
        <v>302.9</v>
      </c>
      <c r="F5" s="178" t="n">
        <f aca="false">'Forward EPS'!$L$6</f>
        <v>373.1</v>
      </c>
      <c r="G5" s="16"/>
    </row>
    <row r="6" customFormat="false" ht="15" hidden="false" customHeight="false" outlineLevel="0" collapsed="false">
      <c r="A6" s="39" t="s">
        <v>25</v>
      </c>
      <c r="B6" s="136" t="n">
        <v>85.1</v>
      </c>
      <c r="C6" s="136" t="n">
        <v>100.1</v>
      </c>
      <c r="D6" s="94" t="n">
        <f aca="false">'Forward EPS'!$J$16</f>
        <v>122.45</v>
      </c>
      <c r="E6" s="94" t="n">
        <f aca="false">'Forward EPS'!$K$16</f>
        <v>160.3</v>
      </c>
      <c r="F6" s="94" t="n">
        <f aca="false">'Forward EPS'!$L$16</f>
        <v>195.6</v>
      </c>
      <c r="G6" s="16"/>
    </row>
    <row r="7" customFormat="false" ht="15" hidden="false" customHeight="false" outlineLevel="0" collapsed="false">
      <c r="A7" s="50" t="s">
        <v>26</v>
      </c>
      <c r="B7" s="160" t="n">
        <v>55.1</v>
      </c>
      <c r="C7" s="160" t="n">
        <v>74.4</v>
      </c>
      <c r="D7" s="178" t="n">
        <f aca="false">'Forward EPS'!$J$17</f>
        <v>97.74</v>
      </c>
      <c r="E7" s="178" t="n">
        <f aca="false">'Forward EPS'!$K$17</f>
        <v>142.6</v>
      </c>
      <c r="F7" s="178" t="n">
        <f aca="false">'Forward EPS'!$L$17</f>
        <v>177.5</v>
      </c>
      <c r="G7" s="16"/>
    </row>
    <row r="8" customFormat="false" ht="15" hidden="false" customHeight="false" outlineLevel="0" collapsed="false">
      <c r="A8" s="39" t="s">
        <v>730</v>
      </c>
      <c r="B8" s="136" t="n">
        <v>44.4</v>
      </c>
      <c r="C8" s="136" t="n">
        <v>29.6</v>
      </c>
      <c r="D8" s="94" t="n">
        <f aca="false">'Forward EPS'!$J$19</f>
        <v>37.69</v>
      </c>
      <c r="E8" s="94" t="n">
        <f aca="false">'Forward EPS'!$K$19</f>
        <v>48.9</v>
      </c>
      <c r="F8" s="94" t="n">
        <f aca="false">'Forward EPS'!$L$19</f>
        <v>52.4</v>
      </c>
      <c r="G8" s="16"/>
    </row>
    <row r="9" customFormat="false" ht="15" hidden="false" customHeight="false" outlineLevel="0" collapsed="false">
      <c r="A9" s="50" t="s">
        <v>29</v>
      </c>
      <c r="B9" s="160" t="n">
        <v>10.7</v>
      </c>
      <c r="C9" s="160" t="n">
        <v>44.8</v>
      </c>
      <c r="D9" s="178" t="n">
        <f aca="false">'Forward EPS'!$J$20</f>
        <v>60.05</v>
      </c>
      <c r="E9" s="178" t="n">
        <f aca="false">'Forward EPS'!$K$20</f>
        <v>93.7</v>
      </c>
      <c r="F9" s="178" t="n">
        <f aca="false">'Forward EPS'!$L$20</f>
        <v>125.1</v>
      </c>
      <c r="G9" s="16"/>
    </row>
    <row r="10" customFormat="false" ht="15" hidden="false" customHeight="false" outlineLevel="0" collapsed="false">
      <c r="A10" s="39" t="s">
        <v>731</v>
      </c>
      <c r="B10" s="136" t="n">
        <v>5.2</v>
      </c>
      <c r="C10" s="136" t="n">
        <v>18.8</v>
      </c>
      <c r="D10" s="148" t="n">
        <v>6.8</v>
      </c>
      <c r="E10" s="148" t="n">
        <v>8.1</v>
      </c>
      <c r="F10" s="148" t="n">
        <v>8.8</v>
      </c>
      <c r="G10" s="16"/>
    </row>
    <row r="11" customFormat="false" ht="15" hidden="false" customHeight="false" outlineLevel="0" collapsed="false">
      <c r="A11" s="39" t="s">
        <v>732</v>
      </c>
      <c r="B11" s="136" t="n">
        <v>0</v>
      </c>
      <c r="C11" s="136" t="n">
        <v>0</v>
      </c>
      <c r="D11" s="148" t="n">
        <v>0</v>
      </c>
      <c r="E11" s="148" t="n">
        <v>-1.3</v>
      </c>
      <c r="F11" s="148" t="n">
        <v>3.9</v>
      </c>
      <c r="G11" s="16"/>
    </row>
    <row r="12" customFormat="false" ht="15" hidden="false" customHeight="false" outlineLevel="0" collapsed="false">
      <c r="A12" s="39" t="s">
        <v>733</v>
      </c>
      <c r="B12" s="136" t="n">
        <v>1.6</v>
      </c>
      <c r="C12" s="136" t="n">
        <v>6</v>
      </c>
      <c r="D12" s="148" t="n">
        <v>-0.3</v>
      </c>
      <c r="E12" s="148" t="n">
        <v>0</v>
      </c>
      <c r="F12" s="148" t="n">
        <v>0</v>
      </c>
      <c r="G12" s="16"/>
    </row>
    <row r="13" customFormat="false" ht="15" hidden="false" customHeight="false" outlineLevel="0" collapsed="false">
      <c r="A13" s="50" t="s">
        <v>31</v>
      </c>
      <c r="B13" s="160" t="n">
        <v>17.6</v>
      </c>
      <c r="C13" s="160" t="n">
        <v>69.6</v>
      </c>
      <c r="D13" s="178" t="n">
        <f aca="false">'Forward EPS'!$J$22</f>
        <v>66.59</v>
      </c>
      <c r="E13" s="178" t="n">
        <f aca="false">'Forward EPS'!$K$22</f>
        <v>100.4</v>
      </c>
      <c r="F13" s="178" t="n">
        <f aca="false">'Forward EPS'!$L$22</f>
        <v>137.9</v>
      </c>
      <c r="G13" s="16"/>
    </row>
    <row r="14" customFormat="false" ht="15" hidden="false" customHeight="false" outlineLevel="0" collapsed="false">
      <c r="A14" s="39" t="s">
        <v>265</v>
      </c>
      <c r="B14" s="136" t="n">
        <v>4</v>
      </c>
      <c r="C14" s="136" t="n">
        <v>14.7</v>
      </c>
      <c r="D14" s="148" t="n">
        <v>10.3</v>
      </c>
      <c r="E14" s="148" t="n">
        <v>18.1</v>
      </c>
      <c r="F14" s="148" t="n">
        <v>24.8</v>
      </c>
      <c r="G14" s="16"/>
    </row>
    <row r="15" customFormat="false" ht="15" hidden="false" customHeight="false" outlineLevel="0" collapsed="false">
      <c r="A15" s="39" t="s">
        <v>734</v>
      </c>
      <c r="B15" s="136" t="n">
        <v>13.6</v>
      </c>
      <c r="C15" s="136" t="n">
        <v>54.9</v>
      </c>
      <c r="D15" s="148" t="n">
        <v>56.3</v>
      </c>
      <c r="E15" s="148" t="n">
        <v>82.4</v>
      </c>
      <c r="F15" s="148" t="n">
        <v>113.1</v>
      </c>
      <c r="G15" s="16"/>
    </row>
    <row r="16" customFormat="false" ht="15" hidden="false" customHeight="false" outlineLevel="0" collapsed="false">
      <c r="A16" s="39" t="s">
        <v>735</v>
      </c>
      <c r="B16" s="136" t="n">
        <v>0</v>
      </c>
      <c r="C16" s="136" t="n">
        <v>0</v>
      </c>
      <c r="D16" s="148" t="n">
        <v>0</v>
      </c>
      <c r="E16" s="148" t="n">
        <v>0</v>
      </c>
      <c r="F16" s="148" t="n">
        <v>0</v>
      </c>
      <c r="G16" s="16"/>
    </row>
    <row r="17" customFormat="false" ht="15" hidden="false" customHeight="false" outlineLevel="0" collapsed="false">
      <c r="A17" s="50" t="s">
        <v>267</v>
      </c>
      <c r="B17" s="160" t="n">
        <v>13.6</v>
      </c>
      <c r="C17" s="160" t="n">
        <v>54.9</v>
      </c>
      <c r="D17" s="161" t="n">
        <v>56.3</v>
      </c>
      <c r="E17" s="161" t="n">
        <v>82.4</v>
      </c>
      <c r="F17" s="161" t="n">
        <v>113.1</v>
      </c>
      <c r="G17" s="16"/>
    </row>
    <row r="18" customFormat="false" ht="15" hidden="false" customHeight="false" outlineLevel="0" collapsed="false">
      <c r="A18" s="12" t="s">
        <v>736</v>
      </c>
      <c r="B18" s="136" t="n">
        <v>0.4</v>
      </c>
      <c r="C18" s="136" t="n">
        <v>0.2</v>
      </c>
      <c r="D18" s="148" t="n">
        <v>0.4</v>
      </c>
      <c r="E18" s="148" t="n">
        <v>0.7</v>
      </c>
      <c r="F18" s="148" t="n">
        <v>1</v>
      </c>
      <c r="G18" s="16"/>
    </row>
    <row r="19" customFormat="false" ht="15" hidden="false" customHeight="false" outlineLevel="0" collapsed="false">
      <c r="A19" s="50" t="s">
        <v>32</v>
      </c>
      <c r="B19" s="160" t="n">
        <v>13.2</v>
      </c>
      <c r="C19" s="160" t="n">
        <v>54.7</v>
      </c>
      <c r="D19" s="178" t="n">
        <f aca="false">'Forward EPS'!$J$23</f>
        <v>56.12</v>
      </c>
      <c r="E19" s="178" t="n">
        <f aca="false">'Forward EPS'!$K$23</f>
        <v>81.6</v>
      </c>
      <c r="F19" s="178" t="n">
        <f aca="false">'Forward EPS'!$L$23</f>
        <v>112</v>
      </c>
      <c r="G19" s="16"/>
    </row>
    <row r="20" customFormat="false" ht="15" hidden="false" customHeight="false" outlineLevel="0" collapsed="false">
      <c r="A20" s="12" t="s">
        <v>737</v>
      </c>
      <c r="B20" s="136" t="n">
        <v>15.5</v>
      </c>
      <c r="C20" s="136" t="n">
        <v>53.6</v>
      </c>
      <c r="D20" s="148" t="n">
        <v>55</v>
      </c>
      <c r="E20" s="148" t="n">
        <v>81.6</v>
      </c>
      <c r="F20" s="148" t="n">
        <v>112</v>
      </c>
      <c r="G20" s="16"/>
    </row>
    <row r="21" customFormat="false" ht="15" hidden="false" customHeight="false" outlineLevel="0" collapsed="false">
      <c r="A21" s="35" t="s">
        <v>738</v>
      </c>
      <c r="B21" s="136" t="n">
        <v>8.3</v>
      </c>
      <c r="C21" s="136" t="n">
        <v>35.3</v>
      </c>
      <c r="D21" s="148" t="n">
        <v>50.8</v>
      </c>
      <c r="E21" s="148" t="n">
        <v>76.8</v>
      </c>
      <c r="F21" s="148" t="n">
        <v>102.6</v>
      </c>
      <c r="G21" s="16"/>
    </row>
    <row r="22" customFormat="false" ht="15" hidden="false" customHeight="false" outlineLevel="0" collapsed="false">
      <c r="A22" s="91" t="s">
        <v>280</v>
      </c>
      <c r="B22" s="160" t="n">
        <v>19.4</v>
      </c>
      <c r="C22" s="160" t="n">
        <v>54.6</v>
      </c>
      <c r="D22" s="161" t="n">
        <v>70</v>
      </c>
      <c r="E22" s="161" t="n">
        <v>111.1</v>
      </c>
      <c r="F22" s="161" t="n">
        <v>143.4</v>
      </c>
      <c r="G22" s="16"/>
    </row>
    <row r="23" customFormat="false" ht="15" hidden="false" customHeight="false" outlineLevel="0" collapsed="false">
      <c r="A23" s="66" t="s">
        <v>739</v>
      </c>
      <c r="B23" s="48"/>
      <c r="C23" s="48"/>
      <c r="D23" s="48"/>
      <c r="E23" s="48"/>
      <c r="F23" s="48"/>
      <c r="G23" s="48"/>
    </row>
    <row r="24" customFormat="false" ht="15" hidden="false" customHeight="false" outlineLevel="0" collapsed="false">
      <c r="A24" s="12" t="s">
        <v>740</v>
      </c>
      <c r="B24" s="137" t="n">
        <v>-0.2163</v>
      </c>
      <c r="C24" s="137" t="n">
        <v>0.2447</v>
      </c>
      <c r="D24" s="150" t="n">
        <v>0.2619</v>
      </c>
      <c r="E24" s="150" t="n">
        <v>0.3756</v>
      </c>
      <c r="F24" s="150" t="n">
        <v>0.2318</v>
      </c>
      <c r="G24" s="16"/>
    </row>
    <row r="25" customFormat="false" ht="15" hidden="false" customHeight="false" outlineLevel="0" collapsed="false">
      <c r="A25" s="15" t="s">
        <v>741</v>
      </c>
      <c r="B25" s="137" t="n">
        <v>-0.7899</v>
      </c>
      <c r="C25" s="137" t="n">
        <v>3.253</v>
      </c>
      <c r="D25" s="150" t="n">
        <v>0.4391</v>
      </c>
      <c r="E25" s="150" t="n">
        <v>0.5118</v>
      </c>
      <c r="F25" s="150" t="n">
        <v>0.3359</v>
      </c>
      <c r="G25" s="16"/>
    </row>
    <row r="26" customFormat="false" ht="15" hidden="false" customHeight="false" outlineLevel="0" collapsed="false">
      <c r="A26" s="15" t="s">
        <v>742</v>
      </c>
      <c r="B26" s="137" t="n">
        <v>-0.7213</v>
      </c>
      <c r="C26" s="137" t="n">
        <v>1.8144</v>
      </c>
      <c r="D26" s="150" t="n">
        <v>0.2821</v>
      </c>
      <c r="E26" s="150" t="n">
        <v>0.5871</v>
      </c>
      <c r="F26" s="150" t="n">
        <v>0.2907</v>
      </c>
      <c r="G26" s="16"/>
    </row>
    <row r="27" customFormat="false" ht="15" hidden="false" customHeight="false" outlineLevel="0" collapsed="false">
      <c r="A27" s="12" t="s">
        <v>743</v>
      </c>
      <c r="B27" s="137" t="n">
        <v>-0.8086</v>
      </c>
      <c r="C27" s="137" t="n">
        <v>3.1869</v>
      </c>
      <c r="D27" s="150" t="n">
        <v>0.3415</v>
      </c>
      <c r="E27" s="150" t="n">
        <v>0.5591</v>
      </c>
      <c r="F27" s="150" t="n">
        <v>0.3351</v>
      </c>
      <c r="G27" s="16"/>
    </row>
    <row r="28" customFormat="false" ht="15" hidden="false" customHeight="false" outlineLevel="0" collapsed="false">
      <c r="A28" s="15" t="s">
        <v>744</v>
      </c>
      <c r="B28" s="137" t="n">
        <v>-0.7</v>
      </c>
      <c r="C28" s="137" t="n">
        <v>3.1439</v>
      </c>
      <c r="D28" s="150" t="n">
        <v>0.0219</v>
      </c>
      <c r="E28" s="150" t="n">
        <v>0.4597</v>
      </c>
      <c r="F28" s="150" t="n">
        <v>0.3725</v>
      </c>
      <c r="G28" s="16"/>
    </row>
    <row r="29" customFormat="false" ht="15" hidden="false" customHeight="false" outlineLevel="0" collapsed="false">
      <c r="A29" s="15" t="s">
        <v>745</v>
      </c>
      <c r="B29" s="137" t="n">
        <v>-0.7156</v>
      </c>
      <c r="C29" s="137" t="n">
        <v>2.5819</v>
      </c>
      <c r="D29" s="150" t="n">
        <v>0.0229</v>
      </c>
      <c r="E29" s="150" t="n">
        <v>0.4594</v>
      </c>
      <c r="F29" s="150" t="n">
        <v>0.3727</v>
      </c>
      <c r="G29" s="16"/>
    </row>
    <row r="30" customFormat="false" ht="15" hidden="false" customHeight="false" outlineLevel="0" collapsed="false">
      <c r="A30" s="66" t="s">
        <v>746</v>
      </c>
      <c r="B30" s="48"/>
      <c r="C30" s="48"/>
      <c r="D30" s="48"/>
      <c r="E30" s="48"/>
      <c r="F30" s="48"/>
      <c r="G30" s="48"/>
    </row>
    <row r="31" customFormat="false" ht="15" hidden="false" customHeight="false" outlineLevel="0" collapsed="false">
      <c r="A31" s="12" t="s">
        <v>27</v>
      </c>
      <c r="B31" s="137" t="n">
        <v>0.393</v>
      </c>
      <c r="C31" s="137" t="n">
        <v>0.4264</v>
      </c>
      <c r="D31" s="150" t="n">
        <v>0.445</v>
      </c>
      <c r="E31" s="150" t="n">
        <v>0.4708</v>
      </c>
      <c r="F31" s="150" t="n">
        <v>0.4757</v>
      </c>
      <c r="G31" s="16"/>
    </row>
    <row r="32" customFormat="false" ht="15" hidden="false" customHeight="false" outlineLevel="0" collapsed="false">
      <c r="A32" s="15" t="s">
        <v>747</v>
      </c>
      <c r="B32" s="137" t="n">
        <v>0.1384</v>
      </c>
      <c r="C32" s="137" t="n">
        <v>0.3129</v>
      </c>
      <c r="D32" s="150" t="n">
        <v>0.3179</v>
      </c>
      <c r="E32" s="150" t="n">
        <v>0.3668</v>
      </c>
      <c r="F32" s="150" t="n">
        <v>0.3843</v>
      </c>
      <c r="G32" s="16"/>
    </row>
    <row r="33" customFormat="false" ht="15" hidden="false" customHeight="false" outlineLevel="0" collapsed="false">
      <c r="A33" s="12" t="s">
        <v>30</v>
      </c>
      <c r="B33" s="137" t="n">
        <v>0.0763</v>
      </c>
      <c r="C33" s="137" t="n">
        <v>0.2567</v>
      </c>
      <c r="D33" s="150" t="n">
        <v>0.2729</v>
      </c>
      <c r="E33" s="150" t="n">
        <v>0.3093</v>
      </c>
      <c r="F33" s="150" t="n">
        <v>0.3353</v>
      </c>
      <c r="G33" s="16"/>
    </row>
    <row r="34" customFormat="false" ht="15" hidden="false" customHeight="false" outlineLevel="0" collapsed="false">
      <c r="A34" s="12" t="s">
        <v>748</v>
      </c>
      <c r="B34" s="137" t="n">
        <v>0.097</v>
      </c>
      <c r="C34" s="137" t="n">
        <v>0.3146</v>
      </c>
      <c r="D34" s="150" t="n">
        <v>0.2557</v>
      </c>
      <c r="E34" s="150" t="n">
        <v>0.272</v>
      </c>
      <c r="F34" s="150" t="n">
        <v>0.3031</v>
      </c>
      <c r="G34" s="16"/>
    </row>
    <row r="35" customFormat="false" ht="15" hidden="false" customHeight="false" outlineLevel="0" collapsed="false">
      <c r="A35" s="19" t="s">
        <v>437</v>
      </c>
    </row>
    <row r="37" customFormat="false" ht="15" hidden="false" customHeight="false" outlineLevel="0" collapsed="false">
      <c r="A37" s="66" t="s">
        <v>496</v>
      </c>
      <c r="B37" s="48"/>
      <c r="C37" s="48"/>
      <c r="D37" s="48"/>
      <c r="E37" s="48"/>
      <c r="F37" s="48"/>
      <c r="G37" s="48"/>
    </row>
    <row r="38" customFormat="false" ht="15" hidden="false" customHeight="false" outlineLevel="0" collapsed="false">
      <c r="A38" s="49" t="s">
        <v>285</v>
      </c>
      <c r="B38" s="69" t="s">
        <v>251</v>
      </c>
      <c r="C38" s="69" t="s">
        <v>252</v>
      </c>
      <c r="D38" s="69" t="s">
        <v>240</v>
      </c>
      <c r="E38" s="69" t="s">
        <v>241</v>
      </c>
      <c r="F38" s="69" t="s">
        <v>253</v>
      </c>
      <c r="G38" s="49" t="s">
        <v>231</v>
      </c>
    </row>
    <row r="39" customFormat="false" ht="15" hidden="false" customHeight="false" outlineLevel="0" collapsed="false">
      <c r="A39" s="39" t="s">
        <v>749</v>
      </c>
      <c r="B39" s="71" t="n">
        <f aca="false">B$5-B$6</f>
        <v>55.1</v>
      </c>
      <c r="C39" s="71" t="n">
        <f aca="false">C$5-C$6</f>
        <v>74.4</v>
      </c>
      <c r="D39" s="71" t="n">
        <f aca="false">D$5-D$6</f>
        <v>97.74</v>
      </c>
      <c r="E39" s="71" t="n">
        <f aca="false">E$5-E$6</f>
        <v>142.6</v>
      </c>
      <c r="F39" s="71" t="n">
        <f aca="false">F$5-F$6</f>
        <v>177.5</v>
      </c>
      <c r="G39" s="154" t="s">
        <v>750</v>
      </c>
    </row>
    <row r="40" customFormat="false" ht="15" hidden="false" customHeight="false" outlineLevel="0" collapsed="false">
      <c r="A40" s="39" t="s">
        <v>751</v>
      </c>
      <c r="B40" s="71" t="n">
        <f aca="false">B$7-B$8</f>
        <v>10.7</v>
      </c>
      <c r="C40" s="71" t="n">
        <f aca="false">C$7-C$8</f>
        <v>44.8</v>
      </c>
      <c r="D40" s="71" t="n">
        <f aca="false">D$7-D$8</f>
        <v>60.05</v>
      </c>
      <c r="E40" s="71" t="n">
        <f aca="false">E$7-E$8</f>
        <v>93.7</v>
      </c>
      <c r="F40" s="71" t="n">
        <f aca="false">F$7-F$8</f>
        <v>125.1</v>
      </c>
      <c r="G40" s="154" t="s">
        <v>752</v>
      </c>
    </row>
    <row r="41" customFormat="false" ht="15" hidden="false" customHeight="false" outlineLevel="0" collapsed="false">
      <c r="A41" s="39" t="s">
        <v>753</v>
      </c>
      <c r="B41" s="71" t="n">
        <f aca="false">B$9+B$10+B$11+B$12</f>
        <v>17.5</v>
      </c>
      <c r="C41" s="71" t="n">
        <f aca="false">C$9+C$10+C$11+C$12</f>
        <v>69.6</v>
      </c>
      <c r="D41" s="71" t="n">
        <f aca="false">D$9+D$10+D$11+D$12</f>
        <v>66.55</v>
      </c>
      <c r="E41" s="71" t="n">
        <f aca="false">E$9+E$10+E$11+E$12</f>
        <v>100.5</v>
      </c>
      <c r="F41" s="71" t="n">
        <f aca="false">F$9+F$10+F$11+F$12</f>
        <v>137.8</v>
      </c>
      <c r="G41" s="154" t="s">
        <v>754</v>
      </c>
    </row>
    <row r="42" customFormat="false" ht="15" hidden="false" customHeight="false" outlineLevel="0" collapsed="false">
      <c r="A42" s="39" t="s">
        <v>755</v>
      </c>
      <c r="B42" s="71" t="n">
        <f aca="false">B$13-B$14</f>
        <v>13.6</v>
      </c>
      <c r="C42" s="71" t="n">
        <f aca="false">C$13-C$14</f>
        <v>54.9</v>
      </c>
      <c r="D42" s="71" t="n">
        <f aca="false">D$13-D$14</f>
        <v>56.29</v>
      </c>
      <c r="E42" s="71" t="n">
        <f aca="false">E$13-E$14</f>
        <v>82.3</v>
      </c>
      <c r="F42" s="71" t="n">
        <f aca="false">F$13-F$14</f>
        <v>113.1</v>
      </c>
      <c r="G42" s="154" t="s">
        <v>756</v>
      </c>
    </row>
    <row r="43" customFormat="false" ht="15" hidden="false" customHeight="false" outlineLevel="0" collapsed="false">
      <c r="A43" s="39" t="s">
        <v>757</v>
      </c>
      <c r="B43" s="71" t="n">
        <f aca="false">B$15+B$16</f>
        <v>13.6</v>
      </c>
      <c r="C43" s="71" t="n">
        <f aca="false">C$15+C$16</f>
        <v>54.9</v>
      </c>
      <c r="D43" s="71" t="n">
        <f aca="false">D$15+D$16</f>
        <v>56.3</v>
      </c>
      <c r="E43" s="71" t="n">
        <f aca="false">E$15+E$16</f>
        <v>82.4</v>
      </c>
      <c r="F43" s="71" t="n">
        <f aca="false">F$15+F$16</f>
        <v>113.1</v>
      </c>
      <c r="G43" s="154" t="s">
        <v>758</v>
      </c>
    </row>
    <row r="44" customFormat="false" ht="15" hidden="false" customHeight="false" outlineLevel="0" collapsed="false">
      <c r="A44" s="39" t="s">
        <v>759</v>
      </c>
      <c r="B44" s="71" t="n">
        <f aca="false">B$17-B$18</f>
        <v>13.2</v>
      </c>
      <c r="C44" s="71" t="n">
        <f aca="false">C$17-C$18</f>
        <v>54.7</v>
      </c>
      <c r="D44" s="71" t="n">
        <f aca="false">D$17-D$18</f>
        <v>55.9</v>
      </c>
      <c r="E44" s="71" t="n">
        <f aca="false">E$17-E$18</f>
        <v>81.7</v>
      </c>
      <c r="F44" s="71" t="n">
        <f aca="false">F$17-F$18</f>
        <v>112.1</v>
      </c>
      <c r="G44" s="154" t="s">
        <v>760</v>
      </c>
    </row>
    <row r="45" customFormat="false" ht="15" hidden="false" customHeight="false" outlineLevel="0" collapsed="false">
      <c r="A45" s="39" t="s">
        <v>761</v>
      </c>
      <c r="B45" s="83" t="n">
        <f aca="false">B$9/B$5</f>
        <v>0.0763195435092725</v>
      </c>
      <c r="C45" s="83" t="n">
        <f aca="false">C$9/C$5</f>
        <v>0.256733524355301</v>
      </c>
      <c r="D45" s="83" t="n">
        <f aca="false">D$9/D$5</f>
        <v>0.272719015395795</v>
      </c>
      <c r="E45" s="83" t="n">
        <f aca="false">E$9/E$5</f>
        <v>0.309343017497524</v>
      </c>
      <c r="F45" s="83" t="n">
        <f aca="false">F$9/F$5</f>
        <v>0.33529884749397</v>
      </c>
      <c r="G45" s="154" t="s">
        <v>762</v>
      </c>
    </row>
    <row r="46" customFormat="false" ht="15" hidden="false" customHeight="false" outlineLevel="0" collapsed="false">
      <c r="A46" s="39" t="s">
        <v>763</v>
      </c>
      <c r="B46" s="83" t="n">
        <f aca="false">B$7/B$5</f>
        <v>0.393009985734665</v>
      </c>
      <c r="C46" s="83" t="n">
        <f aca="false">C$7/C$5</f>
        <v>0.426361031518625</v>
      </c>
      <c r="D46" s="83" t="n">
        <f aca="false">D$7/D$5</f>
        <v>0.443889368272855</v>
      </c>
      <c r="E46" s="83" t="n">
        <f aca="false">E$7/E$5</f>
        <v>0.470782436447673</v>
      </c>
      <c r="F46" s="83" t="n">
        <f aca="false">F$7/F$5</f>
        <v>0.475743768426695</v>
      </c>
      <c r="G46" s="154" t="s">
        <v>764</v>
      </c>
    </row>
    <row r="47" customFormat="false" ht="15" hidden="false" customHeight="false" outlineLevel="0" collapsed="false">
      <c r="A47" s="35" t="s">
        <v>765</v>
      </c>
      <c r="B47" s="83" t="n">
        <f aca="false">B$22/B$5</f>
        <v>0.138373751783167</v>
      </c>
      <c r="C47" s="83" t="n">
        <f aca="false">C$22/C$5</f>
        <v>0.312893982808023</v>
      </c>
      <c r="D47" s="83" t="n">
        <f aca="false">D$22/D$5</f>
        <v>0.317907261910169</v>
      </c>
      <c r="E47" s="83" t="n">
        <f aca="false">E$22/E$5</f>
        <v>0.366787718719049</v>
      </c>
      <c r="F47" s="83" t="n">
        <f aca="false">F$22/F$5</f>
        <v>0.384347359957116</v>
      </c>
      <c r="G47" s="154" t="s">
        <v>766</v>
      </c>
    </row>
    <row r="48" customFormat="false" ht="15" hidden="false" customHeight="false" outlineLevel="0" collapsed="false">
      <c r="A48" s="39" t="s">
        <v>767</v>
      </c>
      <c r="B48" s="83" t="n">
        <f aca="false">B$14/B$13</f>
        <v>0.227272727272727</v>
      </c>
      <c r="C48" s="83" t="n">
        <f aca="false">C$14/C$13</f>
        <v>0.211206896551724</v>
      </c>
      <c r="D48" s="83" t="n">
        <f aca="false">D$14/D$13</f>
        <v>0.154677879561496</v>
      </c>
      <c r="E48" s="83" t="n">
        <f aca="false">E$14/E$13</f>
        <v>0.180278884462151</v>
      </c>
      <c r="F48" s="83" t="n">
        <f aca="false">F$14/F$13</f>
        <v>0.179840464104424</v>
      </c>
      <c r="G48" s="154" t="s">
        <v>768</v>
      </c>
    </row>
    <row r="49" customFormat="false" ht="15" hidden="false" customHeight="false" outlineLevel="0" collapsed="false">
      <c r="A49" s="39" t="s">
        <v>769</v>
      </c>
      <c r="B49" s="152" t="s">
        <v>256</v>
      </c>
      <c r="C49" s="83" t="n">
        <f aca="false">C$5/B$5-1</f>
        <v>0.244650499286733</v>
      </c>
      <c r="D49" s="83" t="n">
        <f aca="false">D$5/C$5-1</f>
        <v>0.261833810888252</v>
      </c>
      <c r="E49" s="83" t="n">
        <f aca="false">E$5/D$5-1</f>
        <v>0.375630137608429</v>
      </c>
      <c r="F49" s="83" t="n">
        <f aca="false">F$5/E$5-1</f>
        <v>0.231759656652361</v>
      </c>
      <c r="G49" s="153" t="s">
        <v>770</v>
      </c>
    </row>
    <row r="50" customFormat="false" ht="15" hidden="false" customHeight="false" outlineLevel="0" collapsed="false">
      <c r="A50" s="39" t="s">
        <v>771</v>
      </c>
      <c r="B50" s="152" t="s">
        <v>256</v>
      </c>
      <c r="C50" s="83" t="n">
        <f aca="false">C$9/B$9-1</f>
        <v>3.18691588785047</v>
      </c>
      <c r="D50" s="83" t="n">
        <f aca="false">D$9/C$9-1</f>
        <v>0.340401785714286</v>
      </c>
      <c r="E50" s="83" t="n">
        <f aca="false">E$9/D$9-1</f>
        <v>0.560366361365529</v>
      </c>
      <c r="F50" s="83" t="n">
        <f aca="false">F$9/E$9-1</f>
        <v>0.335112059765208</v>
      </c>
      <c r="G50" s="153" t="s">
        <v>770</v>
      </c>
    </row>
    <row r="52" customFormat="false" ht="15" hidden="false" customHeight="false" outlineLevel="0" collapsed="false">
      <c r="A52" s="20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773</v>
      </c>
    </row>
    <row r="2" customFormat="false" ht="15" hidden="false" customHeight="false" outlineLevel="0" collapsed="false">
      <c r="A2" s="19" t="s">
        <v>774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50" t="s">
        <v>775</v>
      </c>
      <c r="B5" s="160" t="n">
        <v>361.8</v>
      </c>
      <c r="C5" s="160" t="n">
        <v>405.1</v>
      </c>
      <c r="D5" s="161" t="n">
        <v>444.3</v>
      </c>
      <c r="E5" s="161" t="n">
        <v>438.8</v>
      </c>
      <c r="F5" s="161" t="n">
        <v>541</v>
      </c>
      <c r="G5" s="16"/>
    </row>
    <row r="6" customFormat="false" ht="15" hidden="false" customHeight="false" outlineLevel="0" collapsed="false">
      <c r="A6" s="12" t="s">
        <v>776</v>
      </c>
      <c r="B6" s="136" t="n">
        <v>320.5</v>
      </c>
      <c r="C6" s="136" t="n">
        <v>346.9</v>
      </c>
      <c r="D6" s="148" t="n">
        <v>351.7</v>
      </c>
      <c r="E6" s="148" t="n">
        <v>327.4</v>
      </c>
      <c r="F6" s="148" t="n">
        <v>403.9</v>
      </c>
      <c r="G6" s="16"/>
    </row>
    <row r="7" customFormat="false" ht="15" hidden="false" customHeight="false" outlineLevel="0" collapsed="false">
      <c r="A7" s="179" t="s">
        <v>777</v>
      </c>
      <c r="B7" s="136" t="n">
        <v>268</v>
      </c>
      <c r="C7" s="136" t="n">
        <v>39.9</v>
      </c>
      <c r="D7" s="148" t="n">
        <v>54.5</v>
      </c>
      <c r="E7" s="148" t="n">
        <v>59.7</v>
      </c>
      <c r="F7" s="148" t="n">
        <v>74.5</v>
      </c>
      <c r="G7" s="16"/>
    </row>
    <row r="8" customFormat="false" ht="15" hidden="false" customHeight="false" outlineLevel="0" collapsed="false">
      <c r="A8" s="12" t="s">
        <v>778</v>
      </c>
      <c r="B8" s="136" t="n">
        <v>21</v>
      </c>
      <c r="C8" s="136" t="n">
        <v>32.9</v>
      </c>
      <c r="D8" s="148" t="n">
        <v>60.6</v>
      </c>
      <c r="E8" s="148" t="n">
        <v>74</v>
      </c>
      <c r="F8" s="148" t="n">
        <v>91.2</v>
      </c>
      <c r="G8" s="16"/>
    </row>
    <row r="9" customFormat="false" ht="15" hidden="false" customHeight="false" outlineLevel="0" collapsed="false">
      <c r="A9" s="12" t="s">
        <v>779</v>
      </c>
      <c r="B9" s="136" t="n">
        <v>15.4</v>
      </c>
      <c r="C9" s="136" t="n">
        <v>15.4</v>
      </c>
      <c r="D9" s="148" t="n">
        <v>13.9</v>
      </c>
      <c r="E9" s="148" t="n">
        <v>15.3</v>
      </c>
      <c r="F9" s="148" t="n">
        <v>18.8</v>
      </c>
      <c r="G9" s="16"/>
    </row>
    <row r="10" customFormat="false" ht="15" hidden="false" customHeight="false" outlineLevel="0" collapsed="false">
      <c r="A10" s="12" t="s">
        <v>780</v>
      </c>
      <c r="B10" s="136" t="n">
        <v>4.9</v>
      </c>
      <c r="C10" s="136" t="n">
        <v>9.9</v>
      </c>
      <c r="D10" s="148" t="n">
        <v>18.1</v>
      </c>
      <c r="E10" s="148" t="n">
        <v>22.1</v>
      </c>
      <c r="F10" s="148" t="n">
        <v>27.1</v>
      </c>
      <c r="G10" s="16"/>
    </row>
    <row r="11" customFormat="false" ht="15" hidden="false" customHeight="false" outlineLevel="0" collapsed="false">
      <c r="A11" s="50" t="s">
        <v>781</v>
      </c>
      <c r="B11" s="160" t="n">
        <v>180</v>
      </c>
      <c r="C11" s="160" t="n">
        <v>177.8</v>
      </c>
      <c r="D11" s="161" t="n">
        <v>171.9</v>
      </c>
      <c r="E11" s="161" t="n">
        <v>254.6</v>
      </c>
      <c r="F11" s="161" t="n">
        <v>262.5</v>
      </c>
      <c r="G11" s="16"/>
    </row>
    <row r="12" customFormat="false" ht="15" hidden="false" customHeight="false" outlineLevel="0" collapsed="false">
      <c r="A12" s="12" t="s">
        <v>782</v>
      </c>
      <c r="B12" s="136" t="n">
        <v>9.9</v>
      </c>
      <c r="C12" s="136" t="n">
        <v>8.6</v>
      </c>
      <c r="D12" s="148" t="n">
        <v>0.6</v>
      </c>
      <c r="E12" s="148" t="n">
        <v>0.7</v>
      </c>
      <c r="F12" s="148" t="n">
        <v>0.9</v>
      </c>
      <c r="G12" s="16"/>
    </row>
    <row r="13" customFormat="false" ht="15" hidden="false" customHeight="false" outlineLevel="0" collapsed="false">
      <c r="A13" s="179" t="s">
        <v>776</v>
      </c>
      <c r="B13" s="136" t="n">
        <v>9.9</v>
      </c>
      <c r="C13" s="136" t="n">
        <v>8.6</v>
      </c>
      <c r="D13" s="148" t="n">
        <v>0.6</v>
      </c>
      <c r="E13" s="148" t="n">
        <v>0.7</v>
      </c>
      <c r="F13" s="148" t="n">
        <v>0.9</v>
      </c>
      <c r="G13" s="154" t="s">
        <v>783</v>
      </c>
    </row>
    <row r="14" customFormat="false" ht="15" hidden="false" customHeight="false" outlineLevel="0" collapsed="false">
      <c r="A14" s="12" t="s">
        <v>784</v>
      </c>
      <c r="B14" s="136" t="n">
        <v>92.8</v>
      </c>
      <c r="C14" s="136" t="n">
        <v>92.2</v>
      </c>
      <c r="D14" s="148" t="n">
        <v>96.1</v>
      </c>
      <c r="E14" s="148" t="n">
        <v>179.9</v>
      </c>
      <c r="F14" s="148" t="n">
        <v>187.8</v>
      </c>
      <c r="G14" s="16"/>
    </row>
    <row r="15" customFormat="false" ht="15" hidden="false" customHeight="false" outlineLevel="0" collapsed="false">
      <c r="A15" s="12" t="s">
        <v>785</v>
      </c>
      <c r="B15" s="136" t="n">
        <v>21.4</v>
      </c>
      <c r="C15" s="136" t="n">
        <v>17.7</v>
      </c>
      <c r="D15" s="148" t="n">
        <v>19.8</v>
      </c>
      <c r="E15" s="148" t="n">
        <v>18.7</v>
      </c>
      <c r="F15" s="148" t="n">
        <v>18.5</v>
      </c>
      <c r="G15" s="16"/>
    </row>
    <row r="16" customFormat="false" ht="15" hidden="false" customHeight="false" outlineLevel="0" collapsed="false">
      <c r="A16" s="12" t="s">
        <v>786</v>
      </c>
      <c r="B16" s="136" t="n">
        <v>55.9</v>
      </c>
      <c r="C16" s="136" t="n">
        <v>59.3</v>
      </c>
      <c r="D16" s="148" t="n">
        <v>55.4</v>
      </c>
      <c r="E16" s="148" t="n">
        <v>55.3</v>
      </c>
      <c r="F16" s="148" t="n">
        <v>55.3</v>
      </c>
      <c r="G16" s="16"/>
    </row>
    <row r="17" customFormat="false" ht="15" hidden="false" customHeight="false" outlineLevel="0" collapsed="false">
      <c r="A17" s="50" t="s">
        <v>787</v>
      </c>
      <c r="B17" s="160" t="n">
        <v>541.8</v>
      </c>
      <c r="C17" s="160" t="n">
        <v>582.9</v>
      </c>
      <c r="D17" s="161" t="n">
        <v>616.2</v>
      </c>
      <c r="E17" s="161" t="n">
        <v>693.4</v>
      </c>
      <c r="F17" s="161" t="n">
        <v>803.6</v>
      </c>
      <c r="G17" s="16"/>
    </row>
    <row r="18" customFormat="false" ht="15" hidden="false" customHeight="false" outlineLevel="0" collapsed="false">
      <c r="A18" s="66" t="s">
        <v>788</v>
      </c>
      <c r="B18" s="48"/>
      <c r="C18" s="48"/>
      <c r="D18" s="48"/>
      <c r="E18" s="48"/>
      <c r="F18" s="48"/>
      <c r="G18" s="48"/>
    </row>
    <row r="19" customFormat="false" ht="15" hidden="false" customHeight="false" outlineLevel="0" collapsed="false">
      <c r="A19" s="50" t="s">
        <v>789</v>
      </c>
      <c r="B19" s="160" t="n">
        <v>58.3</v>
      </c>
      <c r="C19" s="160" t="n">
        <v>52.3</v>
      </c>
      <c r="D19" s="161" t="n">
        <v>66.6</v>
      </c>
      <c r="E19" s="161" t="n">
        <v>75</v>
      </c>
      <c r="F19" s="161" t="n">
        <v>85.8</v>
      </c>
      <c r="G19" s="16"/>
    </row>
    <row r="20" customFormat="false" ht="15" hidden="false" customHeight="false" outlineLevel="0" collapsed="false">
      <c r="A20" s="12" t="s">
        <v>790</v>
      </c>
      <c r="B20" s="136" t="n">
        <v>40.1</v>
      </c>
      <c r="C20" s="136" t="n">
        <v>20.7</v>
      </c>
      <c r="D20" s="148" t="n">
        <v>21.2</v>
      </c>
      <c r="E20" s="148" t="n">
        <v>21.5</v>
      </c>
      <c r="F20" s="148" t="n">
        <v>21.9</v>
      </c>
      <c r="G20" s="154" t="s">
        <v>791</v>
      </c>
    </row>
    <row r="21" customFormat="false" ht="15" hidden="false" customHeight="false" outlineLevel="0" collapsed="false">
      <c r="A21" s="12" t="s">
        <v>792</v>
      </c>
      <c r="B21" s="136" t="n">
        <v>4.8</v>
      </c>
      <c r="C21" s="136" t="n">
        <v>7.6</v>
      </c>
      <c r="D21" s="148" t="n">
        <v>13.9</v>
      </c>
      <c r="E21" s="148" t="n">
        <v>17</v>
      </c>
      <c r="F21" s="148" t="n">
        <v>21</v>
      </c>
      <c r="G21" s="16"/>
    </row>
    <row r="22" customFormat="false" ht="15" hidden="false" customHeight="false" outlineLevel="0" collapsed="false">
      <c r="A22" s="12" t="s">
        <v>793</v>
      </c>
      <c r="B22" s="136" t="n">
        <v>13.4</v>
      </c>
      <c r="C22" s="136" t="n">
        <v>24</v>
      </c>
      <c r="D22" s="148" t="n">
        <v>31.5</v>
      </c>
      <c r="E22" s="148" t="n">
        <v>36.5</v>
      </c>
      <c r="F22" s="148" t="n">
        <v>42.9</v>
      </c>
      <c r="G22" s="16"/>
    </row>
    <row r="23" customFormat="false" ht="15" hidden="false" customHeight="false" outlineLevel="0" collapsed="false">
      <c r="A23" s="50" t="s">
        <v>794</v>
      </c>
      <c r="B23" s="160" t="n">
        <v>10.1</v>
      </c>
      <c r="C23" s="160" t="n">
        <v>7.5</v>
      </c>
      <c r="D23" s="161" t="n">
        <v>13.7</v>
      </c>
      <c r="E23" s="161" t="n">
        <v>16.7</v>
      </c>
      <c r="F23" s="161" t="n">
        <v>20.4</v>
      </c>
      <c r="G23" s="16"/>
    </row>
    <row r="24" customFormat="false" ht="15" hidden="false" customHeight="false" outlineLevel="0" collapsed="false">
      <c r="A24" s="12" t="s">
        <v>790</v>
      </c>
      <c r="B24" s="136" t="n">
        <v>3.5</v>
      </c>
      <c r="C24" s="136" t="n">
        <v>0.3</v>
      </c>
      <c r="D24" s="148" t="n">
        <v>0.5</v>
      </c>
      <c r="E24" s="148" t="n">
        <v>0.5</v>
      </c>
      <c r="F24" s="148" t="n">
        <v>0.5</v>
      </c>
      <c r="G24" s="154" t="s">
        <v>795</v>
      </c>
    </row>
    <row r="25" customFormat="false" ht="15" hidden="false" customHeight="false" outlineLevel="0" collapsed="false">
      <c r="A25" s="12" t="s">
        <v>796</v>
      </c>
      <c r="B25" s="136" t="n">
        <v>6.6</v>
      </c>
      <c r="C25" s="136" t="n">
        <v>7.2</v>
      </c>
      <c r="D25" s="148" t="n">
        <v>13.2</v>
      </c>
      <c r="E25" s="148" t="n">
        <v>16.2</v>
      </c>
      <c r="F25" s="148" t="n">
        <v>19.9</v>
      </c>
      <c r="G25" s="16"/>
    </row>
    <row r="26" customFormat="false" ht="15" hidden="false" customHeight="false" outlineLevel="0" collapsed="false">
      <c r="A26" s="50" t="s">
        <v>797</v>
      </c>
      <c r="B26" s="160" t="n">
        <v>68.4</v>
      </c>
      <c r="C26" s="160" t="n">
        <v>59.7</v>
      </c>
      <c r="D26" s="161" t="n">
        <v>80.3</v>
      </c>
      <c r="E26" s="161" t="n">
        <v>91.7</v>
      </c>
      <c r="F26" s="161" t="n">
        <v>106.2</v>
      </c>
      <c r="G26" s="16"/>
    </row>
    <row r="27" customFormat="false" ht="15" hidden="false" customHeight="false" outlineLevel="0" collapsed="false">
      <c r="A27" s="66" t="s">
        <v>798</v>
      </c>
      <c r="B27" s="48"/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50" t="s">
        <v>799</v>
      </c>
      <c r="B28" s="160" t="n">
        <v>473.4</v>
      </c>
      <c r="C28" s="160" t="n">
        <v>522.7</v>
      </c>
      <c r="D28" s="161" t="n">
        <v>535.2</v>
      </c>
      <c r="E28" s="161" t="n">
        <v>600.2</v>
      </c>
      <c r="F28" s="161" t="n">
        <v>694.8</v>
      </c>
      <c r="G28" s="16"/>
    </row>
    <row r="29" customFormat="false" ht="15" hidden="false" customHeight="false" outlineLevel="0" collapsed="false">
      <c r="A29" s="12" t="s">
        <v>800</v>
      </c>
      <c r="B29" s="136" t="n">
        <v>10.6</v>
      </c>
      <c r="C29" s="136" t="n">
        <v>10.6</v>
      </c>
      <c r="D29" s="148" t="n">
        <v>10.6</v>
      </c>
      <c r="E29" s="148" t="n">
        <v>10.6</v>
      </c>
      <c r="F29" s="148" t="n">
        <v>10.6</v>
      </c>
      <c r="G29" s="16"/>
    </row>
    <row r="30" customFormat="false" ht="15" hidden="false" customHeight="false" outlineLevel="0" collapsed="false">
      <c r="A30" s="12" t="s">
        <v>801</v>
      </c>
      <c r="B30" s="136" t="n">
        <v>315.7</v>
      </c>
      <c r="C30" s="136" t="n">
        <v>315.7</v>
      </c>
      <c r="D30" s="148" t="n">
        <v>289.7</v>
      </c>
      <c r="E30" s="148" t="n">
        <v>289.7</v>
      </c>
      <c r="F30" s="148" t="n">
        <v>289.7</v>
      </c>
      <c r="G30" s="16"/>
    </row>
    <row r="31" customFormat="false" ht="15" hidden="false" customHeight="false" outlineLevel="0" collapsed="false">
      <c r="A31" s="12" t="s">
        <v>802</v>
      </c>
      <c r="B31" s="136" t="n">
        <v>-27</v>
      </c>
      <c r="C31" s="136" t="n">
        <v>-27.1</v>
      </c>
      <c r="D31" s="148" t="n">
        <v>-27.1</v>
      </c>
      <c r="E31" s="148" t="n">
        <v>-27.1</v>
      </c>
      <c r="F31" s="148" t="n">
        <v>-27.1</v>
      </c>
      <c r="G31" s="16"/>
    </row>
    <row r="32" customFormat="false" ht="15" hidden="false" customHeight="false" outlineLevel="0" collapsed="false">
      <c r="A32" s="12" t="s">
        <v>803</v>
      </c>
      <c r="B32" s="136" t="n">
        <v>0.7</v>
      </c>
      <c r="C32" s="136" t="n">
        <v>1.5</v>
      </c>
      <c r="D32" s="148" t="n">
        <v>1.2</v>
      </c>
      <c r="E32" s="148" t="n">
        <v>1.2</v>
      </c>
      <c r="F32" s="148" t="n">
        <v>1.2</v>
      </c>
      <c r="G32" s="16"/>
    </row>
    <row r="33" customFormat="false" ht="15" hidden="false" customHeight="false" outlineLevel="0" collapsed="false">
      <c r="A33" s="12" t="s">
        <v>804</v>
      </c>
      <c r="B33" s="136" t="n">
        <v>173.3</v>
      </c>
      <c r="C33" s="136" t="n">
        <v>222</v>
      </c>
      <c r="D33" s="148" t="n">
        <v>260.7</v>
      </c>
      <c r="E33" s="148" t="n">
        <v>325.8</v>
      </c>
      <c r="F33" s="148" t="n">
        <v>420.4</v>
      </c>
      <c r="G33" s="16"/>
    </row>
    <row r="34" customFormat="false" ht="15" hidden="false" customHeight="false" outlineLevel="0" collapsed="false">
      <c r="A34" s="39" t="s">
        <v>805</v>
      </c>
      <c r="B34" s="136" t="n">
        <v>0.1</v>
      </c>
      <c r="C34" s="136" t="n">
        <v>0.4</v>
      </c>
      <c r="D34" s="148" t="n">
        <v>0.8</v>
      </c>
      <c r="E34" s="148" t="n">
        <v>1.6</v>
      </c>
      <c r="F34" s="148" t="n">
        <v>2.6</v>
      </c>
      <c r="G34" s="16"/>
    </row>
    <row r="35" customFormat="false" ht="15" hidden="false" customHeight="false" outlineLevel="0" collapsed="false">
      <c r="A35" s="50" t="s">
        <v>806</v>
      </c>
      <c r="B35" s="160" t="n">
        <v>473.5</v>
      </c>
      <c r="C35" s="160" t="n">
        <v>523.1</v>
      </c>
      <c r="D35" s="161" t="n">
        <v>536</v>
      </c>
      <c r="E35" s="161" t="n">
        <v>601.8</v>
      </c>
      <c r="F35" s="161" t="n">
        <v>697.4</v>
      </c>
      <c r="G35" s="16"/>
    </row>
    <row r="36" customFormat="false" ht="15" hidden="false" customHeight="false" outlineLevel="0" collapsed="false">
      <c r="A36" s="39" t="s">
        <v>807</v>
      </c>
      <c r="B36" s="136" t="n">
        <v>-276.9</v>
      </c>
      <c r="C36" s="136" t="n">
        <v>-325.9</v>
      </c>
      <c r="D36" s="148" t="n">
        <v>-330</v>
      </c>
      <c r="E36" s="148" t="n">
        <v>-305.4</v>
      </c>
      <c r="F36" s="148" t="n">
        <v>-381.5</v>
      </c>
      <c r="G36" s="154" t="s">
        <v>808</v>
      </c>
    </row>
    <row r="37" customFormat="false" ht="15" hidden="false" customHeight="false" outlineLevel="0" collapsed="false">
      <c r="A37" s="19" t="s">
        <v>437</v>
      </c>
    </row>
    <row r="39" customFormat="false" ht="15" hidden="false" customHeight="false" outlineLevel="0" collapsed="false">
      <c r="A39" s="66" t="s">
        <v>496</v>
      </c>
      <c r="B39" s="48"/>
      <c r="C39" s="48"/>
      <c r="D39" s="48"/>
      <c r="E39" s="48"/>
      <c r="F39" s="48"/>
      <c r="G39" s="48"/>
    </row>
    <row r="40" customFormat="false" ht="15" hidden="false" customHeight="false" outlineLevel="0" collapsed="false">
      <c r="A40" s="49" t="s">
        <v>285</v>
      </c>
      <c r="B40" s="69" t="s">
        <v>251</v>
      </c>
      <c r="C40" s="69" t="s">
        <v>252</v>
      </c>
      <c r="D40" s="69" t="s">
        <v>240</v>
      </c>
      <c r="E40" s="69" t="s">
        <v>241</v>
      </c>
      <c r="F40" s="69" t="s">
        <v>253</v>
      </c>
      <c r="G40" s="49" t="s">
        <v>231</v>
      </c>
    </row>
    <row r="41" customFormat="false" ht="15" hidden="false" customHeight="false" outlineLevel="0" collapsed="false">
      <c r="A41" s="39" t="s">
        <v>809</v>
      </c>
      <c r="B41" s="71" t="n">
        <f aca="false">B$5+B$11</f>
        <v>541.8</v>
      </c>
      <c r="C41" s="71" t="n">
        <f aca="false">C$5+C$11</f>
        <v>582.9</v>
      </c>
      <c r="D41" s="71" t="n">
        <f aca="false">D$5+D$11</f>
        <v>616.2</v>
      </c>
      <c r="E41" s="71" t="n">
        <f aca="false">E$5+E$11</f>
        <v>693.4</v>
      </c>
      <c r="F41" s="71" t="n">
        <f aca="false">F$5+F$11</f>
        <v>803.5</v>
      </c>
      <c r="G41" s="154" t="s">
        <v>810</v>
      </c>
    </row>
    <row r="42" customFormat="false" ht="15" hidden="false" customHeight="false" outlineLevel="0" collapsed="false">
      <c r="A42" s="39" t="s">
        <v>811</v>
      </c>
      <c r="B42" s="71" t="n">
        <f aca="false">B$19+B$23</f>
        <v>68.4</v>
      </c>
      <c r="C42" s="71" t="n">
        <f aca="false">C$19+C$23</f>
        <v>59.8</v>
      </c>
      <c r="D42" s="71" t="n">
        <f aca="false">D$19+D$23</f>
        <v>80.3</v>
      </c>
      <c r="E42" s="71" t="n">
        <f aca="false">E$19+E$23</f>
        <v>91.7</v>
      </c>
      <c r="F42" s="71" t="n">
        <f aca="false">F$19+F$23</f>
        <v>106.2</v>
      </c>
      <c r="G42" s="154" t="s">
        <v>812</v>
      </c>
    </row>
    <row r="43" customFormat="false" ht="15" hidden="false" customHeight="false" outlineLevel="0" collapsed="false">
      <c r="A43" s="39" t="s">
        <v>813</v>
      </c>
      <c r="B43" s="71" t="n">
        <f aca="false">B$28+B$34</f>
        <v>473.5</v>
      </c>
      <c r="C43" s="71" t="n">
        <f aca="false">C$28+C$34</f>
        <v>523.1</v>
      </c>
      <c r="D43" s="71" t="n">
        <f aca="false">D$28+D$34</f>
        <v>536</v>
      </c>
      <c r="E43" s="71" t="n">
        <f aca="false">E$28+E$34</f>
        <v>601.8</v>
      </c>
      <c r="F43" s="71" t="n">
        <f aca="false">F$28+F$34</f>
        <v>697.4</v>
      </c>
      <c r="G43" s="154" t="s">
        <v>814</v>
      </c>
    </row>
    <row r="44" customFormat="false" ht="15" hidden="false" customHeight="false" outlineLevel="0" collapsed="false">
      <c r="A44" s="39" t="s">
        <v>815</v>
      </c>
      <c r="B44" s="71" t="n">
        <f aca="false">B$17-B$26-B$35</f>
        <v>-0.100000000000023</v>
      </c>
      <c r="C44" s="71" t="n">
        <f aca="false">C$17-C$26-C$35</f>
        <v>0.0999999999999091</v>
      </c>
      <c r="D44" s="71" t="n">
        <f aca="false">D$17-D$26-D$35</f>
        <v>-0.0999999999999091</v>
      </c>
      <c r="E44" s="71" t="n">
        <f aca="false">E$17-E$26-E$35</f>
        <v>-0.100000000000023</v>
      </c>
      <c r="F44" s="71" t="n">
        <f aca="false">F$17-F$26-F$35</f>
        <v>0</v>
      </c>
      <c r="G44" s="153" t="s">
        <v>816</v>
      </c>
    </row>
    <row r="45" customFormat="false" ht="26.85" hidden="false" customHeight="false" outlineLevel="0" collapsed="false">
      <c r="A45" s="39" t="s">
        <v>817</v>
      </c>
      <c r="B45" s="71" t="n">
        <f aca="false">B$20+B$24-B$6</f>
        <v>-276.9</v>
      </c>
      <c r="C45" s="71" t="n">
        <f aca="false">C$20+C$24-C$6</f>
        <v>-325.9</v>
      </c>
      <c r="D45" s="71" t="n">
        <f aca="false">D$20+D$24-D$6</f>
        <v>-330</v>
      </c>
      <c r="E45" s="71" t="n">
        <f aca="false">E$20+E$24-E$6</f>
        <v>-305.4</v>
      </c>
      <c r="F45" s="71" t="n">
        <f aca="false">F$20+F$24-F$6</f>
        <v>-381.5</v>
      </c>
      <c r="G45" s="154" t="s">
        <v>818</v>
      </c>
    </row>
    <row r="46" customFormat="false" ht="15" hidden="false" customHeight="false" outlineLevel="0" collapsed="false">
      <c r="A46" s="39" t="s">
        <v>819</v>
      </c>
      <c r="B46" s="83" t="n">
        <f aca="false">B$26/B$35</f>
        <v>0.144456177402323</v>
      </c>
      <c r="C46" s="83" t="n">
        <f aca="false">C$26/C$35</f>
        <v>0.114127317912445</v>
      </c>
      <c r="D46" s="83" t="n">
        <f aca="false">D$26/D$35</f>
        <v>0.149813432835821</v>
      </c>
      <c r="E46" s="83" t="n">
        <f aca="false">E$26/E$35</f>
        <v>0.152376204719176</v>
      </c>
      <c r="F46" s="83" t="n">
        <f aca="false">F$26/F$35</f>
        <v>0.152279896759392</v>
      </c>
      <c r="G46" s="153" t="s">
        <v>820</v>
      </c>
    </row>
    <row r="47" customFormat="false" ht="15" hidden="false" customHeight="false" outlineLevel="0" collapsed="false">
      <c r="A47" s="39" t="s">
        <v>821</v>
      </c>
      <c r="B47" s="75" t="n">
        <f aca="false">B$5/B$19</f>
        <v>6.20583190394511</v>
      </c>
      <c r="C47" s="75" t="n">
        <f aca="false">C$5/C$19</f>
        <v>7.74569789674952</v>
      </c>
      <c r="D47" s="75" t="n">
        <f aca="false">D$5/D$19</f>
        <v>6.67117117117117</v>
      </c>
      <c r="E47" s="75" t="n">
        <f aca="false">E$5/E$19</f>
        <v>5.85066666666667</v>
      </c>
      <c r="F47" s="75" t="n">
        <f aca="false">F$5/F$19</f>
        <v>6.30536130536131</v>
      </c>
      <c r="G47" s="154" t="s">
        <v>822</v>
      </c>
    </row>
    <row r="48" customFormat="false" ht="15" hidden="false" customHeight="false" outlineLevel="0" collapsed="false">
      <c r="A48" s="39" t="s">
        <v>823</v>
      </c>
      <c r="B48" s="180" t="n">
        <f aca="false">'15_p5_손익계산서'!B$5/B$8</f>
        <v>6.67619047619048</v>
      </c>
      <c r="C48" s="180" t="n">
        <f aca="false">'15_p5_손익계산서'!C$5/C$8</f>
        <v>5.30395136778116</v>
      </c>
      <c r="D48" s="180" t="n">
        <f aca="false">'15_p5_손익계산서'!D$5/D$8</f>
        <v>3.63349834983498</v>
      </c>
      <c r="E48" s="180" t="n">
        <f aca="false">'15_p5_손익계산서'!E$5/E$8</f>
        <v>4.09324324324324</v>
      </c>
      <c r="F48" s="180" t="n">
        <f aca="false">'15_p5_손익계산서'!F$5/F$8</f>
        <v>4.09100877192982</v>
      </c>
      <c r="G48" s="154" t="s">
        <v>824</v>
      </c>
    </row>
    <row r="49" customFormat="false" ht="15" hidden="false" customHeight="false" outlineLevel="0" collapsed="false">
      <c r="A49" s="39" t="s">
        <v>825</v>
      </c>
      <c r="B49" s="180" t="n">
        <f aca="false">'15_p5_손익계산서'!B$6/B$9</f>
        <v>5.52597402597403</v>
      </c>
      <c r="C49" s="180" t="n">
        <f aca="false">'15_p5_손익계산서'!C$6/C$9</f>
        <v>6.5</v>
      </c>
      <c r="D49" s="180" t="n">
        <f aca="false">'15_p5_손익계산서'!D$6/D$9</f>
        <v>8.80935251798561</v>
      </c>
      <c r="E49" s="180" t="n">
        <f aca="false">'15_p5_손익계산서'!E$6/E$9</f>
        <v>10.4771241830065</v>
      </c>
      <c r="F49" s="180" t="n">
        <f aca="false">'15_p5_손익계산서'!F$6/F$9</f>
        <v>10.4042553191489</v>
      </c>
      <c r="G49" s="154" t="s">
        <v>826</v>
      </c>
    </row>
    <row r="51" customFormat="false" ht="15" hidden="false" customHeight="false" outlineLevel="0" collapsed="false">
      <c r="A51" s="20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827</v>
      </c>
    </row>
    <row r="2" customFormat="false" ht="15" hidden="false" customHeight="false" outlineLevel="0" collapsed="false">
      <c r="A2" s="19" t="s">
        <v>828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66" t="s">
        <v>829</v>
      </c>
      <c r="B5" s="48"/>
      <c r="C5" s="48"/>
      <c r="D5" s="48"/>
      <c r="E5" s="48"/>
      <c r="F5" s="48"/>
      <c r="G5" s="48"/>
    </row>
    <row r="6" customFormat="false" ht="15" hidden="false" customHeight="false" outlineLevel="0" collapsed="false">
      <c r="A6" s="176" t="s">
        <v>271</v>
      </c>
      <c r="B6" s="140" t="n">
        <v>720</v>
      </c>
      <c r="C6" s="140" t="n">
        <v>2579</v>
      </c>
      <c r="D6" s="133" t="n">
        <v>2638</v>
      </c>
      <c r="E6" s="133" t="n">
        <v>3850</v>
      </c>
      <c r="F6" s="133" t="n">
        <v>5285</v>
      </c>
      <c r="G6" s="16"/>
    </row>
    <row r="7" customFormat="false" ht="15" hidden="false" customHeight="false" outlineLevel="0" collapsed="false">
      <c r="A7" s="176" t="s">
        <v>276</v>
      </c>
      <c r="B7" s="140" t="n">
        <v>23173</v>
      </c>
      <c r="C7" s="140" t="n">
        <v>25507</v>
      </c>
      <c r="D7" s="133" t="n">
        <v>26091</v>
      </c>
      <c r="E7" s="133" t="n">
        <v>29159</v>
      </c>
      <c r="F7" s="133" t="n">
        <v>33623</v>
      </c>
      <c r="G7" s="16"/>
    </row>
    <row r="8" customFormat="false" ht="15" hidden="false" customHeight="false" outlineLevel="0" collapsed="false">
      <c r="A8" s="15" t="s">
        <v>830</v>
      </c>
      <c r="B8" s="113" t="n">
        <v>2118</v>
      </c>
      <c r="C8" s="113" t="n">
        <v>2920</v>
      </c>
      <c r="D8" s="149" t="n">
        <v>3313</v>
      </c>
      <c r="E8" s="149" t="n">
        <v>5179</v>
      </c>
      <c r="F8" s="149" t="n">
        <v>6949</v>
      </c>
      <c r="G8" s="16"/>
    </row>
    <row r="9" customFormat="false" ht="15" hidden="false" customHeight="false" outlineLevel="0" collapsed="false">
      <c r="A9" s="15" t="s">
        <v>831</v>
      </c>
      <c r="B9" s="113" t="n">
        <v>1060</v>
      </c>
      <c r="C9" s="113" t="n">
        <v>2578</v>
      </c>
      <c r="D9" s="149" t="n">
        <v>3303</v>
      </c>
      <c r="E9" s="149" t="n">
        <v>5242</v>
      </c>
      <c r="F9" s="149" t="n">
        <v>6764</v>
      </c>
      <c r="G9" s="16"/>
    </row>
    <row r="10" customFormat="false" ht="15" hidden="false" customHeight="false" outlineLevel="0" collapsed="false">
      <c r="A10" s="15" t="s">
        <v>832</v>
      </c>
      <c r="B10" s="113" t="n">
        <v>7652</v>
      </c>
      <c r="C10" s="113" t="n">
        <v>8231</v>
      </c>
      <c r="D10" s="149" t="n">
        <v>10387</v>
      </c>
      <c r="E10" s="149" t="n">
        <v>14291</v>
      </c>
      <c r="F10" s="149" t="n">
        <v>17602</v>
      </c>
      <c r="G10" s="16"/>
    </row>
    <row r="11" customFormat="false" ht="15" hidden="false" customHeight="false" outlineLevel="0" collapsed="false">
      <c r="A11" s="15" t="s">
        <v>495</v>
      </c>
      <c r="B11" s="113" t="n">
        <v>200</v>
      </c>
      <c r="C11" s="113" t="n">
        <v>810</v>
      </c>
      <c r="D11" s="149" t="n">
        <v>810</v>
      </c>
      <c r="E11" s="149" t="n">
        <v>850</v>
      </c>
      <c r="F11" s="149" t="n">
        <v>900</v>
      </c>
      <c r="G11" s="16"/>
    </row>
    <row r="12" customFormat="false" ht="15" hidden="false" customHeight="false" outlineLevel="0" collapsed="false">
      <c r="A12" s="66" t="s">
        <v>833</v>
      </c>
      <c r="B12" s="48"/>
      <c r="C12" s="48"/>
      <c r="D12" s="48"/>
      <c r="E12" s="48"/>
      <c r="F12" s="48"/>
      <c r="G12" s="48"/>
    </row>
    <row r="13" customFormat="false" ht="15" hidden="false" customHeight="false" outlineLevel="0" collapsed="false">
      <c r="A13" s="176" t="s">
        <v>491</v>
      </c>
      <c r="B13" s="181" t="n">
        <v>111.53</v>
      </c>
      <c r="C13" s="181" t="n">
        <v>27.96</v>
      </c>
      <c r="D13" s="182" t="n">
        <v>42.12</v>
      </c>
      <c r="E13" s="182" t="n">
        <v>37.17</v>
      </c>
      <c r="F13" s="182" t="n">
        <v>27.08</v>
      </c>
      <c r="G13" s="16"/>
    </row>
    <row r="14" customFormat="false" ht="15" hidden="false" customHeight="false" outlineLevel="0" collapsed="false">
      <c r="A14" s="176" t="s">
        <v>492</v>
      </c>
      <c r="B14" s="181" t="n">
        <v>3.47</v>
      </c>
      <c r="C14" s="181" t="n">
        <v>2.83</v>
      </c>
      <c r="D14" s="182" t="n">
        <v>4.26</v>
      </c>
      <c r="E14" s="182" t="n">
        <v>4.91</v>
      </c>
      <c r="F14" s="182" t="n">
        <v>4.26</v>
      </c>
      <c r="G14" s="16"/>
    </row>
    <row r="15" customFormat="false" ht="15" hidden="false" customHeight="false" outlineLevel="0" collapsed="false">
      <c r="A15" s="15" t="s">
        <v>834</v>
      </c>
      <c r="B15" s="112" t="n">
        <v>37.91</v>
      </c>
      <c r="C15" s="112" t="n">
        <v>24.69</v>
      </c>
      <c r="D15" s="151" t="n">
        <v>33.53</v>
      </c>
      <c r="E15" s="151" t="n">
        <v>27.63</v>
      </c>
      <c r="F15" s="151" t="n">
        <v>20.59</v>
      </c>
      <c r="G15" s="16"/>
    </row>
    <row r="16" customFormat="false" ht="15" hidden="false" customHeight="false" outlineLevel="0" collapsed="false">
      <c r="A16" s="15" t="s">
        <v>493</v>
      </c>
      <c r="B16" s="112" t="n">
        <v>73.34</v>
      </c>
      <c r="C16" s="112" t="n">
        <v>22.01</v>
      </c>
      <c r="D16" s="151" t="n">
        <v>28.94</v>
      </c>
      <c r="E16" s="151" t="n">
        <v>24.56</v>
      </c>
      <c r="F16" s="151" t="n">
        <v>18.51</v>
      </c>
      <c r="G16" s="16"/>
    </row>
    <row r="17" customFormat="false" ht="15" hidden="false" customHeight="false" outlineLevel="0" collapsed="false">
      <c r="A17" s="15" t="s">
        <v>835</v>
      </c>
      <c r="B17" s="112" t="n">
        <v>10.49</v>
      </c>
      <c r="C17" s="112" t="n">
        <v>8.76</v>
      </c>
      <c r="D17" s="151" t="n">
        <v>10.7</v>
      </c>
      <c r="E17" s="151" t="n">
        <v>10.01</v>
      </c>
      <c r="F17" s="151" t="n">
        <v>8.13</v>
      </c>
      <c r="G17" s="16"/>
    </row>
    <row r="18" customFormat="false" ht="15" hidden="false" customHeight="false" outlineLevel="0" collapsed="false">
      <c r="A18" s="66" t="s">
        <v>836</v>
      </c>
      <c r="B18" s="48"/>
      <c r="C18" s="48"/>
      <c r="D18" s="48"/>
      <c r="E18" s="48"/>
      <c r="F18" s="48"/>
      <c r="G18" s="48"/>
    </row>
    <row r="19" customFormat="false" ht="15" hidden="false" customHeight="false" outlineLevel="0" collapsed="false">
      <c r="A19" s="176" t="s">
        <v>494</v>
      </c>
      <c r="B19" s="183" t="n">
        <v>0.0356</v>
      </c>
      <c r="C19" s="183" t="n">
        <v>0.1098</v>
      </c>
      <c r="D19" s="184" t="n">
        <v>0.1057</v>
      </c>
      <c r="E19" s="184" t="n">
        <v>0.1438</v>
      </c>
      <c r="F19" s="184" t="n">
        <v>0.173</v>
      </c>
      <c r="G19" s="16"/>
    </row>
    <row r="20" customFormat="false" ht="15" hidden="false" customHeight="false" outlineLevel="0" collapsed="false">
      <c r="A20" s="15" t="s">
        <v>837</v>
      </c>
      <c r="B20" s="137" t="n">
        <v>0.0293</v>
      </c>
      <c r="C20" s="137" t="n">
        <v>0.0972</v>
      </c>
      <c r="D20" s="150" t="n">
        <v>0.0932</v>
      </c>
      <c r="E20" s="150" t="n">
        <v>0.1246</v>
      </c>
      <c r="F20" s="150" t="n">
        <v>0.1497</v>
      </c>
      <c r="G20" s="16"/>
    </row>
    <row r="21" customFormat="false" ht="15" hidden="false" customHeight="false" outlineLevel="0" collapsed="false">
      <c r="A21" s="15" t="s">
        <v>838</v>
      </c>
      <c r="B21" s="137" t="n">
        <v>0.0526</v>
      </c>
      <c r="C21" s="137" t="n">
        <v>0.275</v>
      </c>
      <c r="D21" s="150" t="n">
        <v>0.3988</v>
      </c>
      <c r="E21" s="150" t="n">
        <v>0.4543</v>
      </c>
      <c r="F21" s="150" t="n">
        <v>0.4744</v>
      </c>
      <c r="G21" s="16"/>
    </row>
    <row r="22" customFormat="false" ht="15" hidden="false" customHeight="false" outlineLevel="0" collapsed="false">
      <c r="A22" s="12" t="s">
        <v>819</v>
      </c>
      <c r="B22" s="137" t="n">
        <v>0.1444</v>
      </c>
      <c r="C22" s="137" t="n">
        <v>0.1142</v>
      </c>
      <c r="D22" s="150" t="n">
        <v>0.1498</v>
      </c>
      <c r="E22" s="150" t="n">
        <v>0.1523</v>
      </c>
      <c r="F22" s="150" t="n">
        <v>0.1522</v>
      </c>
      <c r="G22" s="16"/>
    </row>
    <row r="23" customFormat="false" ht="15" hidden="false" customHeight="false" outlineLevel="0" collapsed="false">
      <c r="A23" s="12" t="s">
        <v>839</v>
      </c>
      <c r="B23" s="137" t="n">
        <v>-0.5849</v>
      </c>
      <c r="C23" s="137" t="n">
        <v>-0.623</v>
      </c>
      <c r="D23" s="150" t="n">
        <v>-0.6157</v>
      </c>
      <c r="E23" s="150" t="n">
        <v>-0.5075</v>
      </c>
      <c r="F23" s="150" t="n">
        <v>-0.547</v>
      </c>
      <c r="G23" s="16"/>
    </row>
    <row r="24" customFormat="false" ht="15" hidden="false" customHeight="false" outlineLevel="0" collapsed="false">
      <c r="A24" s="12" t="s">
        <v>840</v>
      </c>
      <c r="B24" s="112" t="n">
        <v>5.05</v>
      </c>
      <c r="C24" s="112" t="n">
        <v>28.22</v>
      </c>
      <c r="D24" s="151" t="n">
        <v>57.82</v>
      </c>
      <c r="E24" s="151" t="n">
        <v>90.02</v>
      </c>
      <c r="F24" s="151" t="n">
        <v>118.56</v>
      </c>
      <c r="G24" s="154" t="s">
        <v>841</v>
      </c>
    </row>
    <row r="25" customFormat="false" ht="15" hidden="false" customHeight="false" outlineLevel="0" collapsed="false">
      <c r="A25" s="19" t="s">
        <v>437</v>
      </c>
    </row>
    <row r="27" customFormat="false" ht="15" hidden="false" customHeight="false" outlineLevel="0" collapsed="false">
      <c r="A27" s="66" t="s">
        <v>496</v>
      </c>
      <c r="B27" s="48"/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49" t="s">
        <v>285</v>
      </c>
      <c r="B28" s="69" t="s">
        <v>251</v>
      </c>
      <c r="C28" s="69" t="s">
        <v>252</v>
      </c>
      <c r="D28" s="69" t="s">
        <v>240</v>
      </c>
      <c r="E28" s="69" t="s">
        <v>241</v>
      </c>
      <c r="F28" s="69" t="s">
        <v>253</v>
      </c>
      <c r="G28" s="49" t="s">
        <v>231</v>
      </c>
    </row>
    <row r="29" customFormat="false" ht="26.85" hidden="false" customHeight="false" outlineLevel="0" collapsed="false">
      <c r="A29" s="35" t="s">
        <v>842</v>
      </c>
      <c r="B29" s="106" t="n">
        <f aca="false">'15_p5_손익계산서'!B$5*1000000/'01_p1_투자의견_KeyData'!$C$23</f>
        <v>6614.11230781569</v>
      </c>
      <c r="C29" s="106" t="n">
        <f aca="false">'15_p5_손익계산서'!C$5*1000000/'01_p1_투자의견_KeyData'!$C$23</f>
        <v>8232.25818626133</v>
      </c>
      <c r="D29" s="106" t="n">
        <f aca="false">'15_p5_손익계산서'!D$5*1000000/'01_p1_투자의견_KeyData'!$C$23</f>
        <v>10387.7417193861</v>
      </c>
      <c r="E29" s="106" t="n">
        <f aca="false">'15_p5_손익계산서'!E$5*1000000/'01_p1_투자의견_KeyData'!$C$23</f>
        <v>14289.69057088</v>
      </c>
      <c r="F29" s="106" t="n">
        <f aca="false">'15_p5_손익계산서'!F$5*1000000/'01_p1_투자의견_KeyData'!$C$23</f>
        <v>17601.4643512556</v>
      </c>
      <c r="G29" s="154" t="s">
        <v>843</v>
      </c>
    </row>
    <row r="30" customFormat="false" ht="26.85" hidden="false" customHeight="false" outlineLevel="0" collapsed="false">
      <c r="A30" s="35" t="s">
        <v>844</v>
      </c>
      <c r="B30" s="106" t="n">
        <f aca="false">'15_p5_손익계산서'!B$19*1000000/'01_p1_투자의견_KeyData'!$C$23</f>
        <v>622.726693745843</v>
      </c>
      <c r="C30" s="106" t="n">
        <f aca="false">'15_p5_손익계산서'!C$19*1000000/'01_p1_투자의견_KeyData'!$C$23</f>
        <v>2580.54167787103</v>
      </c>
      <c r="D30" s="106" t="n">
        <f aca="false">'15_p5_손익계산서'!D$19*1000000/'01_p1_투자의견_KeyData'!$C$23</f>
        <v>2647.53197371339</v>
      </c>
      <c r="E30" s="106" t="n">
        <f aca="false">'15_p5_손익계산서'!E$19*1000000/'01_p1_투자의견_KeyData'!$C$23</f>
        <v>3849.58319770157</v>
      </c>
      <c r="F30" s="106" t="n">
        <f aca="false">'15_p5_손익계산서'!F$19*1000000/'01_p1_투자의견_KeyData'!$C$23</f>
        <v>5283.74164390412</v>
      </c>
      <c r="G30" s="154" t="s">
        <v>845</v>
      </c>
    </row>
    <row r="31" customFormat="false" ht="15" hidden="false" customHeight="false" outlineLevel="0" collapsed="false">
      <c r="A31" s="35" t="s">
        <v>846</v>
      </c>
      <c r="B31" s="106" t="n">
        <f aca="false">'15_p5_손익계산서'!B$22*1000000/'01_p1_투자의견_KeyData'!$C$23</f>
        <v>915.219534747678</v>
      </c>
      <c r="C31" s="106" t="n">
        <f aca="false">'15_p5_손익계산서'!C$22*1000000/'01_p1_투자의견_KeyData'!$C$23</f>
        <v>2575.82405140326</v>
      </c>
      <c r="D31" s="106" t="n">
        <f aca="false">'15_p5_손익계산서'!D$22*1000000/'01_p1_투자의견_KeyData'!$C$23</f>
        <v>3302.33852744007</v>
      </c>
      <c r="E31" s="106" t="n">
        <f aca="false">'15_p5_손익계산서'!E$22*1000000/'01_p1_투자의견_KeyData'!$C$23</f>
        <v>5241.28300569418</v>
      </c>
      <c r="F31" s="106" t="n">
        <f aca="false">'15_p5_손익계산서'!F$22*1000000/'01_p1_투자의견_KeyData'!$C$23</f>
        <v>6765.07635478438</v>
      </c>
      <c r="G31" s="154" t="s">
        <v>847</v>
      </c>
    </row>
    <row r="32" customFormat="false" ht="15" hidden="false" customHeight="false" outlineLevel="0" collapsed="false">
      <c r="A32" s="35" t="s">
        <v>848</v>
      </c>
      <c r="B32" s="83" t="n">
        <f aca="false">'15_p5_손익계산서'!B$19/'16_p5_대차대조표'!B$28</f>
        <v>0.0278833967046895</v>
      </c>
      <c r="C32" s="83" t="n">
        <f aca="false">'15_p5_손익계산서'!C$19/'16_p5_대차대조표'!C$28</f>
        <v>0.104648938205472</v>
      </c>
      <c r="D32" s="83" t="n">
        <f aca="false">'15_p5_손익계산서'!D$19/'16_p5_대차대조표'!D$28</f>
        <v>0.104857997010463</v>
      </c>
      <c r="E32" s="83" t="n">
        <f aca="false">'15_p5_손익계산서'!E$19/'16_p5_대차대조표'!E$28</f>
        <v>0.135954681772742</v>
      </c>
      <c r="F32" s="83" t="n">
        <f aca="false">'15_p5_손익계산서'!F$19/'16_p5_대차대조표'!F$28</f>
        <v>0.161197466896949</v>
      </c>
      <c r="G32" s="154" t="s">
        <v>849</v>
      </c>
    </row>
    <row r="33" customFormat="false" ht="15" hidden="false" customHeight="false" outlineLevel="0" collapsed="false">
      <c r="A33" s="35" t="s">
        <v>850</v>
      </c>
      <c r="B33" s="83" t="n">
        <f aca="false">'15_p5_손익계산서'!B$17/'16_p5_대차대조표'!B$17</f>
        <v>0.0251015134736065</v>
      </c>
      <c r="C33" s="83" t="n">
        <f aca="false">'15_p5_손익계산서'!C$17/'16_p5_대차대조표'!C$17</f>
        <v>0.0941842511580031</v>
      </c>
      <c r="D33" s="83" t="n">
        <f aca="false">'15_p5_손익계산서'!D$17/'16_p5_대차대조표'!D$17</f>
        <v>0.0913664394677053</v>
      </c>
      <c r="E33" s="83" t="n">
        <f aca="false">'15_p5_손익계산서'!E$17/'16_p5_대차대조표'!E$17</f>
        <v>0.118834727430055</v>
      </c>
      <c r="F33" s="83" t="n">
        <f aca="false">'15_p5_손익계산서'!F$17/'16_p5_대차대조표'!F$17</f>
        <v>0.140741662518666</v>
      </c>
      <c r="G33" s="154" t="s">
        <v>851</v>
      </c>
    </row>
    <row r="34" customFormat="false" ht="15" hidden="false" customHeight="false" outlineLevel="0" collapsed="false">
      <c r="A34" s="39" t="s">
        <v>852</v>
      </c>
      <c r="B34" s="83" t="n">
        <f aca="false">'16_p5_대차대조표'!B$26/'16_p5_대차대조표'!B$35</f>
        <v>0.144456177402323</v>
      </c>
      <c r="C34" s="83" t="n">
        <f aca="false">'16_p5_대차대조표'!C$26/'16_p5_대차대조표'!C$35</f>
        <v>0.114127317912445</v>
      </c>
      <c r="D34" s="83" t="n">
        <f aca="false">'16_p5_대차대조표'!D$26/'16_p5_대차대조표'!D$35</f>
        <v>0.149813432835821</v>
      </c>
      <c r="E34" s="83" t="n">
        <f aca="false">'16_p5_대차대조표'!E$26/'16_p5_대차대조표'!E$35</f>
        <v>0.152376204719176</v>
      </c>
      <c r="F34" s="83" t="n">
        <f aca="false">'16_p5_대차대조표'!F$26/'16_p5_대차대조표'!F$35</f>
        <v>0.152279896759392</v>
      </c>
      <c r="G34" s="154" t="s">
        <v>853</v>
      </c>
    </row>
    <row r="35" customFormat="false" ht="15" hidden="false" customHeight="false" outlineLevel="0" collapsed="false">
      <c r="A35" s="35" t="s">
        <v>854</v>
      </c>
      <c r="B35" s="106" t="n">
        <f aca="false">B$13*B$6</f>
        <v>80301.6</v>
      </c>
      <c r="C35" s="106" t="n">
        <f aca="false">C$13*C$6</f>
        <v>72108.84</v>
      </c>
      <c r="D35" s="106" t="n">
        <f aca="false">D$13*D$6</f>
        <v>111112.56</v>
      </c>
      <c r="E35" s="106" t="n">
        <f aca="false">E$13*E$6</f>
        <v>143104.5</v>
      </c>
      <c r="F35" s="106" t="n">
        <f aca="false">F$13*F$6</f>
        <v>143117.8</v>
      </c>
      <c r="G35" s="154" t="s">
        <v>855</v>
      </c>
    </row>
    <row r="36" customFormat="false" ht="15" hidden="false" customHeight="false" outlineLevel="0" collapsed="false">
      <c r="A36" s="35" t="s">
        <v>856</v>
      </c>
      <c r="B36" s="106" t="n">
        <f aca="false">B$14*B$7</f>
        <v>80410.31</v>
      </c>
      <c r="C36" s="106" t="n">
        <f aca="false">C$14*C$7</f>
        <v>72184.81</v>
      </c>
      <c r="D36" s="106" t="n">
        <f aca="false">D$14*D$7</f>
        <v>111147.66</v>
      </c>
      <c r="E36" s="106" t="n">
        <f aca="false">E$14*E$7</f>
        <v>143170.69</v>
      </c>
      <c r="F36" s="106" t="n">
        <f aca="false">F$14*F$7</f>
        <v>143233.98</v>
      </c>
      <c r="G36" s="154" t="s">
        <v>857</v>
      </c>
    </row>
    <row r="37" customFormat="false" ht="15" hidden="false" customHeight="false" outlineLevel="0" collapsed="false">
      <c r="A37" s="39" t="s">
        <v>505</v>
      </c>
      <c r="B37" s="76" t="n">
        <f aca="false">B$11/B$6</f>
        <v>0.277777777777778</v>
      </c>
      <c r="C37" s="76" t="n">
        <f aca="false">C$11/C$6</f>
        <v>0.314075222954634</v>
      </c>
      <c r="D37" s="76" t="n">
        <f aca="false">D$11/D$6</f>
        <v>0.307050796057619</v>
      </c>
      <c r="E37" s="76" t="n">
        <f aca="false">E$11/E$6</f>
        <v>0.220779220779221</v>
      </c>
      <c r="F37" s="76" t="n">
        <f aca="false">F$11/F$6</f>
        <v>0.170293282876064</v>
      </c>
      <c r="G37" s="154" t="s">
        <v>506</v>
      </c>
    </row>
    <row r="39" customFormat="false" ht="15" hidden="false" customHeight="false" outlineLevel="0" collapsed="false">
      <c r="A39" s="20" t="s">
        <v>772</v>
      </c>
    </row>
    <row r="41" customFormat="false" ht="15" hidden="false" customHeight="false" outlineLevel="0" collapsed="false">
      <c r="A41" s="20" t="s">
        <v>858</v>
      </c>
    </row>
    <row r="42" customFormat="false" ht="15" hidden="false" customHeight="false" outlineLevel="0" collapsed="false">
      <c r="A42" s="20" t="s">
        <v>859</v>
      </c>
    </row>
    <row r="43" customFormat="false" ht="15" hidden="false" customHeight="false" outlineLevel="0" collapsed="false">
      <c r="A43" s="20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861</v>
      </c>
    </row>
    <row r="2" customFormat="false" ht="15" hidden="false" customHeight="false" outlineLevel="0" collapsed="false">
      <c r="A2" s="19" t="s">
        <v>774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50" t="s">
        <v>862</v>
      </c>
      <c r="B5" s="160" t="n">
        <v>22.4</v>
      </c>
      <c r="C5" s="160" t="n">
        <v>50.7</v>
      </c>
      <c r="D5" s="161" t="n">
        <v>64.9</v>
      </c>
      <c r="E5" s="161" t="n">
        <v>102.4</v>
      </c>
      <c r="F5" s="161" t="n">
        <v>132.9</v>
      </c>
      <c r="G5" s="16"/>
    </row>
    <row r="6" customFormat="false" ht="15" hidden="false" customHeight="false" outlineLevel="0" collapsed="false">
      <c r="A6" s="12" t="s">
        <v>267</v>
      </c>
      <c r="B6" s="136" t="n">
        <v>13.6</v>
      </c>
      <c r="C6" s="136" t="n">
        <v>54.9</v>
      </c>
      <c r="D6" s="148" t="n">
        <v>56.3</v>
      </c>
      <c r="E6" s="148" t="n">
        <v>82.4</v>
      </c>
      <c r="F6" s="148" t="n">
        <v>113.1</v>
      </c>
      <c r="G6" s="16"/>
    </row>
    <row r="7" customFormat="false" ht="15" hidden="false" customHeight="false" outlineLevel="0" collapsed="false">
      <c r="A7" s="12" t="s">
        <v>863</v>
      </c>
      <c r="B7" s="136" t="n">
        <v>8.7</v>
      </c>
      <c r="C7" s="136" t="n">
        <v>6.5</v>
      </c>
      <c r="D7" s="148" t="n">
        <v>11.6</v>
      </c>
      <c r="E7" s="148" t="n">
        <v>17.4</v>
      </c>
      <c r="F7" s="148" t="n">
        <v>18.2</v>
      </c>
      <c r="G7" s="16"/>
    </row>
    <row r="8" customFormat="false" ht="15" hidden="false" customHeight="false" outlineLevel="0" collapsed="false">
      <c r="A8" s="179" t="s">
        <v>278</v>
      </c>
      <c r="B8" s="136" t="n">
        <v>8.7</v>
      </c>
      <c r="C8" s="136" t="n">
        <v>9.9</v>
      </c>
      <c r="D8" s="148" t="n">
        <v>9.9</v>
      </c>
      <c r="E8" s="148" t="n">
        <v>17.4</v>
      </c>
      <c r="F8" s="148" t="n">
        <v>18.2</v>
      </c>
      <c r="G8" s="16"/>
    </row>
    <row r="9" customFormat="false" ht="15" hidden="false" customHeight="false" outlineLevel="0" collapsed="false">
      <c r="A9" s="179" t="s">
        <v>864</v>
      </c>
      <c r="B9" s="136" t="n">
        <v>0.8</v>
      </c>
      <c r="C9" s="136" t="n">
        <v>-5.6</v>
      </c>
      <c r="D9" s="148" t="n">
        <v>0.8</v>
      </c>
      <c r="E9" s="148" t="n">
        <v>0</v>
      </c>
      <c r="F9" s="148" t="n">
        <v>0</v>
      </c>
      <c r="G9" s="16"/>
    </row>
    <row r="10" customFormat="false" ht="15" hidden="false" customHeight="false" outlineLevel="0" collapsed="false">
      <c r="A10" s="179" t="s">
        <v>865</v>
      </c>
      <c r="B10" s="136" t="n">
        <v>0</v>
      </c>
      <c r="C10" s="136" t="n">
        <v>0</v>
      </c>
      <c r="D10" s="148" t="n">
        <v>0</v>
      </c>
      <c r="E10" s="148" t="n">
        <v>0</v>
      </c>
      <c r="F10" s="148" t="n">
        <v>0</v>
      </c>
      <c r="G10" s="154" t="s">
        <v>866</v>
      </c>
    </row>
    <row r="11" customFormat="false" ht="15" hidden="false" customHeight="false" outlineLevel="0" collapsed="false">
      <c r="A11" s="179" t="s">
        <v>22</v>
      </c>
      <c r="B11" s="136" t="n">
        <v>-0.8</v>
      </c>
      <c r="C11" s="136" t="n">
        <v>2.2</v>
      </c>
      <c r="D11" s="148" t="n">
        <v>0.9</v>
      </c>
      <c r="E11" s="148" t="n">
        <v>0</v>
      </c>
      <c r="F11" s="148" t="n">
        <v>0</v>
      </c>
      <c r="G11" s="154" t="s">
        <v>867</v>
      </c>
    </row>
    <row r="12" customFormat="false" ht="15" hidden="false" customHeight="false" outlineLevel="0" collapsed="false">
      <c r="A12" s="12" t="s">
        <v>868</v>
      </c>
      <c r="B12" s="136" t="n">
        <v>0.1</v>
      </c>
      <c r="C12" s="136" t="n">
        <v>-10.7</v>
      </c>
      <c r="D12" s="148" t="n">
        <v>-3</v>
      </c>
      <c r="E12" s="148" t="n">
        <v>2.6</v>
      </c>
      <c r="F12" s="148" t="n">
        <v>1.6</v>
      </c>
      <c r="G12" s="16"/>
    </row>
    <row r="13" customFormat="false" ht="15" hidden="false" customHeight="false" outlineLevel="0" collapsed="false">
      <c r="A13" s="50" t="s">
        <v>869</v>
      </c>
      <c r="B13" s="160" t="n">
        <v>-1.6</v>
      </c>
      <c r="C13" s="160" t="n">
        <v>-251.9</v>
      </c>
      <c r="D13" s="161" t="n">
        <v>-21.5</v>
      </c>
      <c r="E13" s="161" t="n">
        <v>-70.6</v>
      </c>
      <c r="F13" s="161" t="n">
        <v>-87.8</v>
      </c>
      <c r="G13" s="16"/>
    </row>
    <row r="14" customFormat="false" ht="15" hidden="false" customHeight="false" outlineLevel="0" collapsed="false">
      <c r="A14" s="12" t="s">
        <v>870</v>
      </c>
      <c r="B14" s="136" t="n">
        <v>3.9</v>
      </c>
      <c r="C14" s="136" t="n">
        <v>1.3</v>
      </c>
      <c r="D14" s="148" t="n">
        <v>8</v>
      </c>
      <c r="E14" s="148" t="n">
        <v>-0.1</v>
      </c>
      <c r="F14" s="148" t="n">
        <v>-0.2</v>
      </c>
      <c r="G14" s="16"/>
    </row>
    <row r="15" customFormat="false" ht="15" hidden="false" customHeight="false" outlineLevel="0" collapsed="false">
      <c r="A15" s="12" t="s">
        <v>871</v>
      </c>
      <c r="B15" s="136" t="n">
        <v>-14.5</v>
      </c>
      <c r="C15" s="136" t="n">
        <v>-11.4</v>
      </c>
      <c r="D15" s="148" t="n">
        <v>-13.5</v>
      </c>
      <c r="E15" s="148" t="n">
        <v>-100</v>
      </c>
      <c r="F15" s="148" t="n">
        <v>-25</v>
      </c>
      <c r="G15" s="154" t="s">
        <v>872</v>
      </c>
    </row>
    <row r="16" customFormat="false" ht="15" hidden="false" customHeight="false" outlineLevel="0" collapsed="false">
      <c r="A16" s="12" t="s">
        <v>22</v>
      </c>
      <c r="B16" s="136" t="n">
        <v>9</v>
      </c>
      <c r="C16" s="136" t="n">
        <v>-241.8</v>
      </c>
      <c r="D16" s="148" t="n">
        <v>-16</v>
      </c>
      <c r="E16" s="148" t="n">
        <v>29.5</v>
      </c>
      <c r="F16" s="148" t="n">
        <v>-62.6</v>
      </c>
      <c r="G16" s="154" t="s">
        <v>873</v>
      </c>
    </row>
    <row r="17" customFormat="false" ht="15" hidden="false" customHeight="false" outlineLevel="0" collapsed="false">
      <c r="A17" s="50" t="s">
        <v>874</v>
      </c>
      <c r="B17" s="160" t="n">
        <v>194.3</v>
      </c>
      <c r="C17" s="160" t="n">
        <v>-26.8</v>
      </c>
      <c r="D17" s="161" t="n">
        <v>-16.2</v>
      </c>
      <c r="E17" s="161" t="n">
        <v>-16.3</v>
      </c>
      <c r="F17" s="161" t="n">
        <v>-17</v>
      </c>
      <c r="G17" s="16"/>
    </row>
    <row r="18" customFormat="false" ht="15" hidden="false" customHeight="false" outlineLevel="0" collapsed="false">
      <c r="A18" s="12" t="s">
        <v>875</v>
      </c>
      <c r="B18" s="136" t="n">
        <v>4.5</v>
      </c>
      <c r="C18" s="136" t="n">
        <v>-22.6</v>
      </c>
      <c r="D18" s="148" t="n">
        <v>0.8</v>
      </c>
      <c r="E18" s="148" t="n">
        <v>0.3</v>
      </c>
      <c r="F18" s="148" t="n">
        <v>0.4</v>
      </c>
      <c r="G18" s="16"/>
    </row>
    <row r="19" customFormat="false" ht="15" hidden="false" customHeight="false" outlineLevel="0" collapsed="false">
      <c r="A19" s="12" t="s">
        <v>871</v>
      </c>
      <c r="B19" s="136" t="n">
        <v>199.8</v>
      </c>
      <c r="C19" s="136" t="n">
        <v>0</v>
      </c>
      <c r="D19" s="148" t="n">
        <v>-26</v>
      </c>
      <c r="E19" s="148" t="n">
        <v>0</v>
      </c>
      <c r="F19" s="148" t="n">
        <v>0</v>
      </c>
      <c r="G19" s="154" t="s">
        <v>876</v>
      </c>
    </row>
    <row r="20" customFormat="false" ht="15" hidden="false" customHeight="false" outlineLevel="0" collapsed="false">
      <c r="A20" s="12" t="s">
        <v>877</v>
      </c>
      <c r="B20" s="136" t="n">
        <v>0</v>
      </c>
      <c r="C20" s="136" t="n">
        <v>-0.1</v>
      </c>
      <c r="D20" s="148" t="n">
        <v>25.6</v>
      </c>
      <c r="E20" s="148" t="n">
        <v>0</v>
      </c>
      <c r="F20" s="148" t="n">
        <v>0</v>
      </c>
      <c r="G20" s="16"/>
    </row>
    <row r="21" customFormat="false" ht="15" hidden="false" customHeight="false" outlineLevel="0" collapsed="false">
      <c r="A21" s="12" t="s">
        <v>878</v>
      </c>
      <c r="B21" s="136" t="n">
        <v>-10</v>
      </c>
      <c r="C21" s="136" t="n">
        <v>-4.1</v>
      </c>
      <c r="D21" s="148" t="n">
        <v>-16.6</v>
      </c>
      <c r="E21" s="148" t="n">
        <v>-16.6</v>
      </c>
      <c r="F21" s="148" t="n">
        <v>-17.4</v>
      </c>
      <c r="G21" s="16"/>
    </row>
    <row r="22" customFormat="false" ht="15" hidden="false" customHeight="false" outlineLevel="0" collapsed="false">
      <c r="A22" s="50" t="s">
        <v>879</v>
      </c>
      <c r="B22" s="160" t="n">
        <v>215</v>
      </c>
      <c r="C22" s="160" t="n">
        <v>-228</v>
      </c>
      <c r="D22" s="161" t="n">
        <v>12.8</v>
      </c>
      <c r="E22" s="161" t="n">
        <v>5.2</v>
      </c>
      <c r="F22" s="161" t="n">
        <v>14.9</v>
      </c>
      <c r="G22" s="16"/>
    </row>
    <row r="23" customFormat="false" ht="15" hidden="false" customHeight="false" outlineLevel="0" collapsed="false">
      <c r="A23" s="35" t="s">
        <v>880</v>
      </c>
      <c r="B23" s="136" t="n">
        <v>38.8</v>
      </c>
      <c r="C23" s="136" t="n">
        <v>61.9</v>
      </c>
      <c r="D23" s="148" t="n">
        <v>70.2</v>
      </c>
      <c r="E23" s="148" t="n">
        <v>109.8</v>
      </c>
      <c r="F23" s="148" t="n">
        <v>147.3</v>
      </c>
      <c r="G23" s="16"/>
    </row>
    <row r="24" customFormat="false" ht="15" hidden="false" customHeight="false" outlineLevel="0" collapsed="false">
      <c r="A24" s="91" t="s">
        <v>881</v>
      </c>
      <c r="B24" s="160" t="n">
        <v>7.9</v>
      </c>
      <c r="C24" s="160" t="n">
        <v>39.3</v>
      </c>
      <c r="D24" s="161" t="n">
        <v>51.1</v>
      </c>
      <c r="E24" s="161" t="n">
        <v>2.4</v>
      </c>
      <c r="F24" s="161" t="n">
        <v>107.9</v>
      </c>
      <c r="G24" s="16"/>
    </row>
    <row r="25" customFormat="false" ht="15" hidden="false" customHeight="false" outlineLevel="0" collapsed="false">
      <c r="A25" s="19" t="s">
        <v>437</v>
      </c>
    </row>
    <row r="27" customFormat="false" ht="15" hidden="false" customHeight="false" outlineLevel="0" collapsed="false">
      <c r="A27" s="66" t="s">
        <v>496</v>
      </c>
      <c r="B27" s="48"/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49" t="s">
        <v>285</v>
      </c>
      <c r="B28" s="69" t="s">
        <v>251</v>
      </c>
      <c r="C28" s="69" t="s">
        <v>252</v>
      </c>
      <c r="D28" s="69" t="s">
        <v>240</v>
      </c>
      <c r="E28" s="69" t="s">
        <v>241</v>
      </c>
      <c r="F28" s="69" t="s">
        <v>253</v>
      </c>
      <c r="G28" s="49" t="s">
        <v>231</v>
      </c>
    </row>
    <row r="29" customFormat="false" ht="15" hidden="false" customHeight="false" outlineLevel="0" collapsed="false">
      <c r="A29" s="39" t="s">
        <v>882</v>
      </c>
      <c r="B29" s="71" t="n">
        <f aca="false">B$6+B$7+B$12</f>
        <v>22.4</v>
      </c>
      <c r="C29" s="71" t="n">
        <f aca="false">C$6+C$7+C$12</f>
        <v>50.7</v>
      </c>
      <c r="D29" s="71" t="n">
        <f aca="false">D$6+D$7+D$12</f>
        <v>64.9</v>
      </c>
      <c r="E29" s="71" t="n">
        <f aca="false">E$6+E$7+E$12</f>
        <v>102.4</v>
      </c>
      <c r="F29" s="71" t="n">
        <f aca="false">F$6+F$7+F$12</f>
        <v>132.9</v>
      </c>
      <c r="G29" s="154" t="s">
        <v>883</v>
      </c>
    </row>
    <row r="30" customFormat="false" ht="15" hidden="false" customHeight="false" outlineLevel="0" collapsed="false">
      <c r="A30" s="39" t="s">
        <v>884</v>
      </c>
      <c r="B30" s="71" t="n">
        <f aca="false">B$5+B$13+B$17</f>
        <v>215.1</v>
      </c>
      <c r="C30" s="71" t="n">
        <f aca="false">C$5+C$13+C$17</f>
        <v>-228</v>
      </c>
      <c r="D30" s="71" t="n">
        <f aca="false">D$5+D$13+D$17</f>
        <v>27.2</v>
      </c>
      <c r="E30" s="71" t="n">
        <f aca="false">E$5+E$13+E$17</f>
        <v>15.5</v>
      </c>
      <c r="F30" s="71" t="n">
        <f aca="false">F$5+F$13+F$17</f>
        <v>28.1</v>
      </c>
      <c r="G30" s="154" t="s">
        <v>885</v>
      </c>
    </row>
    <row r="31" customFormat="false" ht="15" hidden="false" customHeight="false" outlineLevel="0" collapsed="false">
      <c r="A31" s="35" t="s">
        <v>886</v>
      </c>
      <c r="B31" s="71" t="n">
        <f aca="false">B$5+B$15</f>
        <v>7.9</v>
      </c>
      <c r="C31" s="71" t="n">
        <f aca="false">C$5+C$15</f>
        <v>39.3</v>
      </c>
      <c r="D31" s="71" t="n">
        <f aca="false">D$5+D$15</f>
        <v>51.4</v>
      </c>
      <c r="E31" s="71" t="n">
        <f aca="false">E$5+E$15</f>
        <v>2.40000000000001</v>
      </c>
      <c r="F31" s="71" t="n">
        <f aca="false">F$5+F$15</f>
        <v>107.9</v>
      </c>
      <c r="G31" s="154" t="s">
        <v>887</v>
      </c>
    </row>
    <row r="32" customFormat="false" ht="15" hidden="false" customHeight="false" outlineLevel="0" collapsed="false">
      <c r="A32" s="35" t="s">
        <v>888</v>
      </c>
      <c r="B32" s="76" t="n">
        <f aca="false">-B$15/'15_p5_손익계산서'!B$5</f>
        <v>0.103423680456491</v>
      </c>
      <c r="C32" s="76" t="n">
        <f aca="false">-C$15/'15_p5_손익계산서'!C$5</f>
        <v>0.0653295128939828</v>
      </c>
      <c r="D32" s="76" t="n">
        <f aca="false">-D$15/'15_p5_손익계산서'!D$5</f>
        <v>0.0613106862255325</v>
      </c>
      <c r="E32" s="76" t="n">
        <f aca="false">-E$15/'15_p5_손익계산서'!E$5</f>
        <v>0.330141961043249</v>
      </c>
      <c r="F32" s="76" t="n">
        <f aca="false">-F$15/'15_p5_손익계산서'!F$5</f>
        <v>0.0670061645671402</v>
      </c>
      <c r="G32" s="154" t="s">
        <v>889</v>
      </c>
    </row>
    <row r="33" customFormat="false" ht="15" hidden="false" customHeight="false" outlineLevel="0" collapsed="false">
      <c r="A33" s="39" t="s">
        <v>890</v>
      </c>
      <c r="B33" s="76" t="n">
        <f aca="false">B$5/'15_p5_손익계산서'!B$5</f>
        <v>0.159771754636234</v>
      </c>
      <c r="C33" s="76" t="n">
        <f aca="false">C$5/'15_p5_손익계산서'!C$5</f>
        <v>0.29054441260745</v>
      </c>
      <c r="D33" s="76" t="n">
        <f aca="false">D$5/'15_p5_손익계산서'!D$5</f>
        <v>0.294745447113856</v>
      </c>
      <c r="E33" s="76" t="n">
        <f aca="false">E$5/'15_p5_손익계산서'!E$5</f>
        <v>0.338065368108287</v>
      </c>
      <c r="F33" s="76" t="n">
        <f aca="false">F$5/'15_p5_손익계산서'!F$5</f>
        <v>0.356204770838917</v>
      </c>
      <c r="G33" s="154" t="s">
        <v>891</v>
      </c>
    </row>
    <row r="34" customFormat="false" ht="15" hidden="false" customHeight="false" outlineLevel="0" collapsed="false">
      <c r="A34" s="39" t="s">
        <v>892</v>
      </c>
      <c r="B34" s="76" t="n">
        <f aca="false">-B$21/'15_p5_손익계산서'!B$19</f>
        <v>0.757575757575758</v>
      </c>
      <c r="C34" s="76" t="n">
        <f aca="false">-C$21/'15_p5_손익계산서'!C$19</f>
        <v>0.0749542961608775</v>
      </c>
      <c r="D34" s="76" t="n">
        <f aca="false">-D$21/'15_p5_손익계산서'!D$19</f>
        <v>0.295794725588026</v>
      </c>
      <c r="E34" s="76" t="n">
        <f aca="false">-E$21/'15_p5_손익계산서'!E$19</f>
        <v>0.20343137254902</v>
      </c>
      <c r="F34" s="76" t="n">
        <f aca="false">-F$21/'15_p5_손익계산서'!F$19</f>
        <v>0.155357142857143</v>
      </c>
      <c r="G34" s="154" t="s">
        <v>893</v>
      </c>
    </row>
    <row r="36" customFormat="false" ht="15" hidden="false" customHeight="false" outlineLevel="0" collapsed="false">
      <c r="A36" s="20" t="s">
        <v>772</v>
      </c>
    </row>
    <row r="38" customFormat="false" ht="15" hidden="false" customHeight="false" outlineLevel="0" collapsed="false">
      <c r="A38" s="20" t="s">
        <v>894</v>
      </c>
    </row>
    <row r="39" customFormat="false" ht="15" hidden="false" customHeight="false" outlineLevel="0" collapsed="false">
      <c r="A39" s="20" t="s">
        <v>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64" t="s">
        <v>199</v>
      </c>
    </row>
    <row r="2" customFormat="false" ht="15" hidden="false" customHeight="false" outlineLevel="0" collapsed="false">
      <c r="A2" s="19" t="s">
        <v>896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</row>
    <row r="4" customFormat="false" ht="29.85" hidden="false" customHeight="false" outlineLevel="0" collapsed="false">
      <c r="A4" s="49" t="s">
        <v>897</v>
      </c>
      <c r="B4" s="49" t="s">
        <v>406</v>
      </c>
      <c r="C4" s="49" t="s">
        <v>336</v>
      </c>
      <c r="D4" s="49" t="s">
        <v>898</v>
      </c>
      <c r="E4" s="49" t="s">
        <v>899</v>
      </c>
      <c r="F4" s="49" t="s">
        <v>231</v>
      </c>
    </row>
    <row r="5" customFormat="false" ht="15" hidden="false" customHeight="false" outlineLevel="0" collapsed="false">
      <c r="A5" s="36" t="s">
        <v>900</v>
      </c>
      <c r="B5" s="36" t="s">
        <v>407</v>
      </c>
      <c r="C5" s="140" t="n">
        <v>180000</v>
      </c>
      <c r="D5" s="36" t="s">
        <v>310</v>
      </c>
      <c r="E5" s="36" t="s">
        <v>310</v>
      </c>
      <c r="F5" s="68" t="s">
        <v>901</v>
      </c>
    </row>
    <row r="6" customFormat="false" ht="15" hidden="false" customHeight="false" outlineLevel="0" collapsed="false">
      <c r="A6" s="36" t="s">
        <v>902</v>
      </c>
      <c r="B6" s="36" t="s">
        <v>407</v>
      </c>
      <c r="C6" s="113" t="n">
        <v>130000</v>
      </c>
      <c r="D6" s="137" t="n">
        <v>-0.1441</v>
      </c>
      <c r="E6" s="137" t="n">
        <v>0.1592</v>
      </c>
      <c r="F6" s="105"/>
    </row>
    <row r="7" customFormat="false" ht="15" hidden="false" customHeight="false" outlineLevel="0" collapsed="false">
      <c r="A7" s="36" t="s">
        <v>903</v>
      </c>
      <c r="B7" s="36" t="s">
        <v>407</v>
      </c>
      <c r="C7" s="113" t="n">
        <v>76000</v>
      </c>
      <c r="D7" s="137" t="n">
        <v>-0.1296</v>
      </c>
      <c r="E7" s="137" t="n">
        <v>0.1618</v>
      </c>
      <c r="F7" s="105"/>
    </row>
    <row r="8" customFormat="false" ht="15" hidden="false" customHeight="false" outlineLevel="0" collapsed="false">
      <c r="A8" s="36" t="s">
        <v>904</v>
      </c>
      <c r="B8" s="36" t="s">
        <v>905</v>
      </c>
      <c r="C8" s="36" t="s">
        <v>310</v>
      </c>
      <c r="D8" s="36" t="s">
        <v>310</v>
      </c>
      <c r="E8" s="36" t="s">
        <v>310</v>
      </c>
      <c r="F8" s="68" t="s">
        <v>906</v>
      </c>
    </row>
    <row r="10" customFormat="false" ht="15" hidden="false" customHeight="false" outlineLevel="0" collapsed="false">
      <c r="A10" s="66" t="s">
        <v>907</v>
      </c>
      <c r="B10" s="48"/>
      <c r="C10" s="48"/>
      <c r="D10" s="48"/>
      <c r="E10" s="48"/>
      <c r="F10" s="48"/>
    </row>
    <row r="11" customFormat="false" ht="15" hidden="false" customHeight="false" outlineLevel="0" collapsed="false">
      <c r="A11" s="49" t="s">
        <v>110</v>
      </c>
      <c r="B11" s="49" t="s">
        <v>301</v>
      </c>
      <c r="C11" s="49"/>
      <c r="D11" s="49"/>
      <c r="E11" s="49"/>
      <c r="F11" s="49" t="s">
        <v>231</v>
      </c>
    </row>
    <row r="12" customFormat="false" ht="15" hidden="false" customHeight="false" outlineLevel="0" collapsed="false">
      <c r="A12" s="39" t="s">
        <v>908</v>
      </c>
      <c r="B12" s="106" t="n">
        <f aca="false">$C$6</f>
        <v>130000</v>
      </c>
      <c r="F12" s="105" t="s">
        <v>909</v>
      </c>
    </row>
    <row r="13" customFormat="false" ht="15" hidden="false" customHeight="false" outlineLevel="0" collapsed="false">
      <c r="A13" s="39" t="s">
        <v>910</v>
      </c>
      <c r="B13" s="106" t="n">
        <f aca="false">$C$5</f>
        <v>180000</v>
      </c>
      <c r="F13" s="105" t="s">
        <v>911</v>
      </c>
    </row>
    <row r="14" customFormat="false" ht="15" hidden="false" customHeight="false" outlineLevel="0" collapsed="false">
      <c r="A14" s="50" t="s">
        <v>912</v>
      </c>
      <c r="B14" s="185" t="n">
        <f aca="false">$B$13/$B$12-1</f>
        <v>0.384615384615385</v>
      </c>
      <c r="F14" s="105" t="s">
        <v>913</v>
      </c>
    </row>
    <row r="15" customFormat="false" ht="15" hidden="false" customHeight="false" outlineLevel="0" collapsed="false">
      <c r="A15" s="35" t="s">
        <v>914</v>
      </c>
      <c r="B15" s="97" t="n">
        <f aca="false">'05_도표1_Valuation'!$C$16-$B$13</f>
        <v>0</v>
      </c>
      <c r="F15" s="105" t="s">
        <v>915</v>
      </c>
    </row>
    <row r="17" customFormat="false" ht="15" hidden="false" customHeight="false" outlineLevel="0" collapsed="false">
      <c r="A17" s="19" t="s">
        <v>437</v>
      </c>
    </row>
    <row r="18" customFormat="false" ht="15" hidden="false" customHeight="false" outlineLevel="0" collapsed="false">
      <c r="A18" s="20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64" t="s">
        <v>917</v>
      </c>
    </row>
    <row r="2" customFormat="false" ht="15" hidden="false" customHeight="false" outlineLevel="0" collapsed="false">
      <c r="A2" s="19" t="s">
        <v>918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66" t="s">
        <v>919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920</v>
      </c>
      <c r="B5" s="69" t="s">
        <v>921</v>
      </c>
      <c r="C5" s="69" t="s">
        <v>922</v>
      </c>
      <c r="D5" s="69" t="s">
        <v>923</v>
      </c>
      <c r="E5" s="49" t="s">
        <v>924</v>
      </c>
    </row>
    <row r="6" customFormat="false" ht="15" hidden="false" customHeight="false" outlineLevel="0" collapsed="false">
      <c r="A6" s="50" t="s">
        <v>925</v>
      </c>
      <c r="B6" s="137" t="n">
        <v>0.9631</v>
      </c>
      <c r="C6" s="137" t="n">
        <v>0.0369</v>
      </c>
      <c r="D6" s="137" t="n">
        <v>0</v>
      </c>
      <c r="E6" s="114" t="n">
        <v>1</v>
      </c>
    </row>
    <row r="7" customFormat="false" ht="15" hidden="false" customHeight="false" outlineLevel="0" collapsed="false">
      <c r="A7" s="39" t="s">
        <v>651</v>
      </c>
      <c r="B7" s="83" t="n">
        <f aca="false">SUM($B$6:$D$6)</f>
        <v>1</v>
      </c>
      <c r="C7" s="16"/>
      <c r="D7" s="16"/>
      <c r="E7" s="83" t="n">
        <f aca="false">SUM($B$6:$D$6)-$E$6</f>
        <v>0</v>
      </c>
    </row>
    <row r="8" customFormat="false" ht="15" hidden="false" customHeight="false" outlineLevel="0" collapsed="false">
      <c r="A8" s="20" t="s">
        <v>926</v>
      </c>
    </row>
    <row r="10" customFormat="false" ht="15" hidden="false" customHeight="false" outlineLevel="0" collapsed="false">
      <c r="A10" s="66" t="s">
        <v>927</v>
      </c>
      <c r="B10" s="48"/>
      <c r="C10" s="48"/>
      <c r="D10" s="48"/>
      <c r="E10" s="48"/>
    </row>
    <row r="11" customFormat="false" ht="15" hidden="false" customHeight="false" outlineLevel="0" collapsed="false">
      <c r="A11" s="49" t="s">
        <v>406</v>
      </c>
      <c r="B11" s="49" t="s">
        <v>928</v>
      </c>
      <c r="C11" s="49"/>
      <c r="D11" s="49"/>
      <c r="E11" s="49"/>
    </row>
    <row r="12" customFormat="false" ht="15" hidden="false" customHeight="false" outlineLevel="0" collapsed="false">
      <c r="A12" s="91" t="s">
        <v>929</v>
      </c>
      <c r="B12" s="186" t="s">
        <v>930</v>
      </c>
      <c r="C12" s="186"/>
      <c r="D12" s="186"/>
      <c r="E12" s="186"/>
    </row>
    <row r="13" customFormat="false" ht="15" hidden="false" customHeight="false" outlineLevel="0" collapsed="false">
      <c r="A13" s="91" t="s">
        <v>931</v>
      </c>
      <c r="B13" s="186" t="s">
        <v>932</v>
      </c>
      <c r="C13" s="186"/>
      <c r="D13" s="186"/>
      <c r="E13" s="186"/>
    </row>
    <row r="14" customFormat="false" ht="15" hidden="false" customHeight="false" outlineLevel="0" collapsed="false">
      <c r="A14" s="91" t="s">
        <v>933</v>
      </c>
      <c r="B14" s="186" t="s">
        <v>934</v>
      </c>
      <c r="C14" s="186"/>
      <c r="D14" s="186"/>
      <c r="E14" s="186"/>
    </row>
    <row r="16" customFormat="false" ht="15" hidden="false" customHeight="false" outlineLevel="0" collapsed="false">
      <c r="A16" s="66" t="s">
        <v>935</v>
      </c>
      <c r="B16" s="48"/>
      <c r="C16" s="48"/>
      <c r="D16" s="48"/>
      <c r="E16" s="48"/>
    </row>
    <row r="17" customFormat="false" ht="15" hidden="false" customHeight="false" outlineLevel="0" collapsed="false">
      <c r="A17" s="49" t="s">
        <v>406</v>
      </c>
      <c r="B17" s="49" t="s">
        <v>928</v>
      </c>
      <c r="C17" s="49"/>
      <c r="D17" s="49"/>
      <c r="E17" s="49"/>
    </row>
    <row r="18" customFormat="false" ht="15" hidden="false" customHeight="false" outlineLevel="0" collapsed="false">
      <c r="A18" s="91" t="s">
        <v>936</v>
      </c>
      <c r="B18" s="186" t="s">
        <v>937</v>
      </c>
      <c r="C18" s="186"/>
      <c r="D18" s="186"/>
      <c r="E18" s="186"/>
    </row>
    <row r="19" customFormat="false" ht="15" hidden="false" customHeight="false" outlineLevel="0" collapsed="false">
      <c r="A19" s="91" t="s">
        <v>931</v>
      </c>
      <c r="B19" s="186" t="s">
        <v>938</v>
      </c>
      <c r="C19" s="186"/>
      <c r="D19" s="186"/>
      <c r="E19" s="186"/>
    </row>
    <row r="20" customFormat="false" ht="15" hidden="false" customHeight="false" outlineLevel="0" collapsed="false">
      <c r="A20" s="91" t="s">
        <v>939</v>
      </c>
      <c r="B20" s="186" t="s">
        <v>938</v>
      </c>
      <c r="C20" s="186"/>
      <c r="D20" s="186"/>
      <c r="E20" s="186"/>
    </row>
    <row r="22" customFormat="false" ht="15" hidden="false" customHeight="false" outlineLevel="0" collapsed="false">
      <c r="A22" s="66" t="s">
        <v>940</v>
      </c>
      <c r="B22" s="48"/>
      <c r="C22" s="48"/>
      <c r="D22" s="48"/>
      <c r="E22" s="48"/>
    </row>
    <row r="23" customFormat="false" ht="15" hidden="false" customHeight="false" outlineLevel="0" collapsed="false">
      <c r="A23" s="39" t="s">
        <v>941</v>
      </c>
      <c r="B23" s="187" t="n">
        <f aca="false">'05_도표1_Valuation'!$C$17</f>
        <v>0.257861635220126</v>
      </c>
      <c r="C23" s="188" t="s">
        <v>942</v>
      </c>
      <c r="D23" s="188"/>
      <c r="E23" s="188"/>
    </row>
    <row r="25" customFormat="false" ht="15" hidden="false" customHeight="false" outlineLevel="0" collapsed="false">
      <c r="A25" s="19" t="s">
        <v>437</v>
      </c>
    </row>
    <row r="26" customFormat="false" ht="15" hidden="false" customHeight="false" outlineLevel="0" collapsed="false">
      <c r="A26" s="20" t="s">
        <v>943</v>
      </c>
    </row>
  </sheetData>
  <mergeCells count="7">
    <mergeCell ref="B12:E12"/>
    <mergeCell ref="B13:E13"/>
    <mergeCell ref="B14:E14"/>
    <mergeCell ref="B18:E18"/>
    <mergeCell ref="B19:E19"/>
    <mergeCell ref="B20:E20"/>
    <mergeCell ref="C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44"/>
  </cols>
  <sheetData>
    <row r="1" customFormat="false" ht="20.1" hidden="false" customHeight="false" outlineLevel="0" collapsed="false">
      <c r="A1" s="64" t="s">
        <v>944</v>
      </c>
    </row>
    <row r="2" customFormat="false" ht="15" hidden="false" customHeight="false" outlineLevel="0" collapsed="false">
      <c r="A2" s="19" t="s">
        <v>945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49" t="s">
        <v>110</v>
      </c>
      <c r="B4" s="49" t="s">
        <v>3</v>
      </c>
      <c r="C4" s="69" t="s">
        <v>240</v>
      </c>
      <c r="D4" s="69" t="s">
        <v>241</v>
      </c>
      <c r="E4" s="49" t="s">
        <v>231</v>
      </c>
    </row>
    <row r="5" customFormat="false" ht="15" hidden="false" customHeight="false" outlineLevel="0" collapsed="false">
      <c r="A5" s="72" t="s">
        <v>946</v>
      </c>
      <c r="B5" s="39" t="s">
        <v>947</v>
      </c>
      <c r="C5" s="70" t="n">
        <f aca="false">'15_p5_손익계산서'!$D$5</f>
        <v>220.19</v>
      </c>
      <c r="D5" s="70" t="n">
        <f aca="false">'15_p5_손익계산서'!$E$5</f>
        <v>302.9</v>
      </c>
      <c r="E5" s="105" t="s">
        <v>948</v>
      </c>
    </row>
    <row r="6" customFormat="false" ht="15" hidden="false" customHeight="false" outlineLevel="0" collapsed="false">
      <c r="A6" s="72" t="s">
        <v>946</v>
      </c>
      <c r="B6" s="39" t="s">
        <v>949</v>
      </c>
      <c r="C6" s="70" t="n">
        <f aca="false">'15_p5_손익계산서'!$D$9</f>
        <v>60.05</v>
      </c>
      <c r="D6" s="70" t="n">
        <f aca="false">'15_p5_손익계산서'!$E$9</f>
        <v>93.7</v>
      </c>
      <c r="E6" s="105" t="s">
        <v>948</v>
      </c>
    </row>
    <row r="7" customFormat="false" ht="15" hidden="false" customHeight="false" outlineLevel="0" collapsed="false">
      <c r="A7" s="72" t="s">
        <v>946</v>
      </c>
      <c r="B7" s="39" t="s">
        <v>950</v>
      </c>
      <c r="C7" s="97" t="n">
        <f aca="false">'17_p5_투자지표'!$D$6</f>
        <v>2638</v>
      </c>
      <c r="D7" s="97" t="n">
        <f aca="false">'17_p5_투자지표'!$E$6</f>
        <v>3850</v>
      </c>
      <c r="E7" s="105" t="s">
        <v>951</v>
      </c>
    </row>
    <row r="8" customFormat="false" ht="15" hidden="false" customHeight="false" outlineLevel="0" collapsed="false">
      <c r="A8" s="72" t="s">
        <v>442</v>
      </c>
      <c r="B8" s="39" t="s">
        <v>952</v>
      </c>
      <c r="C8" s="70" t="n">
        <f aca="false">'02_p1_Consensus'!$C$6</f>
        <v>215.9</v>
      </c>
      <c r="D8" s="70" t="n">
        <f aca="false">'02_p1_Consensus'!$D$6</f>
        <v>282.7</v>
      </c>
      <c r="E8" s="105" t="s">
        <v>953</v>
      </c>
    </row>
    <row r="9" customFormat="false" ht="15" hidden="false" customHeight="false" outlineLevel="0" collapsed="false">
      <c r="A9" s="72" t="s">
        <v>442</v>
      </c>
      <c r="B9" s="39" t="s">
        <v>954</v>
      </c>
      <c r="C9" s="70" t="n">
        <f aca="false">'02_p1_Consensus'!$C$7</f>
        <v>56.9</v>
      </c>
      <c r="D9" s="70" t="n">
        <f aca="false">'02_p1_Consensus'!$D$7</f>
        <v>79.6</v>
      </c>
      <c r="E9" s="105" t="s">
        <v>953</v>
      </c>
    </row>
    <row r="10" customFormat="false" ht="15" hidden="false" customHeight="false" outlineLevel="0" collapsed="false">
      <c r="A10" s="72" t="s">
        <v>442</v>
      </c>
      <c r="B10" s="39" t="s">
        <v>955</v>
      </c>
      <c r="C10" s="97" t="n">
        <f aca="false">'02_p1_Consensus'!$C$9</f>
        <v>2555</v>
      </c>
      <c r="D10" s="97" t="n">
        <f aca="false">'02_p1_Consensus'!$D$9</f>
        <v>3563</v>
      </c>
      <c r="E10" s="105" t="s">
        <v>953</v>
      </c>
    </row>
    <row r="11" customFormat="false" ht="15" hidden="false" customHeight="false" outlineLevel="0" collapsed="false">
      <c r="A11" s="72" t="s">
        <v>956</v>
      </c>
      <c r="B11" s="50" t="s">
        <v>957</v>
      </c>
      <c r="C11" s="174" t="n">
        <f aca="false">$C$5/$C$8-1</f>
        <v>0.019870310328856</v>
      </c>
      <c r="D11" s="174" t="n">
        <f aca="false">$D$5/$D$8-1</f>
        <v>0.071453837990803</v>
      </c>
      <c r="E11" s="68" t="s">
        <v>958</v>
      </c>
    </row>
    <row r="12" customFormat="false" ht="15" hidden="false" customHeight="false" outlineLevel="0" collapsed="false">
      <c r="A12" s="72" t="s">
        <v>956</v>
      </c>
      <c r="B12" s="50" t="s">
        <v>959</v>
      </c>
      <c r="C12" s="174" t="n">
        <f aca="false">$C$6/$C$9-1</f>
        <v>0.0553602811950793</v>
      </c>
      <c r="D12" s="174" t="n">
        <f aca="false">$D$6/$D$9-1</f>
        <v>0.17713567839196</v>
      </c>
      <c r="E12" s="68" t="s">
        <v>958</v>
      </c>
    </row>
    <row r="13" customFormat="false" ht="15" hidden="false" customHeight="false" outlineLevel="0" collapsed="false">
      <c r="A13" s="72" t="s">
        <v>956</v>
      </c>
      <c r="B13" s="91" t="s">
        <v>960</v>
      </c>
      <c r="C13" s="174" t="n">
        <f aca="false">$C$7/$C$10-1</f>
        <v>0.0324853228962818</v>
      </c>
      <c r="D13" s="174" t="n">
        <f aca="false">$D$7/$D$10-1</f>
        <v>0.080550098231827</v>
      </c>
      <c r="E13" s="68" t="s">
        <v>958</v>
      </c>
    </row>
    <row r="15" customFormat="false" ht="15" hidden="false" customHeight="false" outlineLevel="0" collapsed="false">
      <c r="A15" s="19" t="s">
        <v>437</v>
      </c>
    </row>
    <row r="16" customFormat="false" ht="15" hidden="false" customHeight="false" outlineLevel="0" collapsed="false">
      <c r="A16" s="20" t="s">
        <v>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3"/>
    <col collapsed="false" customWidth="true" hidden="false" outlineLevel="0" max="7" min="7" style="0" width="44"/>
  </cols>
  <sheetData>
    <row r="1" customFormat="false" ht="20.1" hidden="false" customHeight="false" outlineLevel="0" collapsed="false">
      <c r="A1" s="64" t="s">
        <v>962</v>
      </c>
    </row>
    <row r="2" customFormat="false" ht="15" hidden="false" customHeight="false" outlineLevel="0" collapsed="false">
      <c r="A2" s="19" t="s">
        <v>963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7</v>
      </c>
      <c r="C4" s="69" t="s">
        <v>12</v>
      </c>
      <c r="D4" s="69" t="s">
        <v>241</v>
      </c>
      <c r="E4" s="49"/>
      <c r="F4" s="49"/>
      <c r="G4" s="49" t="s">
        <v>231</v>
      </c>
    </row>
    <row r="5" customFormat="false" ht="15" hidden="false" customHeight="false" outlineLevel="0" collapsed="false">
      <c r="A5" s="39" t="s">
        <v>964</v>
      </c>
      <c r="B5" s="70" t="n">
        <f aca="false">'08_도표4_분기실적_수정후'!$E$5</f>
        <v>72.3</v>
      </c>
      <c r="C5" s="70" t="n">
        <f aca="false">'08_도표4_분기실적_수정후'!$K$5</f>
        <v>220.1</v>
      </c>
      <c r="D5" s="70" t="n">
        <f aca="false">'08_도표4_분기실적_수정후'!$L$5</f>
        <v>302.9</v>
      </c>
      <c r="G5" s="68" t="s">
        <v>965</v>
      </c>
    </row>
    <row r="6" customFormat="false" ht="15" hidden="false" customHeight="false" outlineLevel="0" collapsed="false">
      <c r="A6" s="39" t="s">
        <v>966</v>
      </c>
      <c r="B6" s="70" t="n">
        <f aca="false">'09_도표5_분기실적_수정전'!$I$5</f>
        <v>68.2</v>
      </c>
      <c r="C6" s="70" t="n">
        <f aca="false">'09_도표5_분기실적_수정전'!$K$5</f>
        <v>216.1</v>
      </c>
      <c r="D6" s="70" t="n">
        <f aca="false">'09_도표5_분기실적_수정전'!$L$5</f>
        <v>301.6</v>
      </c>
      <c r="G6" s="68" t="s">
        <v>967</v>
      </c>
    </row>
    <row r="7" customFormat="false" ht="15" hidden="false" customHeight="false" outlineLevel="0" collapsed="false">
      <c r="A7" s="50" t="s">
        <v>968</v>
      </c>
      <c r="B7" s="87" t="n">
        <f aca="false">B$5-B$6</f>
        <v>4.09999999999999</v>
      </c>
      <c r="C7" s="87" t="n">
        <f aca="false">C$5-C$6</f>
        <v>4</v>
      </c>
      <c r="D7" s="87" t="n">
        <f aca="false">D$5-D$6</f>
        <v>1.29999999999995</v>
      </c>
      <c r="G7" s="68" t="s">
        <v>969</v>
      </c>
    </row>
    <row r="8" customFormat="false" ht="15" hidden="false" customHeight="false" outlineLevel="0" collapsed="false">
      <c r="A8" s="50" t="s">
        <v>970</v>
      </c>
      <c r="B8" s="185" t="n">
        <f aca="false">B$5/B$6-1</f>
        <v>0.0601173020527859</v>
      </c>
      <c r="C8" s="185" t="n">
        <f aca="false">C$5/C$6-1</f>
        <v>0.0185099490976399</v>
      </c>
      <c r="D8" s="185" t="n">
        <f aca="false">D$5/D$6-1</f>
        <v>0.00431034482758608</v>
      </c>
      <c r="G8" s="68" t="s">
        <v>971</v>
      </c>
    </row>
    <row r="10" customFormat="false" ht="15" hidden="false" customHeight="false" outlineLevel="0" collapsed="false">
      <c r="A10" s="39" t="s">
        <v>972</v>
      </c>
      <c r="B10" s="70" t="n">
        <f aca="false">'08_도표4_분기실적_수정후'!$E$15</f>
        <v>21.9</v>
      </c>
      <c r="C10" s="70" t="n">
        <f aca="false">'08_도표4_분기실적_수정후'!$K$15</f>
        <v>60</v>
      </c>
      <c r="D10" s="70" t="n">
        <f aca="false">'08_도표4_분기실적_수정후'!$L$15</f>
        <v>93.7</v>
      </c>
      <c r="G10" s="68" t="s">
        <v>965</v>
      </c>
    </row>
    <row r="11" customFormat="false" ht="15" hidden="false" customHeight="false" outlineLevel="0" collapsed="false">
      <c r="A11" s="39" t="s">
        <v>973</v>
      </c>
      <c r="B11" s="70" t="n">
        <f aca="false">'09_도표5_분기실적_수정전'!$I$15</f>
        <v>19.4</v>
      </c>
      <c r="C11" s="70" t="n">
        <f aca="false">'09_도표5_분기실적_수정전'!$K$15</f>
        <v>57.5</v>
      </c>
      <c r="D11" s="70" t="n">
        <f aca="false">'09_도표5_분기실적_수정전'!$L$15</f>
        <v>86.5</v>
      </c>
      <c r="G11" s="68" t="s">
        <v>967</v>
      </c>
    </row>
    <row r="12" customFormat="false" ht="15" hidden="false" customHeight="false" outlineLevel="0" collapsed="false">
      <c r="A12" s="50" t="s">
        <v>968</v>
      </c>
      <c r="B12" s="87" t="n">
        <f aca="false">B$10-B$11</f>
        <v>2.5</v>
      </c>
      <c r="C12" s="87" t="n">
        <f aca="false">C$10-C$11</f>
        <v>2.5</v>
      </c>
      <c r="D12" s="87" t="n">
        <f aca="false">D$10-D$11</f>
        <v>7.2</v>
      </c>
      <c r="G12" s="68" t="s">
        <v>969</v>
      </c>
    </row>
    <row r="13" customFormat="false" ht="15" hidden="false" customHeight="false" outlineLevel="0" collapsed="false">
      <c r="A13" s="50" t="s">
        <v>970</v>
      </c>
      <c r="B13" s="185" t="n">
        <f aca="false">B$10/B$11-1</f>
        <v>0.128865979381443</v>
      </c>
      <c r="C13" s="185" t="n">
        <f aca="false">C$10/C$11-1</f>
        <v>0.0434782608695652</v>
      </c>
      <c r="D13" s="185" t="n">
        <f aca="false">D$10/D$11-1</f>
        <v>0.0832369942196531</v>
      </c>
      <c r="G13" s="68" t="s">
        <v>974</v>
      </c>
    </row>
    <row r="15" customFormat="false" ht="15" hidden="false" customHeight="false" outlineLevel="0" collapsed="false">
      <c r="A15" s="66" t="s">
        <v>975</v>
      </c>
      <c r="B15" s="48"/>
      <c r="C15" s="48"/>
      <c r="D15" s="48"/>
      <c r="E15" s="48"/>
      <c r="F15" s="48"/>
      <c r="G15" s="48"/>
    </row>
    <row r="16" customFormat="false" ht="15" hidden="false" customHeight="false" outlineLevel="0" collapsed="false">
      <c r="A16" s="49" t="s">
        <v>110</v>
      </c>
      <c r="B16" s="69" t="s">
        <v>7</v>
      </c>
      <c r="C16" s="69" t="s">
        <v>12</v>
      </c>
      <c r="D16" s="69" t="s">
        <v>241</v>
      </c>
      <c r="E16" s="49"/>
      <c r="F16" s="49"/>
      <c r="G16" s="49" t="s">
        <v>231</v>
      </c>
    </row>
    <row r="17" customFormat="false" ht="15" hidden="false" customHeight="false" outlineLevel="0" collapsed="false">
      <c r="A17" s="39" t="s">
        <v>976</v>
      </c>
      <c r="B17" s="70" t="n">
        <f aca="false">'08_도표4_분기실적_수정후'!$E$8</f>
        <v>54.4</v>
      </c>
      <c r="C17" s="70" t="n">
        <f aca="false">'08_도표4_분기실적_수정후'!$K$8</f>
        <v>148.4</v>
      </c>
      <c r="D17" s="70" t="n">
        <f aca="false">'08_도표4_분기실적_수정후'!$L$8</f>
        <v>218.1</v>
      </c>
      <c r="G17" s="16"/>
    </row>
    <row r="18" customFormat="false" ht="15" hidden="false" customHeight="false" outlineLevel="0" collapsed="false">
      <c r="A18" s="39" t="s">
        <v>977</v>
      </c>
      <c r="B18" s="70" t="n">
        <f aca="false">'09_도표5_분기실적_수정전'!$I$8</f>
        <v>48.4</v>
      </c>
      <c r="C18" s="70" t="n">
        <f aca="false">'09_도표5_분기실적_수정전'!$K$8</f>
        <v>142.4</v>
      </c>
      <c r="D18" s="70" t="n">
        <f aca="false">'09_도표5_분기실적_수정전'!$L$8</f>
        <v>226.1</v>
      </c>
      <c r="G18" s="16"/>
    </row>
    <row r="19" customFormat="false" ht="15" hidden="false" customHeight="false" outlineLevel="0" collapsed="false">
      <c r="A19" s="50" t="s">
        <v>970</v>
      </c>
      <c r="B19" s="174" t="n">
        <f aca="false">B$17/B$18-1</f>
        <v>0.12396694214876</v>
      </c>
      <c r="C19" s="174" t="n">
        <f aca="false">C$17/C$18-1</f>
        <v>0.0421348314606742</v>
      </c>
      <c r="D19" s="174" t="n">
        <f aca="false">D$17/D$18-1</f>
        <v>-0.0353825740822645</v>
      </c>
      <c r="G19" s="105" t="s">
        <v>978</v>
      </c>
    </row>
    <row r="21" customFormat="false" ht="15" hidden="false" customHeight="false" outlineLevel="0" collapsed="false">
      <c r="A21" s="19" t="s">
        <v>979</v>
      </c>
    </row>
    <row r="22" customFormat="false" ht="15" hidden="false" customHeight="false" outlineLevel="0" collapsed="false">
      <c r="A22" s="20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0"/>
    <col collapsed="false" customWidth="true" hidden="false" outlineLevel="0" max="14" min="14" style="0" width="9"/>
  </cols>
  <sheetData>
    <row r="1" customFormat="false" ht="20.1" hidden="false" customHeight="false" outlineLevel="0" collapsed="false">
      <c r="A1" s="64" t="s">
        <v>981</v>
      </c>
    </row>
    <row r="2" customFormat="false" ht="15" hidden="false" customHeight="false" outlineLevel="0" collapsed="false">
      <c r="A2" s="19" t="s">
        <v>982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983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110</v>
      </c>
      <c r="B5" s="69" t="s">
        <v>454</v>
      </c>
      <c r="C5" s="69" t="s">
        <v>455</v>
      </c>
      <c r="D5" s="69" t="s">
        <v>456</v>
      </c>
      <c r="E5" s="69" t="s">
        <v>457</v>
      </c>
      <c r="F5" s="69" t="s">
        <v>458</v>
      </c>
      <c r="G5" s="69" t="s">
        <v>459</v>
      </c>
      <c r="H5" s="69" t="s">
        <v>460</v>
      </c>
      <c r="I5" s="69" t="s">
        <v>461</v>
      </c>
      <c r="J5" s="69" t="s">
        <v>4</v>
      </c>
      <c r="K5" s="69" t="s">
        <v>5</v>
      </c>
      <c r="L5" s="69" t="s">
        <v>696</v>
      </c>
      <c r="M5" s="69" t="s">
        <v>697</v>
      </c>
    </row>
    <row r="6" customFormat="false" ht="15" hidden="false" customHeight="false" outlineLevel="0" collapsed="false">
      <c r="A6" s="50" t="s">
        <v>698</v>
      </c>
      <c r="B6" s="160" t="n">
        <v>46.4</v>
      </c>
      <c r="C6" s="160" t="n">
        <v>36</v>
      </c>
      <c r="D6" s="160" t="n">
        <v>32.9</v>
      </c>
      <c r="E6" s="160" t="n">
        <v>24.9</v>
      </c>
      <c r="F6" s="160" t="n">
        <v>35.1</v>
      </c>
      <c r="G6" s="160" t="n">
        <v>49.8</v>
      </c>
      <c r="H6" s="160" t="n">
        <v>50.4</v>
      </c>
      <c r="I6" s="160" t="n">
        <v>39.3</v>
      </c>
      <c r="J6" s="160" t="n">
        <v>31.7</v>
      </c>
      <c r="K6" s="160" t="n">
        <v>51.7</v>
      </c>
      <c r="L6" s="160" t="n">
        <v>69.5</v>
      </c>
      <c r="M6" s="160" t="n">
        <v>64</v>
      </c>
    </row>
    <row r="7" customFormat="false" ht="15" hidden="false" customHeight="false" outlineLevel="0" collapsed="false">
      <c r="A7" s="15" t="s">
        <v>984</v>
      </c>
      <c r="B7" s="136" t="n">
        <v>10.1</v>
      </c>
      <c r="C7" s="136" t="n">
        <v>6</v>
      </c>
      <c r="D7" s="136" t="n">
        <v>6.6</v>
      </c>
      <c r="E7" s="136" t="n">
        <v>5</v>
      </c>
      <c r="F7" s="136" t="n">
        <v>5</v>
      </c>
      <c r="G7" s="136" t="n">
        <v>7.5</v>
      </c>
      <c r="H7" s="136" t="n">
        <v>8</v>
      </c>
      <c r="I7" s="136" t="n">
        <v>5.1</v>
      </c>
      <c r="J7" s="136" t="n">
        <v>5.9</v>
      </c>
      <c r="K7" s="136" t="n">
        <v>5.8</v>
      </c>
      <c r="L7" s="136" t="n">
        <v>4.5</v>
      </c>
      <c r="M7" s="136" t="n">
        <v>5</v>
      </c>
    </row>
    <row r="8" customFormat="false" ht="15" hidden="false" customHeight="false" outlineLevel="0" collapsed="false">
      <c r="A8" s="15" t="s">
        <v>985</v>
      </c>
      <c r="B8" s="136" t="n">
        <v>34</v>
      </c>
      <c r="C8" s="136" t="n">
        <v>26.9</v>
      </c>
      <c r="D8" s="136" t="n">
        <v>22.6</v>
      </c>
      <c r="E8" s="136" t="n">
        <v>19</v>
      </c>
      <c r="F8" s="136" t="n">
        <v>29.7</v>
      </c>
      <c r="G8" s="136" t="n">
        <v>41.7</v>
      </c>
      <c r="H8" s="136" t="n">
        <v>41.9</v>
      </c>
      <c r="I8" s="136" t="n">
        <v>33.7</v>
      </c>
      <c r="J8" s="136" t="n">
        <v>25.4</v>
      </c>
      <c r="K8" s="136" t="n">
        <v>45.7</v>
      </c>
      <c r="L8" s="136" t="n">
        <v>55</v>
      </c>
      <c r="M8" s="136" t="n">
        <v>49</v>
      </c>
    </row>
    <row r="9" customFormat="false" ht="15" hidden="false" customHeight="false" outlineLevel="0" collapsed="false">
      <c r="A9" s="15" t="s">
        <v>986</v>
      </c>
      <c r="B9" s="76" t="n">
        <f aca="false">B$7/B$6</f>
        <v>0.217672413793103</v>
      </c>
      <c r="C9" s="76" t="n">
        <f aca="false">C$7/C$6</f>
        <v>0.166666666666667</v>
      </c>
      <c r="D9" s="76" t="n">
        <f aca="false">D$7/D$6</f>
        <v>0.200607902735562</v>
      </c>
      <c r="E9" s="76" t="n">
        <f aca="false">E$7/E$6</f>
        <v>0.200803212851406</v>
      </c>
      <c r="F9" s="76" t="n">
        <f aca="false">F$7/F$6</f>
        <v>0.142450142450142</v>
      </c>
      <c r="G9" s="76" t="n">
        <f aca="false">G$7/G$6</f>
        <v>0.150602409638554</v>
      </c>
      <c r="H9" s="76" t="n">
        <f aca="false">H$7/H$6</f>
        <v>0.158730158730159</v>
      </c>
      <c r="I9" s="76" t="n">
        <f aca="false">I$7/I$6</f>
        <v>0.129770992366412</v>
      </c>
      <c r="J9" s="76" t="n">
        <f aca="false">J$7/J$6</f>
        <v>0.186119873817035</v>
      </c>
      <c r="K9" s="76" t="n">
        <f aca="false">K$7/K$6</f>
        <v>0.112185686653772</v>
      </c>
      <c r="L9" s="76" t="n">
        <f aca="false">L$7/L$6</f>
        <v>0.0647482014388489</v>
      </c>
      <c r="M9" s="76" t="n">
        <f aca="false">M$7/M$6</f>
        <v>0.078125</v>
      </c>
    </row>
    <row r="10" customFormat="false" ht="15" hidden="false" customHeight="false" outlineLevel="0" collapsed="false">
      <c r="A10" s="20" t="s">
        <v>987</v>
      </c>
    </row>
    <row r="12" customFormat="false" ht="15" hidden="false" customHeight="false" outlineLevel="0" collapsed="false">
      <c r="A12" s="47" t="s">
        <v>988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customFormat="false" ht="15" hidden="false" customHeight="false" outlineLevel="0" collapsed="false">
      <c r="A13" s="49" t="s">
        <v>110</v>
      </c>
      <c r="B13" s="69" t="s">
        <v>458</v>
      </c>
      <c r="C13" s="69" t="s">
        <v>460</v>
      </c>
      <c r="D13" s="69" t="s">
        <v>461</v>
      </c>
      <c r="E13" s="69" t="s">
        <v>5</v>
      </c>
      <c r="F13" s="69" t="s">
        <v>6</v>
      </c>
      <c r="G13" s="49"/>
      <c r="H13" s="49"/>
      <c r="I13" s="49"/>
      <c r="J13" s="49"/>
      <c r="K13" s="49"/>
      <c r="L13" s="49"/>
      <c r="M13" s="49"/>
    </row>
    <row r="14" customFormat="false" ht="15" hidden="false" customHeight="false" outlineLevel="0" collapsed="false">
      <c r="A14" s="15" t="s">
        <v>989</v>
      </c>
      <c r="B14" s="136" t="n">
        <v>8.9</v>
      </c>
      <c r="C14" s="136" t="n">
        <v>17.6</v>
      </c>
      <c r="D14" s="136" t="n">
        <v>27.5</v>
      </c>
      <c r="E14" s="136" t="n">
        <v>34.5</v>
      </c>
      <c r="F14" s="136" t="n">
        <v>43</v>
      </c>
    </row>
    <row r="15" customFormat="false" ht="15" hidden="false" customHeight="false" outlineLevel="0" collapsed="false">
      <c r="A15" s="12" t="s">
        <v>990</v>
      </c>
      <c r="B15" s="136" t="n">
        <v>26.2</v>
      </c>
      <c r="C15" s="136" t="n">
        <v>32.8</v>
      </c>
      <c r="D15" s="136" t="n">
        <v>11.8</v>
      </c>
      <c r="E15" s="136" t="n">
        <v>17.2</v>
      </c>
      <c r="F15" s="136" t="n">
        <v>21.5</v>
      </c>
    </row>
    <row r="16" customFormat="false" ht="15" hidden="false" customHeight="false" outlineLevel="0" collapsed="false">
      <c r="A16" s="15" t="s">
        <v>991</v>
      </c>
      <c r="B16" s="76" t="n">
        <f aca="false">B$14/(B$14+B$15)</f>
        <v>0.253561253561254</v>
      </c>
      <c r="C16" s="76" t="n">
        <f aca="false">C$14/(C$14+C$15)</f>
        <v>0.349206349206349</v>
      </c>
      <c r="D16" s="76" t="n">
        <f aca="false">D$14/(D$14+D$15)</f>
        <v>0.699745547073791</v>
      </c>
      <c r="E16" s="76" t="n">
        <f aca="false">E$14/(E$14+E$15)</f>
        <v>0.667311411992263</v>
      </c>
      <c r="F16" s="76" t="n">
        <f aca="false">F$14/(F$14+F$15)</f>
        <v>0.666666666666667</v>
      </c>
    </row>
    <row r="17" customFormat="false" ht="15" hidden="false" customHeight="false" outlineLevel="0" collapsed="false">
      <c r="A17" s="20" t="s">
        <v>992</v>
      </c>
    </row>
    <row r="42" customFormat="false" ht="15" hidden="false" customHeight="false" outlineLevel="0" collapsed="false">
      <c r="A42" s="66" t="s">
        <v>478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customFormat="false" ht="15" hidden="false" customHeight="false" outlineLevel="0" collapsed="false">
      <c r="A43" s="144" t="s">
        <v>3</v>
      </c>
      <c r="B43" s="144" t="s">
        <v>479</v>
      </c>
      <c r="C43" s="144"/>
      <c r="D43" s="144"/>
      <c r="E43" s="144"/>
      <c r="F43" s="144"/>
      <c r="G43" s="144"/>
      <c r="H43" s="144"/>
      <c r="I43" s="145" t="s">
        <v>480</v>
      </c>
      <c r="J43" s="145"/>
      <c r="K43" s="145"/>
      <c r="L43" s="145"/>
    </row>
    <row r="44" customFormat="false" ht="30" hidden="false" customHeight="true" outlineLevel="0" collapsed="false">
      <c r="A44" s="39" t="s">
        <v>993</v>
      </c>
      <c r="B44" s="146" t="s">
        <v>994</v>
      </c>
      <c r="C44" s="146"/>
      <c r="D44" s="146"/>
      <c r="E44" s="146"/>
      <c r="F44" s="146"/>
      <c r="G44" s="146"/>
      <c r="H44" s="146"/>
      <c r="I44" s="147" t="s">
        <v>687</v>
      </c>
      <c r="J44" s="147"/>
      <c r="K44" s="147"/>
      <c r="L44" s="147"/>
    </row>
    <row r="45" customFormat="false" ht="30" hidden="false" customHeight="true" outlineLevel="0" collapsed="false">
      <c r="A45" s="35" t="s">
        <v>995</v>
      </c>
      <c r="B45" s="172" t="s">
        <v>996</v>
      </c>
      <c r="C45" s="172"/>
      <c r="D45" s="172"/>
      <c r="E45" s="172"/>
      <c r="F45" s="172"/>
      <c r="G45" s="172"/>
      <c r="H45" s="172"/>
      <c r="I45" s="147" t="s">
        <v>997</v>
      </c>
      <c r="J45" s="147"/>
      <c r="K45" s="147"/>
      <c r="L45" s="147"/>
    </row>
  </sheetData>
  <mergeCells count="6">
    <mergeCell ref="B43:H43"/>
    <mergeCell ref="I43:L43"/>
    <mergeCell ref="B44:H44"/>
    <mergeCell ref="I44:L44"/>
    <mergeCell ref="B45:H45"/>
    <mergeCell ref="I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64" t="s">
        <v>998</v>
      </c>
    </row>
    <row r="2" customFormat="false" ht="15" hidden="false" customHeight="false" outlineLevel="0" collapsed="false">
      <c r="A2" s="19" t="s">
        <v>999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</row>
    <row r="4" customFormat="false" ht="15" hidden="false" customHeight="false" outlineLevel="0" collapsed="false">
      <c r="A4" s="66" t="s">
        <v>1000</v>
      </c>
      <c r="B4" s="48"/>
      <c r="C4" s="48"/>
      <c r="D4" s="48"/>
      <c r="E4" s="48"/>
      <c r="F4" s="48"/>
    </row>
    <row r="5" customFormat="false" ht="15" hidden="false" customHeight="false" outlineLevel="0" collapsed="false">
      <c r="A5" s="69" t="s">
        <v>1001</v>
      </c>
      <c r="B5" s="49" t="s">
        <v>1002</v>
      </c>
      <c r="C5" s="49" t="s">
        <v>1003</v>
      </c>
      <c r="D5" s="49" t="s">
        <v>479</v>
      </c>
      <c r="E5" s="69" t="s">
        <v>480</v>
      </c>
      <c r="F5" s="49" t="s">
        <v>1004</v>
      </c>
    </row>
    <row r="6" customFormat="false" ht="31.5" hidden="false" customHeight="true" outlineLevel="0" collapsed="false">
      <c r="A6" s="82" t="n">
        <v>1</v>
      </c>
      <c r="B6" s="39" t="s">
        <v>1005</v>
      </c>
      <c r="C6" s="189" t="s">
        <v>1006</v>
      </c>
      <c r="D6" s="172" t="s">
        <v>1007</v>
      </c>
      <c r="E6" s="147" t="s">
        <v>1008</v>
      </c>
      <c r="F6" s="147" t="s">
        <v>1009</v>
      </c>
    </row>
    <row r="7" customFormat="false" ht="31.5" hidden="false" customHeight="true" outlineLevel="0" collapsed="false">
      <c r="A7" s="82" t="n">
        <v>2</v>
      </c>
      <c r="B7" s="39" t="s">
        <v>1005</v>
      </c>
      <c r="C7" s="189" t="s">
        <v>1010</v>
      </c>
      <c r="D7" s="172" t="s">
        <v>1011</v>
      </c>
      <c r="E7" s="147" t="s">
        <v>1008</v>
      </c>
      <c r="F7" s="147" t="s">
        <v>1009</v>
      </c>
    </row>
    <row r="8" customFormat="false" ht="31.5" hidden="false" customHeight="true" outlineLevel="0" collapsed="false">
      <c r="A8" s="82" t="n">
        <v>3</v>
      </c>
      <c r="B8" s="39" t="s">
        <v>1012</v>
      </c>
      <c r="C8" s="189" t="s">
        <v>1013</v>
      </c>
      <c r="D8" s="146" t="s">
        <v>1014</v>
      </c>
      <c r="E8" s="147" t="s">
        <v>1015</v>
      </c>
      <c r="F8" s="147" t="s">
        <v>1009</v>
      </c>
    </row>
    <row r="9" customFormat="false" ht="31.5" hidden="false" customHeight="true" outlineLevel="0" collapsed="false">
      <c r="A9" s="82" t="n">
        <v>4</v>
      </c>
      <c r="B9" s="39" t="s">
        <v>1016</v>
      </c>
      <c r="C9" s="189" t="s">
        <v>1013</v>
      </c>
      <c r="D9" s="172" t="s">
        <v>1017</v>
      </c>
      <c r="E9" s="173" t="s">
        <v>1018</v>
      </c>
      <c r="F9" s="147" t="s">
        <v>1009</v>
      </c>
    </row>
    <row r="10" customFormat="false" ht="31.5" hidden="false" customHeight="true" outlineLevel="0" collapsed="false">
      <c r="A10" s="82" t="n">
        <v>5</v>
      </c>
      <c r="B10" s="39" t="s">
        <v>1019</v>
      </c>
      <c r="C10" s="189" t="s">
        <v>1020</v>
      </c>
      <c r="D10" s="172" t="s">
        <v>1021</v>
      </c>
      <c r="E10" s="147" t="s">
        <v>1022</v>
      </c>
      <c r="F10" s="147" t="s">
        <v>1009</v>
      </c>
    </row>
    <row r="11" customFormat="false" ht="31.5" hidden="false" customHeight="true" outlineLevel="0" collapsed="false">
      <c r="A11" s="82" t="n">
        <v>6</v>
      </c>
      <c r="B11" s="39" t="s">
        <v>1023</v>
      </c>
      <c r="C11" s="189" t="s">
        <v>1024</v>
      </c>
      <c r="D11" s="172" t="s">
        <v>1025</v>
      </c>
      <c r="E11" s="147" t="s">
        <v>624</v>
      </c>
      <c r="F11" s="147" t="s">
        <v>1026</v>
      </c>
    </row>
    <row r="12" customFormat="false" ht="31.5" hidden="false" customHeight="true" outlineLevel="0" collapsed="false">
      <c r="A12" s="82" t="n">
        <v>7</v>
      </c>
      <c r="B12" s="39" t="s">
        <v>1027</v>
      </c>
      <c r="C12" s="189" t="s">
        <v>1028</v>
      </c>
      <c r="D12" s="172" t="s">
        <v>1029</v>
      </c>
      <c r="E12" s="147" t="s">
        <v>632</v>
      </c>
      <c r="F12" s="147" t="s">
        <v>1026</v>
      </c>
    </row>
    <row r="13" customFormat="false" ht="31.5" hidden="false" customHeight="true" outlineLevel="0" collapsed="false">
      <c r="A13" s="82" t="n">
        <v>8</v>
      </c>
      <c r="B13" s="39" t="s">
        <v>464</v>
      </c>
      <c r="C13" s="189" t="s">
        <v>1030</v>
      </c>
      <c r="D13" s="146" t="s">
        <v>1031</v>
      </c>
      <c r="E13" s="147" t="s">
        <v>483</v>
      </c>
      <c r="F13" s="147" t="s">
        <v>1032</v>
      </c>
    </row>
    <row r="14" customFormat="false" ht="31.5" hidden="false" customHeight="true" outlineLevel="0" collapsed="false">
      <c r="A14" s="82" t="n">
        <v>9</v>
      </c>
      <c r="B14" s="39" t="s">
        <v>1033</v>
      </c>
      <c r="C14" s="189" t="s">
        <v>1034</v>
      </c>
      <c r="D14" s="146" t="s">
        <v>1035</v>
      </c>
      <c r="E14" s="147" t="s">
        <v>1036</v>
      </c>
      <c r="F14" s="147" t="s">
        <v>1032</v>
      </c>
    </row>
    <row r="15" customFormat="false" ht="31.5" hidden="false" customHeight="true" outlineLevel="0" collapsed="false">
      <c r="A15" s="82" t="n">
        <v>10</v>
      </c>
      <c r="B15" s="39" t="s">
        <v>1037</v>
      </c>
      <c r="C15" s="189" t="s">
        <v>1038</v>
      </c>
      <c r="D15" s="146" t="s">
        <v>1039</v>
      </c>
      <c r="E15" s="147" t="s">
        <v>1015</v>
      </c>
      <c r="F15" s="147" t="s">
        <v>1040</v>
      </c>
    </row>
    <row r="16" customFormat="false" ht="31.5" hidden="false" customHeight="true" outlineLevel="0" collapsed="false">
      <c r="A16" s="82" t="n">
        <v>11</v>
      </c>
      <c r="B16" s="39" t="s">
        <v>1041</v>
      </c>
      <c r="C16" s="189" t="s">
        <v>1042</v>
      </c>
      <c r="D16" s="146" t="s">
        <v>1043</v>
      </c>
      <c r="E16" s="147" t="s">
        <v>1015</v>
      </c>
      <c r="F16" s="147" t="s">
        <v>1044</v>
      </c>
    </row>
    <row r="17" customFormat="false" ht="31.5" hidden="false" customHeight="true" outlineLevel="0" collapsed="false">
      <c r="A17" s="82" t="n">
        <v>12</v>
      </c>
      <c r="B17" s="39" t="s">
        <v>1045</v>
      </c>
      <c r="C17" s="189" t="s">
        <v>1046</v>
      </c>
      <c r="D17" s="172" t="s">
        <v>1047</v>
      </c>
      <c r="E17" s="147" t="s">
        <v>1022</v>
      </c>
      <c r="F17" s="147" t="s">
        <v>1040</v>
      </c>
    </row>
    <row r="18" customFormat="false" ht="31.5" hidden="false" customHeight="true" outlineLevel="0" collapsed="false">
      <c r="A18" s="82" t="n">
        <v>13</v>
      </c>
      <c r="B18" s="35" t="s">
        <v>1048</v>
      </c>
      <c r="C18" s="189" t="s">
        <v>462</v>
      </c>
      <c r="D18" s="146" t="s">
        <v>1049</v>
      </c>
      <c r="E18" s="147" t="s">
        <v>1050</v>
      </c>
      <c r="F18" s="147" t="s">
        <v>1026</v>
      </c>
    </row>
    <row r="20" customFormat="false" ht="15" hidden="false" customHeight="false" outlineLevel="0" collapsed="false">
      <c r="A20" s="66" t="s">
        <v>1051</v>
      </c>
      <c r="B20" s="48"/>
      <c r="C20" s="48"/>
      <c r="D20" s="48"/>
      <c r="E20" s="48"/>
      <c r="F20" s="48"/>
    </row>
    <row r="21" customFormat="false" ht="15" hidden="false" customHeight="false" outlineLevel="0" collapsed="false">
      <c r="A21" s="69" t="s">
        <v>1001</v>
      </c>
      <c r="B21" s="49" t="s">
        <v>1002</v>
      </c>
      <c r="C21" s="49" t="s">
        <v>1003</v>
      </c>
      <c r="D21" s="49" t="s">
        <v>1052</v>
      </c>
      <c r="E21" s="49" t="s">
        <v>1053</v>
      </c>
      <c r="F21" s="49"/>
    </row>
    <row r="22" customFormat="false" ht="45.75" hidden="false" customHeight="true" outlineLevel="0" collapsed="false">
      <c r="A22" s="82" t="n">
        <v>1</v>
      </c>
      <c r="B22" s="39" t="s">
        <v>1023</v>
      </c>
      <c r="C22" s="82" t="s">
        <v>1054</v>
      </c>
      <c r="D22" s="172" t="s">
        <v>1055</v>
      </c>
      <c r="E22" s="146" t="s">
        <v>1056</v>
      </c>
      <c r="F22" s="16"/>
    </row>
    <row r="23" customFormat="false" ht="45.75" hidden="false" customHeight="true" outlineLevel="0" collapsed="false">
      <c r="A23" s="82" t="n">
        <v>2</v>
      </c>
      <c r="B23" s="39" t="s">
        <v>1057</v>
      </c>
      <c r="C23" s="82" t="s">
        <v>1058</v>
      </c>
      <c r="D23" s="172" t="s">
        <v>1059</v>
      </c>
      <c r="E23" s="172" t="s">
        <v>1060</v>
      </c>
      <c r="F23" s="16"/>
    </row>
    <row r="24" customFormat="false" ht="45.75" hidden="false" customHeight="true" outlineLevel="0" collapsed="false">
      <c r="A24" s="82" t="n">
        <v>3</v>
      </c>
      <c r="B24" s="35" t="s">
        <v>1061</v>
      </c>
      <c r="C24" s="82" t="s">
        <v>1054</v>
      </c>
      <c r="D24" s="146" t="s">
        <v>1062</v>
      </c>
      <c r="E24" s="146" t="s">
        <v>1063</v>
      </c>
      <c r="F24" s="16"/>
    </row>
    <row r="25" customFormat="false" ht="45.75" hidden="false" customHeight="true" outlineLevel="0" collapsed="false">
      <c r="A25" s="82" t="n">
        <v>4</v>
      </c>
      <c r="B25" s="39" t="s">
        <v>1064</v>
      </c>
      <c r="C25" s="82" t="s">
        <v>1065</v>
      </c>
      <c r="D25" s="172" t="s">
        <v>1066</v>
      </c>
      <c r="E25" s="146" t="s">
        <v>1067</v>
      </c>
      <c r="F25" s="16"/>
    </row>
    <row r="26" customFormat="false" ht="45.75" hidden="false" customHeight="true" outlineLevel="0" collapsed="false">
      <c r="A26" s="82" t="n">
        <v>5</v>
      </c>
      <c r="B26" s="35" t="s">
        <v>1068</v>
      </c>
      <c r="C26" s="82" t="s">
        <v>1069</v>
      </c>
      <c r="D26" s="172" t="s">
        <v>1070</v>
      </c>
      <c r="E26" s="146" t="s">
        <v>1071</v>
      </c>
      <c r="F26" s="16"/>
    </row>
    <row r="28" customFormat="false" ht="15" hidden="false" customHeight="false" outlineLevel="0" collapsed="false">
      <c r="A28" s="47" t="s">
        <v>1072</v>
      </c>
      <c r="B28" s="48"/>
      <c r="C28" s="48"/>
      <c r="D28" s="48"/>
      <c r="E28" s="48"/>
      <c r="F28" s="48"/>
    </row>
    <row r="29" customFormat="false" ht="15" hidden="false" customHeight="false" outlineLevel="0" collapsed="false">
      <c r="A29" s="69" t="s">
        <v>1001</v>
      </c>
      <c r="B29" s="49" t="s">
        <v>110</v>
      </c>
      <c r="C29" s="49" t="s">
        <v>301</v>
      </c>
      <c r="D29" s="49" t="s">
        <v>112</v>
      </c>
      <c r="E29" s="49"/>
      <c r="F29" s="49"/>
    </row>
    <row r="30" customFormat="false" ht="15" hidden="false" customHeight="true" outlineLevel="0" collapsed="false">
      <c r="A30" s="82" t="n">
        <v>1</v>
      </c>
      <c r="B30" s="91" t="s">
        <v>1073</v>
      </c>
      <c r="C30" s="190" t="s">
        <v>1074</v>
      </c>
      <c r="D30" s="154" t="s">
        <v>1075</v>
      </c>
      <c r="E30" s="154"/>
      <c r="F30" s="154"/>
    </row>
    <row r="31" customFormat="false" ht="15" hidden="false" customHeight="true" outlineLevel="0" collapsed="false">
      <c r="A31" s="82" t="n">
        <v>2</v>
      </c>
      <c r="B31" s="50" t="s">
        <v>394</v>
      </c>
      <c r="C31" s="190" t="s">
        <v>395</v>
      </c>
      <c r="D31" s="153" t="s">
        <v>1076</v>
      </c>
      <c r="E31" s="153"/>
      <c r="F31" s="153"/>
    </row>
    <row r="32" customFormat="false" ht="15" hidden="false" customHeight="true" outlineLevel="0" collapsed="false">
      <c r="A32" s="82" t="n">
        <v>3</v>
      </c>
      <c r="B32" s="50" t="s">
        <v>1077</v>
      </c>
      <c r="C32" s="190" t="s">
        <v>1078</v>
      </c>
      <c r="D32" s="154" t="s">
        <v>1079</v>
      </c>
      <c r="E32" s="154"/>
      <c r="F32" s="154"/>
    </row>
    <row r="33" customFormat="false" ht="15" hidden="false" customHeight="true" outlineLevel="0" collapsed="false">
      <c r="A33" s="82" t="n">
        <v>4</v>
      </c>
      <c r="B33" s="50" t="s">
        <v>1080</v>
      </c>
      <c r="C33" s="190" t="s">
        <v>1081</v>
      </c>
      <c r="D33" s="153" t="s">
        <v>1082</v>
      </c>
      <c r="E33" s="153"/>
      <c r="F33" s="153"/>
    </row>
    <row r="34" customFormat="false" ht="15" hidden="false" customHeight="true" outlineLevel="0" collapsed="false">
      <c r="A34" s="82" t="n">
        <v>5</v>
      </c>
      <c r="B34" s="50" t="s">
        <v>1083</v>
      </c>
      <c r="C34" s="190" t="s">
        <v>1084</v>
      </c>
      <c r="D34" s="153" t="s">
        <v>1085</v>
      </c>
      <c r="E34" s="153"/>
      <c r="F34" s="153"/>
    </row>
    <row r="35" customFormat="false" ht="15" hidden="false" customHeight="true" outlineLevel="0" collapsed="false">
      <c r="A35" s="82" t="n">
        <v>6</v>
      </c>
      <c r="B35" s="50" t="s">
        <v>1086</v>
      </c>
      <c r="C35" s="190" t="s">
        <v>1087</v>
      </c>
      <c r="D35" s="154" t="s">
        <v>1088</v>
      </c>
      <c r="E35" s="154"/>
      <c r="F35" s="154"/>
    </row>
    <row r="37" customFormat="false" ht="15" hidden="false" customHeight="false" outlineLevel="0" collapsed="false">
      <c r="A37" s="47" t="s">
        <v>1089</v>
      </c>
      <c r="B37" s="48"/>
      <c r="C37" s="48"/>
      <c r="D37" s="48"/>
      <c r="E37" s="48"/>
      <c r="F37" s="48"/>
    </row>
    <row r="38" customFormat="false" ht="15" hidden="false" customHeight="false" outlineLevel="0" collapsed="false">
      <c r="A38" s="69" t="s">
        <v>1001</v>
      </c>
      <c r="B38" s="49" t="s">
        <v>1090</v>
      </c>
      <c r="C38" s="49" t="s">
        <v>1091</v>
      </c>
      <c r="D38" s="49" t="s">
        <v>1092</v>
      </c>
      <c r="E38" s="49" t="s">
        <v>1093</v>
      </c>
      <c r="F38" s="49"/>
    </row>
    <row r="39" customFormat="false" ht="30" hidden="false" customHeight="true" outlineLevel="0" collapsed="false">
      <c r="A39" s="82" t="n">
        <v>1</v>
      </c>
      <c r="B39" s="50" t="s">
        <v>1094</v>
      </c>
      <c r="C39" s="190" t="s">
        <v>1095</v>
      </c>
      <c r="D39" s="172" t="s">
        <v>1096</v>
      </c>
      <c r="E39" s="146" t="s">
        <v>1097</v>
      </c>
      <c r="F39" s="16"/>
    </row>
    <row r="40" customFormat="false" ht="30" hidden="false" customHeight="true" outlineLevel="0" collapsed="false">
      <c r="A40" s="82" t="n">
        <v>2</v>
      </c>
      <c r="B40" s="50" t="s">
        <v>1098</v>
      </c>
      <c r="C40" s="190" t="s">
        <v>1099</v>
      </c>
      <c r="D40" s="172" t="s">
        <v>1100</v>
      </c>
      <c r="E40" s="146" t="s">
        <v>1101</v>
      </c>
      <c r="F40" s="16"/>
    </row>
    <row r="41" customFormat="false" ht="30" hidden="false" customHeight="true" outlineLevel="0" collapsed="false">
      <c r="A41" s="82" t="n">
        <v>3</v>
      </c>
      <c r="B41" s="50" t="s">
        <v>1102</v>
      </c>
      <c r="C41" s="190" t="s">
        <v>1103</v>
      </c>
      <c r="D41" s="172" t="s">
        <v>1104</v>
      </c>
      <c r="E41" s="146" t="s">
        <v>1105</v>
      </c>
      <c r="F41" s="16"/>
    </row>
    <row r="42" customFormat="false" ht="30" hidden="false" customHeight="true" outlineLevel="0" collapsed="false">
      <c r="A42" s="82" t="n">
        <v>4</v>
      </c>
      <c r="B42" s="50" t="s">
        <v>1077</v>
      </c>
      <c r="C42" s="190" t="s">
        <v>1078</v>
      </c>
      <c r="D42" s="172" t="s">
        <v>1106</v>
      </c>
      <c r="E42" s="146" t="s">
        <v>1107</v>
      </c>
      <c r="F42" s="16"/>
    </row>
    <row r="43" customFormat="false" ht="30" hidden="false" customHeight="true" outlineLevel="0" collapsed="false">
      <c r="A43" s="82" t="n">
        <v>5</v>
      </c>
      <c r="B43" s="50" t="s">
        <v>1080</v>
      </c>
      <c r="C43" s="190" t="s">
        <v>1081</v>
      </c>
      <c r="D43" s="172" t="s">
        <v>1108</v>
      </c>
      <c r="E43" s="146" t="s">
        <v>1109</v>
      </c>
      <c r="F43" s="16"/>
    </row>
    <row r="45" customFormat="false" ht="15" hidden="false" customHeight="false" outlineLevel="0" collapsed="false">
      <c r="A45" s="20" t="s">
        <v>1110</v>
      </c>
    </row>
    <row r="46" customFormat="false" ht="15" hidden="false" customHeight="false" outlineLevel="0" collapsed="false">
      <c r="A46" s="20" t="s">
        <v>1111</v>
      </c>
    </row>
    <row r="48" customFormat="false" ht="15" hidden="false" customHeight="false" outlineLevel="0" collapsed="false">
      <c r="A48" s="66" t="s">
        <v>1112</v>
      </c>
      <c r="B48" s="48"/>
      <c r="C48" s="48"/>
      <c r="D48" s="48"/>
      <c r="E48" s="48"/>
      <c r="F48" s="48"/>
    </row>
    <row r="49" customFormat="false" ht="15" hidden="false" customHeight="false" outlineLevel="0" collapsed="false">
      <c r="A49" s="49" t="s">
        <v>1113</v>
      </c>
      <c r="B49" s="49" t="s">
        <v>1114</v>
      </c>
      <c r="C49" s="49" t="s">
        <v>1115</v>
      </c>
      <c r="D49" s="49" t="s">
        <v>1116</v>
      </c>
      <c r="E49" s="49" t="s">
        <v>1117</v>
      </c>
      <c r="F49" s="49"/>
    </row>
    <row r="50" customFormat="false" ht="27.75" hidden="false" customHeight="true" outlineLevel="0" collapsed="false">
      <c r="A50" s="50" t="s">
        <v>1118</v>
      </c>
      <c r="B50" s="146" t="s">
        <v>1119</v>
      </c>
      <c r="C50" s="172" t="s">
        <v>1120</v>
      </c>
      <c r="D50" s="146" t="s">
        <v>1121</v>
      </c>
      <c r="E50" s="173" t="s">
        <v>1122</v>
      </c>
      <c r="F50" s="16"/>
    </row>
    <row r="51" customFormat="false" ht="27.75" hidden="false" customHeight="true" outlineLevel="0" collapsed="false">
      <c r="A51" s="50" t="s">
        <v>1123</v>
      </c>
      <c r="B51" s="146" t="s">
        <v>1124</v>
      </c>
      <c r="C51" s="172" t="s">
        <v>1125</v>
      </c>
      <c r="D51" s="146" t="s">
        <v>1121</v>
      </c>
      <c r="E51" s="173" t="s">
        <v>1126</v>
      </c>
      <c r="F51" s="16"/>
    </row>
    <row r="52" customFormat="false" ht="27.75" hidden="false" customHeight="true" outlineLevel="0" collapsed="false">
      <c r="A52" s="50" t="s">
        <v>1127</v>
      </c>
      <c r="B52" s="172" t="s">
        <v>1128</v>
      </c>
      <c r="C52" s="172" t="s">
        <v>1129</v>
      </c>
      <c r="D52" s="146" t="s">
        <v>1130</v>
      </c>
      <c r="E52" s="147" t="s">
        <v>1131</v>
      </c>
      <c r="F52" s="16"/>
    </row>
    <row r="53" customFormat="false" ht="27.75" hidden="false" customHeight="true" outlineLevel="0" collapsed="false">
      <c r="A53" s="50" t="s">
        <v>1132</v>
      </c>
      <c r="B53" s="172" t="s">
        <v>1133</v>
      </c>
      <c r="C53" s="172" t="s">
        <v>1134</v>
      </c>
      <c r="D53" s="146" t="s">
        <v>1135</v>
      </c>
      <c r="E53" s="147" t="s">
        <v>1136</v>
      </c>
      <c r="F53" s="16"/>
    </row>
    <row r="54" customFormat="false" ht="27.75" hidden="false" customHeight="true" outlineLevel="0" collapsed="false">
      <c r="A54" s="50" t="s">
        <v>1137</v>
      </c>
      <c r="B54" s="172" t="s">
        <v>1138</v>
      </c>
      <c r="C54" s="172" t="s">
        <v>1139</v>
      </c>
      <c r="D54" s="146" t="s">
        <v>1140</v>
      </c>
      <c r="E54" s="147" t="s">
        <v>1141</v>
      </c>
      <c r="F54" s="16"/>
    </row>
    <row r="55" customFormat="false" ht="27.75" hidden="false" customHeight="true" outlineLevel="0" collapsed="false">
      <c r="A55" s="50" t="s">
        <v>1142</v>
      </c>
      <c r="B55" s="172" t="s">
        <v>1143</v>
      </c>
      <c r="C55" s="146" t="s">
        <v>1144</v>
      </c>
      <c r="D55" s="146" t="s">
        <v>1145</v>
      </c>
      <c r="E55" s="147" t="s">
        <v>1146</v>
      </c>
      <c r="F55" s="16"/>
    </row>
    <row r="56" customFormat="false" ht="27.75" hidden="false" customHeight="true" outlineLevel="0" collapsed="false">
      <c r="A56" s="91" t="s">
        <v>153</v>
      </c>
      <c r="B56" s="146" t="s">
        <v>1147</v>
      </c>
      <c r="C56" s="146" t="s">
        <v>1148</v>
      </c>
      <c r="D56" s="146" t="s">
        <v>1149</v>
      </c>
      <c r="E56" s="147" t="s">
        <v>1150</v>
      </c>
      <c r="F56" s="16"/>
    </row>
    <row r="58" customFormat="false" ht="15" hidden="false" customHeight="false" outlineLevel="0" collapsed="false">
      <c r="A58" s="20" t="s">
        <v>1151</v>
      </c>
    </row>
    <row r="60" customFormat="false" ht="15" hidden="false" customHeight="false" outlineLevel="0" collapsed="false">
      <c r="A60" s="20" t="s">
        <v>1152</v>
      </c>
    </row>
    <row r="61" customFormat="false" ht="15" hidden="false" customHeight="false" outlineLevel="0" collapsed="false">
      <c r="A61" s="20" t="s">
        <v>1153</v>
      </c>
    </row>
    <row r="62" customFormat="false" ht="15" hidden="false" customHeight="false" outlineLevel="0" collapsed="false">
      <c r="A62" s="20" t="s">
        <v>1154</v>
      </c>
    </row>
    <row r="63" customFormat="false" ht="15" hidden="false" customHeight="false" outlineLevel="0" collapsed="false">
      <c r="A63" s="20" t="s">
        <v>1155</v>
      </c>
    </row>
  </sheetData>
  <mergeCells count="6">
    <mergeCell ref="D30:F30"/>
    <mergeCell ref="D31:F31"/>
    <mergeCell ref="D32:F32"/>
    <mergeCell ref="D33:F33"/>
    <mergeCell ref="D34:F34"/>
    <mergeCell ref="D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2026-07-25T16:13:45Z</dcterms:created>
  <dc:creator>openpyxl</dc:creator>
  <dc:description/>
  <dc:language>en-US</dc:language>
  <cp:lastModifiedBy/>
  <dcterms:modified xsi:type="dcterms:W3CDTF">2026-07-25T16:13:49Z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