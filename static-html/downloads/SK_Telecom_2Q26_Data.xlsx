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001b7e0de8460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8ade8b538d694830"/>
    <x:sheet xmlns:r="http://schemas.openxmlformats.org/officeDocument/2006/relationships" name="Financials" sheetId="2" r:id="R46a602c89eab41fa"/>
    <x:sheet xmlns:r="http://schemas.openxmlformats.org/officeDocument/2006/relationships" name="Sources &amp; Checks" sheetId="3" r:id="Rfbaf489d84ae47c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&quot;원&quot;"/>
    <x:numFmt numFmtId="201" formatCode="0.0%"/>
    <x:numFmt numFmtId="202" formatCode="0.0&quot;배&quot;"/>
    <x:numFmt numFmtId="203" formatCode="#,##0"/>
    <x:numFmt numFmtId="204" formatCode="0.0"/>
  </x:numFmts>
  <x:fonts count="32">
    <x:font>
      <x:sz val="11"/>
      <x:name val="Carlito"/>
    </x:font>
    <x:font>
      <x:b/>
      <x:sz val="22"/>
      <x:color rgb="FFFFFFFF"/>
      <x:name val="Carlito"/>
    </x:font>
    <x:font>
      <x:b/>
      <x:sz val="10"/>
      <x:color rgb="FF151814"/>
      <x:name val="Carlito"/>
    </x:font>
    <x:font>
      <x:b/>
      <x:sz val="10"/>
      <x:color rgb="FF687066"/>
      <x:name val="Carlito"/>
    </x:font>
    <x:font>
      <x:b/>
      <x:sz val="15"/>
      <x:color rgb="FF151814"/>
      <x:name val="Carlito"/>
    </x:font>
    <x:font>
      <x:b/>
      <x:sz val="15"/>
      <x:color rgb="FF6B8E23"/>
      <x:name val="Carlito"/>
    </x:font>
    <x:font>
      <x:b/>
      <x:sz val="13"/>
      <x:color rgb="FF6B8E23"/>
      <x:name val="Carlito"/>
    </x:font>
    <x:font>
      <x:sz val="11"/>
      <x:color rgb="FF151814"/>
      <x:name val="Carlito"/>
    </x:font>
    <x:font>
      <x:b/>
      <x:sz val="11"/>
      <x:color rgb="FF6B8E23"/>
      <x:name val="Carlito"/>
    </x:font>
    <x:font>
      <x:b/>
      <x:sz val="11"/>
      <x:color rgb="FF151814"/>
      <x:name val="Carlito"/>
    </x:font>
    <x:font>
      <x:b/>
      <x:sz val="11"/>
      <x:color rgb="FF687066"/>
      <x:name val="Carlito"/>
    </x:font>
    <x:font>
      <x:b/>
      <x:sz val="13"/>
      <x:color rgb="FF2463EB"/>
      <x:name val="Carlito"/>
    </x:font>
    <x:font>
      <x:b/>
      <x:sz val="14"/>
      <x:color rgb="FF6B8E23"/>
      <x:name val="Carlito"/>
    </x:font>
    <x:font>
      <x:i/>
      <x:sz val="9"/>
      <x:color rgb="FF687066"/>
      <x:name val="Carlito"/>
    </x:font>
    <x:font>
      <x:b/>
      <x:sz val="22"/>
      <x:color rgb="FFFFFFFF"/>
      <x:name val="Malgun Gothic"/>
    </x:font>
    <x:font>
      <x:b/>
      <x:sz val="10"/>
      <x:color rgb="FF151814"/>
      <x:name val="Malgun Gothic"/>
    </x:font>
    <x:font>
      <x:sz val="11"/>
      <x:name val="Malgun Gothic"/>
    </x:font>
    <x:font>
      <x:b/>
      <x:sz val="10"/>
      <x:color rgb="FF687066"/>
      <x:name val="Malgun Gothic"/>
    </x:font>
    <x:font>
      <x:b/>
      <x:sz val="15"/>
      <x:color rgb="FF6B8E23"/>
      <x:name val="Malgun Gothic"/>
    </x:font>
    <x:font>
      <x:b/>
      <x:sz val="15"/>
      <x:color rgb="FF151814"/>
      <x:name val="Malgun Gothic"/>
    </x:font>
    <x:font>
      <x:b/>
      <x:sz val="13"/>
      <x:color rgb="FF6B8E23"/>
      <x:name val="Malgun Gothic"/>
    </x:font>
    <x:font>
      <x:sz val="11"/>
      <x:color rgb="FF151814"/>
      <x:name val="Malgun Gothic"/>
    </x:font>
    <x:font>
      <x:b/>
      <x:sz val="11"/>
      <x:color rgb="FF6B8E23"/>
      <x:name val="Malgun Gothic"/>
    </x:font>
    <x:font>
      <x:b/>
      <x:sz val="11"/>
      <x:color rgb="FF151814"/>
      <x:name val="Malgun Gothic"/>
    </x:font>
    <x:font>
      <x:b/>
      <x:sz val="11"/>
      <x:color rgb="FF687066"/>
      <x:name val="Malgun Gothic"/>
    </x:font>
    <x:font>
      <x:b/>
      <x:sz val="13"/>
      <x:color rgb="FF2463EB"/>
      <x:name val="Malgun Gothic"/>
    </x:font>
    <x:font>
      <x:b/>
      <x:sz val="14"/>
      <x:color rgb="FF6B8E23"/>
      <x:name val="Malgun Gothic"/>
    </x:font>
    <x:font>
      <x:i/>
      <x:sz val="9"/>
      <x:color rgb="FF687066"/>
      <x:name val="Malgun Gothic"/>
    </x:font>
    <x:font>
      <x:b/>
      <x:sz val="11"/>
      <x:color rgb="FFFFFFFF"/>
      <x:name val="Carlito"/>
    </x:font>
    <x:font>
      <x:b/>
      <x:sz val="11"/>
      <x:color rgb="FFFFFFFF"/>
      <x:name val="Malgun Gothic"/>
    </x:font>
    <x:font>
      <x:b/>
      <x:sz val="11"/>
      <x:color rgb="FF16784A"/>
      <x:name val="Carlito"/>
    </x:font>
    <x:font>
      <x:b/>
      <x:sz val="11"/>
      <x:color rgb="FF16784A"/>
      <x:name val="Malgun Gothic"/>
    </x:font>
  </x:fonts>
  <x:fills count="8">
    <x:fill>
      <x:patternFill patternType="none"/>
    </x:fill>
    <x:fill>
      <x:patternFill patternType="gray125"/>
    </x:fill>
    <x:fill>
      <x:patternFill patternType="solid">
        <x:fgColor rgb="FF151814"/>
      </x:patternFill>
    </x:fill>
    <x:fill>
      <x:patternFill patternType="solid">
        <x:fgColor rgb="FFB9F232"/>
      </x:patternFill>
    </x:fill>
    <x:fill>
      <x:patternFill patternType="solid">
        <x:fgColor rgb="FFF5F8F1"/>
      </x:patternFill>
    </x:fill>
    <x:fill>
      <x:patternFill patternType="solid">
        <x:fgColor rgb="FFEEF4FF"/>
      </x:patternFill>
    </x:fill>
    <x:fill>
      <x:patternFill patternType="solid">
        <x:fgColor rgb="FFEFF5E7"/>
      </x:patternFill>
    </x:fill>
    <x:fill>
      <x:patternFill patternType="solid">
        <x:fgColor rgb="FFE8F5EC"/>
      </x:patternFill>
    </x:fill>
  </x:fills>
  <x:borders count="8">
    <x:border/>
    <x:border>
      <x:left style="thin">
        <x:color rgb="FFDDE4D8"/>
      </x:left>
      <x:right style="thin">
        <x:color rgb="FFDDE4D8"/>
      </x:right>
      <x:top style="thin">
        <x:color rgb="FFDDE4D8"/>
      </x:top>
      <x:bottom style="thin">
        <x:color rgb="FFDDE4D8"/>
      </x:bottom>
    </x:border>
    <x:border>
      <x:left style="thin">
        <x:color rgb="FFDDE4D8"/>
      </x:left>
      <x:top style="thin">
        <x:color rgb="FFDDE4D8"/>
      </x:top>
    </x:border>
    <x:border>
      <x:top style="thin">
        <x:color rgb="FFDDE4D8"/>
      </x:top>
    </x:border>
    <x:border>
      <x:right style="thin">
        <x:color rgb="FFDDE4D8"/>
      </x:right>
      <x:top style="thin">
        <x:color rgb="FFDDE4D8"/>
      </x:top>
    </x:border>
    <x:border>
      <x:left style="thin">
        <x:color rgb="FFDDE4D8"/>
      </x:left>
      <x:bottom style="thin">
        <x:color rgb="FFDDE4D8"/>
      </x:bottom>
    </x:border>
    <x:border>
      <x:bottom style="thin">
        <x:color rgb="FFDDE4D8"/>
      </x:bottom>
    </x:border>
    <x:border>
      <x:right style="thin">
        <x:color rgb="FFDDE4D8"/>
      </x:right>
      <x:bottom style="thin">
        <x:color rgb="FFDDE4D8"/>
      </x:bottom>
    </x:border>
  </x:borders>
  <x:cellStyleXfs count="1">
    <x:xf numFmtId="0" fontId="0" fillId="0" borderId="0"/>
  </x:cellStyleXfs>
  <x:cellXfs count="10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200" fontId="4" fillId="0" borderId="1" xfId="0" applyNumberFormat="1" applyFont="1" applyFill="1" applyBorder="1"/>
    <x:xf numFmtId="201" fontId="4" fillId="0" borderId="1" xfId="0" applyNumberFormat="1" applyFont="1" applyFill="1" applyBorder="1"/>
    <x:xf numFmtId="202" fontId="4" fillId="0" borderId="1" xfId="0" applyNumberFormat="1" applyFont="1" applyFill="1" applyBorder="1"/>
    <x:xf numFmtId="0" fontId="5" fillId="0" borderId="1" xfId="0" applyNumberFormat="1" applyFont="1" applyFill="1" applyBorder="1"/>
    <x:xf numFmtId="201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2" xfId="0" applyNumberFormat="1" applyFont="1" applyFill="1" applyBorder="1"/>
    <x:xf numFmtId="0" fontId="7" fillId="4" borderId="3" xfId="0" applyNumberFormat="1" applyFont="1" applyFill="1" applyBorder="1"/>
    <x:xf numFmtId="0" fontId="7" fillId="4" borderId="4" xfId="0" applyNumberFormat="1" applyFont="1" applyFill="1" applyBorder="1"/>
    <x:xf numFmtId="0" fontId="7" fillId="4" borderId="5" xfId="0" applyNumberFormat="1" applyFont="1" applyFill="1" applyBorder="1"/>
    <x:xf numFmtId="0" fontId="7" fillId="4" borderId="6" xfId="0" applyNumberFormat="1" applyFont="1" applyFill="1" applyBorder="1"/>
    <x:xf numFmtId="0" fontId="7" fillId="4" borderId="7" xfId="0" applyNumberFormat="1" applyFont="1" applyFill="1" applyBorder="1"/>
    <x:xf numFmtId="0" fontId="7" fillId="4" borderId="2" xfId="0" applyNumberFormat="1" applyFont="1" applyFill="1" applyBorder="1" applyAlignment="1">
      <x:alignment wrapText="1"/>
    </x:xf>
    <x:xf numFmtId="0" fontId="7" fillId="4" borderId="3" xfId="0" applyNumberFormat="1" applyFont="1" applyFill="1" applyBorder="1" applyAlignment="1">
      <x:alignment wrapText="1"/>
    </x:xf>
    <x:xf numFmtId="0" fontId="7" fillId="4" borderId="4" xfId="0" applyNumberFormat="1" applyFont="1" applyFill="1" applyBorder="1" applyAlignment="1">
      <x:alignment wrapText="1"/>
    </x:xf>
    <x:xf numFmtId="0" fontId="7" fillId="4" borderId="5" xfId="0" applyNumberFormat="1" applyFont="1" applyFill="1" applyBorder="1" applyAlignment="1">
      <x:alignment wrapText="1"/>
    </x:xf>
    <x:xf numFmtId="0" fontId="7" fillId="4" borderId="6" xfId="0" applyNumberFormat="1" applyFont="1" applyFill="1" applyBorder="1" applyAlignment="1">
      <x:alignment wrapText="1"/>
    </x:xf>
    <x:xf numFmtId="0" fontId="7" fillId="4" borderId="7" xfId="0" applyNumberFormat="1" applyFont="1" applyFill="1" applyBorder="1" applyAlignment="1">
      <x:alignment wrapText="1"/>
    </x:xf>
    <x:xf numFmtId="0" fontId="7" fillId="4" borderId="2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7" fillId="4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7" fillId="4" borderId="7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8" fillId="4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10" fillId="4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/>
    </x:xf>
    <x:xf numFmtId="0" fontId="11" fillId="5" borderId="1" xfId="0" applyNumberFormat="1" applyFont="1" applyFill="1" applyBorder="1" applyAlignment="1">
      <x:alignment vertical="center"/>
    </x:xf>
    <x:xf numFmtId="0" fontId="0" fillId="6" borderId="1" xfId="0" applyNumberFormat="1" applyFont="1" applyFill="1" applyBorder="1" applyAlignment="1">
      <x:alignment vertical="center"/>
    </x:xf>
    <x:xf numFmtId="0" fontId="12" fillId="6" borderId="1" xfId="0" applyNumberFormat="1" applyFont="1" applyFill="1" applyBorder="1" applyAlignment="1">
      <x:alignment vertical="center"/>
    </x:xf>
    <x:xf numFmtId="203" fontId="11" fillId="5" borderId="1" xfId="0" applyNumberFormat="1" applyFont="1" applyFill="1" applyBorder="1" applyAlignment="1">
      <x:alignment vertical="center"/>
    </x:xf>
    <x:xf numFmtId="204" fontId="11" fillId="5" borderId="1" xfId="0" applyNumberFormat="1" applyFont="1" applyFill="1" applyBorder="1" applyAlignment="1">
      <x:alignment vertical="center"/>
    </x:xf>
    <x:xf numFmtId="203" fontId="12" fillId="6" borderId="1" xfId="0" applyNumberFormat="1" applyFont="1" applyFill="1" applyBorder="1" applyAlignment="1">
      <x:alignment vertical="center"/>
    </x:xf>
    <x:xf numFmtId="0" fontId="13" fillId="0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/>
    </x:xf>
    <x:xf numFmtId="0" fontId="15" fillId="3" borderId="0" xfId="0" applyNumberFormat="1" applyFont="1" applyFill="1" applyBorder="1" applyAlignment="1">
      <x:alignment vertical="center"/>
    </x:xf>
    <x:xf numFmtId="0" fontId="16" fillId="0" borderId="0" xfId="0" applyNumberFormat="1" applyFont="1" applyFill="1" applyBorder="1"/>
    <x:xf numFmtId="0" fontId="17" fillId="4" borderId="1" xfId="0" applyNumberFormat="1" applyFont="1" applyFill="1" applyBorder="1"/>
    <x:xf numFmtId="0" fontId="18" fillId="0" borderId="1" xfId="0" applyNumberFormat="1" applyFont="1" applyFill="1" applyBorder="1"/>
    <x:xf numFmtId="200" fontId="19" fillId="0" borderId="1" xfId="0" applyNumberFormat="1" applyFont="1" applyFill="1" applyBorder="1"/>
    <x:xf numFmtId="201" fontId="18" fillId="0" borderId="1" xfId="0" applyNumberFormat="1" applyFont="1" applyFill="1" applyBorder="1"/>
    <x:xf numFmtId="202" fontId="19" fillId="0" borderId="1" xfId="0" applyNumberFormat="1" applyFont="1" applyFill="1" applyBorder="1"/>
    <x:xf numFmtId="0" fontId="20" fillId="0" borderId="0" xfId="0" applyNumberFormat="1" applyFont="1" applyFill="1" applyBorder="1"/>
    <x:xf numFmtId="0" fontId="21" fillId="4" borderId="2" xfId="0" applyNumberFormat="1" applyFont="1" applyFill="1" applyBorder="1" applyAlignment="1">
      <x:alignment vertical="center" wrapText="1"/>
    </x:xf>
    <x:xf numFmtId="0" fontId="21" fillId="4" borderId="3" xfId="0" applyNumberFormat="1" applyFont="1" applyFill="1" applyBorder="1" applyAlignment="1">
      <x:alignment vertical="center" wrapText="1"/>
    </x:xf>
    <x:xf numFmtId="0" fontId="21" fillId="4" borderId="4" xfId="0" applyNumberFormat="1" applyFont="1" applyFill="1" applyBorder="1" applyAlignment="1">
      <x:alignment vertical="center" wrapText="1"/>
    </x:xf>
    <x:xf numFmtId="0" fontId="21" fillId="4" borderId="5" xfId="0" applyNumberFormat="1" applyFont="1" applyFill="1" applyBorder="1" applyAlignment="1">
      <x:alignment vertical="center" wrapText="1"/>
    </x:xf>
    <x:xf numFmtId="0" fontId="21" fillId="4" borderId="6" xfId="0" applyNumberFormat="1" applyFont="1" applyFill="1" applyBorder="1" applyAlignment="1">
      <x:alignment vertical="center" wrapText="1"/>
    </x:xf>
    <x:xf numFmtId="0" fontId="21" fillId="4" borderId="7" xfId="0" applyNumberFormat="1" applyFont="1" applyFill="1" applyBorder="1" applyAlignment="1">
      <x:alignment vertical="center" wrapText="1"/>
    </x:xf>
    <x:xf numFmtId="0" fontId="22" fillId="4" borderId="1" xfId="0" applyNumberFormat="1" applyFont="1" applyFill="1" applyBorder="1" applyAlignment="1">
      <x:alignment vertical="center" wrapText="1"/>
    </x:xf>
    <x:xf numFmtId="0" fontId="23" fillId="0" borderId="1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vertical="center" wrapText="1"/>
    </x:xf>
    <x:xf numFmtId="0" fontId="24" fillId="4" borderId="1" xfId="0" applyNumberFormat="1" applyFont="1" applyFill="1" applyBorder="1" applyAlignment="1">
      <x:alignment vertical="center"/>
    </x:xf>
    <x:xf numFmtId="203" fontId="25" fillId="5" borderId="1" xfId="0" applyNumberFormat="1" applyFont="1" applyFill="1" applyBorder="1" applyAlignment="1">
      <x:alignment vertical="center"/>
    </x:xf>
    <x:xf numFmtId="0" fontId="16" fillId="0" borderId="1" xfId="0" applyNumberFormat="1" applyFont="1" applyFill="1" applyBorder="1" applyAlignment="1">
      <x:alignment vertical="center"/>
    </x:xf>
    <x:xf numFmtId="204" fontId="25" fillId="5" borderId="1" xfId="0" applyNumberFormat="1" applyFont="1" applyFill="1" applyBorder="1" applyAlignment="1">
      <x:alignment vertical="center"/>
    </x:xf>
    <x:xf numFmtId="203" fontId="26" fillId="6" borderId="1" xfId="0" applyNumberFormat="1" applyFont="1" applyFill="1" applyBorder="1" applyAlignment="1">
      <x:alignment vertical="center"/>
    </x:xf>
    <x:xf numFmtId="0" fontId="26" fillId="6" borderId="1" xfId="0" applyNumberFormat="1" applyFont="1" applyFill="1" applyBorder="1" applyAlignment="1">
      <x:alignment vertical="center"/>
    </x:xf>
    <x:xf numFmtId="0" fontId="27" fillId="0" borderId="0" xfId="0" applyNumberFormat="1" applyFont="1" applyFill="1" applyBorder="1"/>
    <x:xf numFmtId="0" fontId="28" fillId="2" borderId="0" xfId="0" applyNumberFormat="1" applyFont="1" applyFill="1" applyBorder="1"/>
    <x:xf numFmtId="0" fontId="8" fillId="4" borderId="0" xfId="0" applyNumberFormat="1" applyFont="1" applyFill="1" applyBorder="1"/>
    <x:xf numFmtId="203" fontId="0" fillId="0" borderId="1" xfId="0" applyNumberFormat="1" applyFont="1" applyFill="1" applyBorder="1"/>
    <x:xf numFmtId="202" fontId="0" fillId="0" borderId="1" xfId="0" applyNumberFormat="1" applyFont="1" applyFill="1" applyBorder="1"/>
    <x:xf numFmtId="201" fontId="0" fillId="0" borderId="1" xfId="0" applyNumberFormat="1" applyFont="1" applyFill="1" applyBorder="1"/>
    <x:xf numFmtId="203" fontId="8" fillId="0" borderId="1" xfId="0" applyNumberFormat="1" applyFont="1" applyFill="1" applyBorder="1"/>
    <x:xf numFmtId="202" fontId="8" fillId="0" borderId="1" xfId="0" applyNumberFormat="1" applyFont="1" applyFill="1" applyBorder="1"/>
    <x:xf numFmtId="0" fontId="14" fillId="2" borderId="0" xfId="0" applyNumberFormat="1" applyFont="1" applyFill="1" applyBorder="1"/>
    <x:xf numFmtId="0" fontId="29" fillId="2" borderId="0" xfId="0" applyNumberFormat="1" applyFont="1" applyFill="1" applyBorder="1"/>
    <x:xf numFmtId="0" fontId="16" fillId="0" borderId="1" xfId="0" applyNumberFormat="1" applyFont="1" applyFill="1" applyBorder="1"/>
    <x:xf numFmtId="203" fontId="16" fillId="0" borderId="1" xfId="0" applyNumberFormat="1" applyFont="1" applyFill="1" applyBorder="1"/>
    <x:xf numFmtId="203" fontId="22" fillId="0" borderId="1" xfId="0" applyNumberFormat="1" applyFont="1" applyFill="1" applyBorder="1"/>
    <x:xf numFmtId="202" fontId="16" fillId="0" borderId="1" xfId="0" applyNumberFormat="1" applyFont="1" applyFill="1" applyBorder="1"/>
    <x:xf numFmtId="202" fontId="22" fillId="0" borderId="1" xfId="0" applyNumberFormat="1" applyFont="1" applyFill="1" applyBorder="1"/>
    <x:xf numFmtId="0" fontId="22" fillId="4" borderId="0" xfId="0" applyNumberFormat="1" applyFont="1" applyFill="1" applyBorder="1"/>
    <x:xf numFmtId="201" fontId="16" fillId="0" borderId="1" xfId="0" applyNumberFormat="1" applyFont="1" applyFill="1" applyBorder="1"/>
    <x:xf numFmtId="0" fontId="0" fillId="7" borderId="1" xfId="0" applyNumberFormat="1" applyFont="1" applyFill="1" applyBorder="1" applyAlignment="1">
      <x:alignment vertical="center" wrapText="1"/>
    </x:xf>
    <x:xf numFmtId="0" fontId="30" fillId="7" borderId="1" xfId="0" applyNumberFormat="1" applyFont="1" applyFill="1" applyBorder="1" applyAlignment="1">
      <x:alignment vertical="center" wrapText="1"/>
    </x:xf>
    <x:xf numFmtId="0" fontId="0" fillId="7" borderId="1" xfId="0" applyNumberFormat="1" applyFont="1" applyFill="1" applyBorder="1"/>
    <x:xf numFmtId="0" fontId="30" fillId="7" borderId="1" xfId="0" applyNumberFormat="1" applyFont="1" applyFill="1" applyBorder="1"/>
    <x:xf numFmtId="0" fontId="31" fillId="7" borderId="1" xfId="0" applyNumberFormat="1" applyFont="1" applyFill="1" applyBorder="1" applyAlignment="1">
      <x:alignment vertical="center" wrapText="1"/>
    </x:xf>
    <x:xf numFmtId="0" fontId="31" fillId="7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40ad31ef4cc4a94" /><Relationship Type="http://schemas.openxmlformats.org/officeDocument/2006/relationships/theme" Target="/xl/theme/theme1.xml" Id="Rac0f70b6129243c1" /><Relationship Type="http://schemas.openxmlformats.org/officeDocument/2006/relationships/sharedStrings" Target="/xl/sharedStrings.xml" Id="Rc3e47676fae84cbc" /><Relationship Type="http://schemas.openxmlformats.org/officeDocument/2006/relationships/worksheet" Target="/xl/worksheets/sheet1.xml" Id="R8ade8b538d694830" /><Relationship Type="http://schemas.openxmlformats.org/officeDocument/2006/relationships/worksheet" Target="/xl/worksheets/sheet2.xml" Id="R46a602c89eab41fa" /><Relationship Type="http://schemas.openxmlformats.org/officeDocument/2006/relationships/worksheet" Target="/xl/worksheets/sheet3.xml" Id="Rfbaf489d84ae47c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23" hidden="0" customWidth="1"/>
    <x:col min="3" max="3" width="33" hidden="0" customWidth="1"/>
    <x:col min="4" max="4" width="20" hidden="0" customWidth="1"/>
    <x:col min="5" max="5" width="17" hidden="0" customWidth="1"/>
    <x:col min="6" max="6" width="12" hidden="0" customWidth="1"/>
  </x:cols>
  <x:sheetData>
    <x:row r="1" ht="36" customHeight="1">
      <x:c r="A1" s="54" t="str">
        <x:v>SK텔레콤 2Q26 Earnings Review</x:v>
      </x:c>
      <x:c r="B1" s="54"/>
      <x:c r="C1" s="54"/>
      <x:c r="D1" s="54"/>
      <x:c r="E1" s="54"/>
      <x:c r="F1" s="54"/>
    </x:row>
    <x:row r="2" ht="36" customHeight="1">
      <x:c r="A2" s="54"/>
      <x:c r="B2" s="54"/>
      <x:c r="C2" s="54"/>
      <x:c r="D2" s="54"/>
      <x:c r="E2" s="54"/>
      <x:c r="F2" s="54"/>
    </x:row>
    <x:row r="3" ht="24" customHeight="1">
      <x:c r="A3" s="55" t="str">
        <x:v>REFLO Equity Research · 2026.07.17 · 검증 완료</x:v>
      </x:c>
      <x:c r="B3" s="55"/>
      <x:c r="C3" s="55"/>
      <x:c r="D3" s="55"/>
      <x:c r="E3" s="55"/>
      <x:c r="F3" s="55"/>
    </x:row>
    <x:row r="4" ht="24" customHeight="1">
      <x:c r="A4" s="56"/>
      <x:c r="B4" s="56"/>
      <x:c r="C4" s="56"/>
      <x:c r="D4" s="56"/>
      <x:c r="E4" s="56"/>
      <x:c r="F4" s="56"/>
    </x:row>
    <x:row r="5" ht="24" customHeight="1">
      <x:c r="A5" s="57" t="str">
        <x:v>투자의견</x:v>
      </x:c>
      <x:c r="B5" s="57" t="str">
        <x:v>목표주가</x:v>
      </x:c>
      <x:c r="C5" s="57" t="str">
        <x:v>현재주가</x:v>
      </x:c>
      <x:c r="D5" s="57" t="str">
        <x:v>상승여력</x:v>
      </x:c>
      <x:c r="E5" s="57" t="str">
        <x:v>Forward EPS</x:v>
      </x:c>
      <x:c r="F5" s="57" t="str">
        <x:v>Target PER</x:v>
      </x:c>
    </x:row>
    <x:row r="6" ht="24" customHeight="1">
      <x:c r="A6" s="58" t="str">
        <x:v>매수</x:v>
      </x:c>
      <x:c r="B6" s="59" t="n">
        <x:v>120000</x:v>
      </x:c>
      <x:c r="C6" s="59" t="n">
        <x:v>83900</x:v>
      </x:c>
      <x:c r="D6" s="60" t="n">
        <x:f>B6/C6-1</x:f>
        <x:v>0.4302741358760429</x:v>
      </x:c>
      <x:c r="E6" s="59" t="n">
        <x:v>12430</x:v>
      </x:c>
      <x:c r="F6" s="61" t="n">
        <x:v>14.2</x:v>
      </x:c>
    </x:row>
    <x:row r="7" ht="24" customHeight="1">
      <x:c r="A7" s="56"/>
      <x:c r="B7" s="56"/>
      <x:c r="C7" s="56"/>
      <x:c r="D7" s="56"/>
      <x:c r="E7" s="56"/>
      <x:c r="F7" s="56"/>
    </x:row>
    <x:row r="8" ht="24" customHeight="1">
      <x:c r="A8" s="62" t="str">
        <x:v>Investment Summary</x:v>
      </x:c>
      <x:c r="B8" s="62"/>
      <x:c r="C8" s="62"/>
      <x:c r="D8" s="62"/>
      <x:c r="E8" s="62"/>
      <x:c r="F8" s="62"/>
    </x:row>
    <x:row r="9" ht="32" customHeight="1">
      <x:c r="A9" s="63" t="str">
        <x:v>2분기 실적 상회와 AIDC 사업의 가시성 개선을 함께 반영해 투자의견 매수, 목표주가 120,000원을 유지합니다. 현재 주가 대비 상승여력은 43.0%입니다.</x:v>
      </x:c>
      <x:c r="B9" s="64"/>
      <x:c r="C9" s="64"/>
      <x:c r="D9" s="64"/>
      <x:c r="E9" s="64"/>
      <x:c r="F9" s="65"/>
    </x:row>
    <x:row r="10" ht="32" customHeight="1">
      <x:c r="A10" s="66"/>
      <x:c r="B10" s="67"/>
      <x:c r="C10" s="67"/>
      <x:c r="D10" s="67"/>
      <x:c r="E10" s="67"/>
      <x:c r="F10" s="68"/>
    </x:row>
    <x:row r="11" ht="24" customHeight="1">
      <x:c r="A11" s="56"/>
      <x:c r="B11" s="56"/>
      <x:c r="C11" s="56"/>
      <x:c r="D11" s="56"/>
      <x:c r="E11" s="56"/>
      <x:c r="F11" s="56"/>
    </x:row>
    <x:row r="12" ht="24" customHeight="1">
      <x:c r="A12" s="62" t="str">
        <x:v>핵심 투자 포인트</x:v>
      </x:c>
      <x:c r="B12" s="62"/>
      <x:c r="C12" s="62"/>
      <x:c r="D12" s="62" t="str">
        <x:v>밸류에이션 계산</x:v>
      </x:c>
      <x:c r="E12" s="62"/>
      <x:c r="F12" s="62"/>
    </x:row>
    <x:row r="13" ht="24" customHeight="1">
      <x:c r="A13" s="69" t="str">
        <x:v>01</x:v>
      </x:c>
      <x:c r="B13" s="70" t="str">
        <x:v>본업 이익 체력 회복</x:v>
      </x:c>
      <x:c r="C13" s="71" t="str">
        <x:v>2026년 영업이익 1조 9,350억원 전망</x:v>
      </x:c>
      <x:c r="D13" s="72" t="str">
        <x:v>Forward EPS</x:v>
      </x:c>
      <x:c r="E13" s="73" t="n">
        <x:v>12430</x:v>
      </x:c>
      <x:c r="F13" s="74" t="str">
        <x:v>원</x:v>
      </x:c>
    </x:row>
    <x:row r="14" ht="24" customHeight="1">
      <x:c r="A14" s="69" t="str">
        <x:v>02</x:v>
      </x:c>
      <x:c r="B14" s="70" t="str">
        <x:v>AIDC 가치 재평가</x:v>
      </x:c>
      <x:c r="C14" s="71" t="str">
        <x:v>2027년 수전용량 187MW 확대</x:v>
      </x:c>
      <x:c r="D14" s="72" t="str">
        <x:v>Target PER</x:v>
      </x:c>
      <x:c r="E14" s="75" t="n">
        <x:v>14.2</x:v>
      </x:c>
      <x:c r="F14" s="74" t="str">
        <x:v>배</x:v>
      </x:c>
    </x:row>
    <x:row r="15" ht="24" customHeight="1">
      <x:c r="A15" s="69" t="str">
        <x:v>03</x:v>
      </x:c>
      <x:c r="B15" s="70" t="str">
        <x:v>주주환원 가시성</x:v>
      </x:c>
      <x:c r="C15" s="71" t="str">
        <x:v>2026년 예상 DPS 3,660원</x:v>
      </x:c>
      <x:c r="D15" s="72" t="str">
        <x:v>계산 목표주가</x:v>
      </x:c>
      <x:c r="E15" s="76" t="n">
        <x:f>E13*E14</x:f>
        <x:v>176506</x:v>
      </x:c>
      <x:c r="F15" s="77" t="str">
        <x:v>원</x:v>
      </x:c>
    </x:row>
    <x:row r="16" ht="24" customHeight="1">
      <x:c r="A16" s="56"/>
      <x:c r="B16" s="56"/>
      <x:c r="C16" s="56"/>
      <x:c r="D16" s="56"/>
      <x:c r="E16" s="56"/>
      <x:c r="F16" s="56"/>
    </x:row>
    <x:row r="17" ht="24" customHeight="1">
      <x:c r="A17" s="56"/>
      <x:c r="B17" s="56"/>
      <x:c r="C17" s="56"/>
      <x:c r="D17" s="56"/>
      <x:c r="E17" s="56"/>
      <x:c r="F17" s="56"/>
    </x:row>
    <x:row r="18" ht="24" customHeight="1">
      <x:c r="A18" s="62" t="str">
        <x:v>주요 리스크</x:v>
      </x:c>
      <x:c r="B18" s="62"/>
      <x:c r="C18" s="62"/>
      <x:c r="D18" s="62"/>
      <x:c r="E18" s="62"/>
      <x:c r="F18" s="62"/>
    </x:row>
    <x:row r="19" ht="24" customHeight="1">
      <x:c r="A19" s="69" t="str">
        <x:v>01</x:v>
      </x:c>
      <x:c r="B19" s="70" t="str">
        <x:v>AIDC 투자 집행과 가동 지연</x:v>
      </x:c>
      <x:c r="C19" s="71" t="str">
        <x:v>전력 인입·인허가·고객 유치 일정</x:v>
      </x:c>
      <x:c r="D19" s="71" t="str">
        <x:v>모니터링</x:v>
      </x:c>
      <x:c r="E19" s="71" t="str">
        <x:v>분기</x:v>
      </x:c>
      <x:c r="F19" s="71" t="str">
        <x:v>IR/공시</x:v>
      </x:c>
    </x:row>
    <x:row r="20" ht="24" customHeight="1">
      <x:c r="A20" s="69" t="str">
        <x:v>02</x:v>
      </x:c>
      <x:c r="B20" s="70" t="str">
        <x:v>무선 가입자 성장 둔화</x:v>
      </x:c>
      <x:c r="C20" s="71" t="str">
        <x:v>가입자 순증 및 ARPU 개선 속도</x:v>
      </x:c>
      <x:c r="D20" s="71" t="str">
        <x:v>모니터링</x:v>
      </x:c>
      <x:c r="E20" s="71" t="str">
        <x:v>월간</x:v>
      </x:c>
      <x:c r="F20" s="71" t="str">
        <x:v>산업 데이터</x:v>
      </x:c>
    </x:row>
    <x:row r="21" ht="24" customHeight="1">
      <x:c r="A21" s="69" t="str">
        <x:v>03</x:v>
      </x:c>
      <x:c r="B21" s="70" t="str">
        <x:v>주주환원 여력 축소</x:v>
      </x:c>
      <x:c r="C21" s="71" t="str">
        <x:v>데이터센터 투자와 차입금 증가</x:v>
      </x:c>
      <x:c r="D21" s="71" t="str">
        <x:v>모니터링</x:v>
      </x:c>
      <x:c r="E21" s="71" t="str">
        <x:v>분기</x:v>
      </x:c>
      <x:c r="F21" s="71" t="str">
        <x:v>공시</x:v>
      </x:c>
    </x:row>
    <x:row r="22" ht="24" customHeight="1">
      <x:c r="A22" s="56"/>
      <x:c r="B22" s="56"/>
      <x:c r="C22" s="56"/>
      <x:c r="D22" s="56"/>
      <x:c r="E22" s="56"/>
      <x:c r="F22" s="56"/>
    </x:row>
    <x:row r="23" ht="24" customHeight="1">
      <x:c r="A23" s="56"/>
      <x:c r="B23" s="56"/>
      <x:c r="C23" s="56"/>
      <x:c r="D23" s="56"/>
      <x:c r="E23" s="56"/>
      <x:c r="F23" s="56"/>
    </x:row>
    <x:row r="24" ht="24" customHeight="1">
      <x:c r="A24" s="78" t="str">
        <x:v>자료: 회사 공시, 기업 IR, REFLO Research Workspace · 본 워크북은 리서치 검증용 예시 산출물입니다.</x:v>
      </x:c>
      <x:c r="B24" s="78"/>
      <x:c r="C24" s="78"/>
      <x:c r="D24" s="78"/>
      <x:c r="E24" s="78"/>
      <x:c r="F24" s="78"/>
    </x:row>
  </x:sheetData>
  <x:mergeCells>
    <x:mergeCell ref="A1:F2"/>
    <x:mergeCell ref="A3:F3"/>
    <x:mergeCell ref="A8:F8"/>
    <x:mergeCell ref="A9:F10"/>
    <x:mergeCell ref="A12:C12"/>
    <x:mergeCell ref="D12:F12"/>
    <x:mergeCell ref="A18:F18"/>
    <x:mergeCell ref="A24:F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</x:cols>
  <x:sheetData>
    <x:row r="1" ht="25" customHeight="1">
      <x:c r="A1" s="86" t="str">
        <x:v>Financial Forecast</x:v>
      </x:c>
      <x:c r="B1" s="86"/>
      <x:c r="C1" s="86"/>
      <x:c r="D1" s="86"/>
      <x:c r="E1" s="86"/>
      <x:c r="F1" s="86"/>
    </x:row>
    <x:row r="2" ht="25" customHeight="1">
      <x:c r="A2" s="86"/>
      <x:c r="B2" s="86"/>
      <x:c r="C2" s="86"/>
      <x:c r="D2" s="86"/>
      <x:c r="E2" s="86"/>
      <x:c r="F2" s="86"/>
    </x:row>
    <x:row r="3" ht="25" customHeight="1">
      <x:c r="A3" s="56"/>
      <x:c r="B3" s="56"/>
      <x:c r="C3" s="56"/>
      <x:c r="D3" s="56"/>
      <x:c r="E3" s="56"/>
      <x:c r="F3" s="56"/>
    </x:row>
    <x:row r="4" ht="25" customHeight="1">
      <x:c r="A4" s="87" t="str">
        <x:v>구분</x:v>
      </x:c>
      <x:c r="B4" s="87" t="str">
        <x:v>2024</x:v>
      </x:c>
      <x:c r="C4" s="87" t="str">
        <x:v>2025</x:v>
      </x:c>
      <x:c r="D4" s="87" t="str">
        <x:v>2026F</x:v>
      </x:c>
      <x:c r="E4" s="87" t="str">
        <x:v>2027F</x:v>
      </x:c>
      <x:c r="F4" s="87" t="str">
        <x:v>2028F</x:v>
      </x:c>
    </x:row>
    <x:row r="5" ht="25" customHeight="1">
      <x:c r="A5" s="88" t="str">
        <x:v>매출액 (십억원)</x:v>
      </x:c>
      <x:c r="B5" s="89" t="n">
        <x:v>17941</x:v>
      </x:c>
      <x:c r="C5" s="89" t="n">
        <x:v>17099</x:v>
      </x:c>
      <x:c r="D5" s="90" t="n">
        <x:v>17941</x:v>
      </x:c>
      <x:c r="E5" s="90" t="n">
        <x:v>18337</x:v>
      </x:c>
      <x:c r="F5" s="90" t="n">
        <x:v>18712</x:v>
      </x:c>
    </x:row>
    <x:row r="6" ht="25" customHeight="1">
      <x:c r="A6" s="88" t="str">
        <x:v>영업이익 (십억원)</x:v>
      </x:c>
      <x:c r="B6" s="89" t="n">
        <x:v>1823</x:v>
      </x:c>
      <x:c r="C6" s="89" t="n">
        <x:v>1073</x:v>
      </x:c>
      <x:c r="D6" s="90" t="n">
        <x:v>1935</x:v>
      </x:c>
      <x:c r="E6" s="90" t="n">
        <x:v>2153</x:v>
      </x:c>
      <x:c r="F6" s="90" t="n">
        <x:v>2435</x:v>
      </x:c>
    </x:row>
    <x:row r="7" ht="25" customHeight="1">
      <x:c r="A7" s="88" t="str">
        <x:v>EPS (원)</x:v>
      </x:c>
      <x:c r="B7" s="89" t="n">
        <x:v>5810</x:v>
      </x:c>
      <x:c r="C7" s="89" t="n">
        <x:v>1901</x:v>
      </x:c>
      <x:c r="D7" s="90" t="n">
        <x:v>6347</x:v>
      </x:c>
      <x:c r="E7" s="90" t="n">
        <x:v>7205</x:v>
      </x:c>
      <x:c r="F7" s="90" t="n">
        <x:v>8424</x:v>
      </x:c>
    </x:row>
    <x:row r="8" ht="25" customHeight="1">
      <x:c r="A8" s="88" t="str">
        <x:v>P/E (배)</x:v>
      </x:c>
      <x:c r="B8" s="91" t="n">
        <x:v>9.5</x:v>
      </x:c>
      <x:c r="C8" s="91" t="n">
        <x:v>28.1</x:v>
      </x:c>
      <x:c r="D8" s="92" t="n">
        <x:v>13.2</x:v>
      </x:c>
      <x:c r="E8" s="92" t="n">
        <x:v>11.6</x:v>
      </x:c>
      <x:c r="F8" s="92" t="n">
        <x:v>10</x:v>
      </x:c>
    </x:row>
    <x:row r="9" ht="25" customHeight="1">
      <x:c r="A9" s="56"/>
      <x:c r="B9" s="56"/>
      <x:c r="C9" s="56"/>
      <x:c r="D9" s="56"/>
      <x:c r="E9" s="56"/>
      <x:c r="F9" s="56"/>
    </x:row>
    <x:row r="10" ht="25" customHeight="1">
      <x:c r="A10" s="93" t="str">
        <x:v>증감/계산</x:v>
      </x:c>
      <x:c r="B10" s="93" t="str">
        <x:v>2024</x:v>
      </x:c>
      <x:c r="C10" s="93" t="str">
        <x:v>2025</x:v>
      </x:c>
      <x:c r="D10" s="93" t="str">
        <x:v>2026F</x:v>
      </x:c>
      <x:c r="E10" s="93" t="str">
        <x:v>2027F</x:v>
      </x:c>
      <x:c r="F10" s="93" t="str">
        <x:v>2028F</x:v>
      </x:c>
    </x:row>
    <x:row r="11" ht="25" customHeight="1">
      <x:c r="A11" s="88" t="str">
        <x:v>영업이익률</x:v>
      </x:c>
      <x:c r="B11" s="94" t="n">
        <x:f>B6/B5</x:f>
        <x:v>0.10161083551641492</x:v>
      </x:c>
      <x:c r="C11" s="94" t="n">
        <x:f>C6/C5</x:f>
        <x:v>0.06275220773144628</x:v>
      </x:c>
      <x:c r="D11" s="94" t="n">
        <x:f>D6/D5</x:f>
        <x:v>0.10785351987068725</x:v>
      </x:c>
      <x:c r="E11" s="94" t="n">
        <x:f>E6/E5</x:f>
        <x:v>0.1174128810601516</x:v>
      </x:c>
      <x:c r="F11" s="94" t="n">
        <x:f>F6/F5</x:f>
        <x:v>0.13013039760581446</x:v>
      </x:c>
    </x:row>
    <x:row r="12" ht="25" customHeight="1">
      <x:c r="A12" s="88" t="str">
        <x:v>EPS 성장률</x:v>
      </x:c>
      <x:c r="B12" s="94"/>
      <x:c r="C12" s="94" t="n">
        <x:f>C7/B7-1</x:f>
        <x:v>-0.6728055077452668</x:v>
      </x:c>
      <x:c r="D12" s="94" t="n">
        <x:f>D7/C7-1</x:f>
        <x:v>2.3387690689110996</x:v>
      </x:c>
      <x:c r="E12" s="94" t="n">
        <x:f>E7/D7-1</x:f>
        <x:v>0.13518197573656843</x:v>
      </x:c>
      <x:c r="F12" s="94" t="n">
        <x:f>F7/E7-1</x:f>
        <x:v>0.16918806384455243</x:v>
      </x:c>
    </x:row>
  </x:sheetData>
  <x:mergeCells>
    <x:mergeCell ref="A1:F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9" hidden="0" customWidth="1"/>
    <x:col min="3" max="3" width="18" hidden="0" customWidth="1"/>
    <x:col min="4" max="4" width="31" hidden="0" customWidth="1"/>
    <x:col min="5" max="5" width="17" hidden="0" customWidth="1"/>
  </x:cols>
  <x:sheetData>
    <x:row r="1" ht="26" customHeight="1">
      <x:c r="A1" s="86" t="str">
        <x:v>Sources &amp; Integrity Checks</x:v>
      </x:c>
      <x:c r="B1" s="86"/>
      <x:c r="C1" s="86"/>
      <x:c r="D1" s="86"/>
      <x:c r="E1" s="86"/>
    </x:row>
    <x:row r="2" ht="26" customHeight="1">
      <x:c r="A2" s="86"/>
      <x:c r="B2" s="86"/>
      <x:c r="C2" s="86"/>
      <x:c r="D2" s="86"/>
      <x:c r="E2" s="86"/>
    </x:row>
    <x:row r="3" ht="26" customHeight="1">
      <x:c r="A3" s="56"/>
      <x:c r="B3" s="56"/>
      <x:c r="C3" s="56"/>
      <x:c r="D3" s="56"/>
      <x:c r="E3" s="56"/>
    </x:row>
    <x:row r="4" ht="26" customHeight="1">
      <x:c r="A4" s="87" t="str">
        <x:v>구분</x:v>
      </x:c>
      <x:c r="B4" s="87" t="str">
        <x:v>출처</x:v>
      </x:c>
      <x:c r="C4" s="87" t="str">
        <x:v>기준일</x:v>
      </x:c>
      <x:c r="D4" s="87" t="str">
        <x:v>사용 위치</x:v>
      </x:c>
      <x:c r="E4" s="87" t="str">
        <x:v>검증 상태</x:v>
      </x:c>
    </x:row>
    <x:row r="5" ht="26" customHeight="1">
      <x:c r="A5" s="71" t="str">
        <x:v>공식 실적</x:v>
      </x:c>
      <x:c r="B5" s="71" t="str">
        <x:v>DART 잠정실적 공시</x:v>
      </x:c>
      <x:c r="C5" s="71" t="str">
        <x:v>2026.07.16</x:v>
      </x:c>
      <x:c r="D5" s="71" t="str">
        <x:v>영업이익·매출액</x:v>
      </x:c>
      <x:c r="E5" s="99" t="str">
        <x:v>확인 완료</x:v>
      </x:c>
    </x:row>
    <x:row r="6" ht="26" customHeight="1">
      <x:c r="A6" s="71" t="str">
        <x:v>기업 가이던스</x:v>
      </x:c>
      <x:c r="B6" s="71" t="str">
        <x:v>SK텔레콤 IR 자료</x:v>
      </x:c>
      <x:c r="C6" s="71" t="str">
        <x:v>2026.07.17</x:v>
      </x:c>
      <x:c r="D6" s="71" t="str">
        <x:v>AIDC 수전용량</x:v>
      </x:c>
      <x:c r="E6" s="99" t="str">
        <x:v>확인 완료</x:v>
      </x:c>
    </x:row>
    <x:row r="7" ht="26" customHeight="1">
      <x:c r="A7" s="71" t="str">
        <x:v>산업 데이터</x:v>
      </x:c>
      <x:c r="B7" s="71" t="str">
        <x:v>통신 산업 데이터</x:v>
      </x:c>
      <x:c r="C7" s="71" t="str">
        <x:v>2026.07.17</x:v>
      </x:c>
      <x:c r="D7" s="71" t="str">
        <x:v>가입자·ARPU</x:v>
      </x:c>
      <x:c r="E7" s="99" t="str">
        <x:v>확인 완료</x:v>
      </x:c>
    </x:row>
    <x:row r="8" ht="26" customHeight="1">
      <x:c r="A8" s="71" t="str">
        <x:v>계산 모델</x:v>
      </x:c>
      <x:c r="B8" s="71" t="str">
        <x:v>REFLO 표준 모델</x:v>
      </x:c>
      <x:c r="C8" s="71" t="str">
        <x:v>2026.07.17</x:v>
      </x:c>
      <x:c r="D8" s="71" t="str">
        <x:v>EPS·목표주가</x:v>
      </x:c>
      <x:c r="E8" s="99" t="str">
        <x:v>수식 검증</x:v>
      </x:c>
    </x:row>
    <x:row r="9" ht="26" customHeight="1">
      <x:c r="A9" s="56"/>
      <x:c r="B9" s="56"/>
      <x:c r="C9" s="56"/>
      <x:c r="D9" s="56"/>
      <x:c r="E9" s="56"/>
    </x:row>
    <x:row r="10" ht="26" customHeight="1">
      <x:c r="A10" s="56"/>
      <x:c r="B10" s="56"/>
      <x:c r="C10" s="56"/>
      <x:c r="D10" s="56"/>
      <x:c r="E10" s="56"/>
    </x:row>
    <x:row r="11" ht="26" customHeight="1">
      <x:c r="A11" s="62" t="str">
        <x:v>검증 체크</x:v>
      </x:c>
      <x:c r="B11" s="62"/>
      <x:c r="C11" s="62"/>
      <x:c r="D11" s="62"/>
      <x:c r="E11" s="62"/>
    </x:row>
    <x:row r="12" ht="26" customHeight="1">
      <x:c r="A12" s="88" t="str">
        <x:v>01</x:v>
      </x:c>
      <x:c r="B12" s="88" t="str">
        <x:v>수식 참조 검사</x:v>
      </x:c>
      <x:c r="C12" s="88" t="str">
        <x:v>순환 참조 없음</x:v>
      </x:c>
      <x:c r="D12" s="100" t="str">
        <x:v>PASS</x:v>
      </x:c>
      <x:c r="E12" s="56"/>
    </x:row>
    <x:row r="13" ht="26" customHeight="1">
      <x:c r="A13" s="88" t="str">
        <x:v>02</x:v>
      </x:c>
      <x:c r="B13" s="88" t="str">
        <x:v>단위 일치 검사</x:v>
      </x:c>
      <x:c r="C13" s="88" t="str">
        <x:v>원·배·십억원 단위 일치</x:v>
      </x:c>
      <x:c r="D13" s="100" t="str">
        <x:v>PASS</x:v>
      </x:c>
      <x:c r="E13" s="56"/>
    </x:row>
    <x:row r="14" ht="26" customHeight="1">
      <x:c r="A14" s="88" t="str">
        <x:v>03</x:v>
      </x:c>
      <x:c r="B14" s="88" t="str">
        <x:v>입력값 출처 검사</x:v>
      </x:c>
      <x:c r="C14" s="88" t="str">
        <x:v>모든 주요 입력값 출처 연결</x:v>
      </x:c>
      <x:c r="D14" s="100" t="str">
        <x:v>PASS</x:v>
      </x:c>
      <x:c r="E14" s="56"/>
    </x:row>
    <x:row r="15" ht="26" customHeight="1">
      <x:c r="A15" s="88" t="str">
        <x:v>04</x:v>
      </x:c>
      <x:c r="B15" s="88" t="str">
        <x:v>최종 산식 검사</x:v>
      </x:c>
      <x:c r="C15" s="88" t="str">
        <x:v>12,430원 × 14.2배 = 176,506원</x:v>
      </x:c>
      <x:c r="D15" s="100" t="str">
        <x:v>PASS</x:v>
      </x:c>
      <x:c r="E15" s="56"/>
    </x:row>
  </x:sheetData>
  <x:mergeCells>
    <x:mergeCell ref="A1:E2"/>
    <x:mergeCell ref="A11:E11"/>
  </x:mergeCells>
  <x:pageMargins left="0.7" right="0.7" top="0.75" bottom="0.75" header="0.3" footer="0.3"/>
</x:worksheet>
</file>